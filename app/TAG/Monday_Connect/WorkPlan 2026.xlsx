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Martins\Taga Dropbox\Portugal\taga-urbanic\personal folders\Francisco\Business Development\Strategy\Workplan\2026\"/>
    </mc:Choice>
  </mc:AlternateContent>
  <xr:revisionPtr revIDLastSave="0" documentId="13_ncr:1_{454E2EA8-EA01-422B-9BCC-4122E825FFDA}" xr6:coauthVersionLast="47" xr6:coauthVersionMax="47" xr10:uidLastSave="{00000000-0000-0000-0000-000000000000}"/>
  <bookViews>
    <workbookView xWindow="28680" yWindow="-120" windowWidth="29040" windowHeight="15720" tabRatio="734" activeTab="1" xr2:uid="{80A809D1-9993-4322-8D80-38DD7FF2519E}"/>
  </bookViews>
  <sheets>
    <sheet name="Dashboard - Overview &amp; Project" sheetId="3" r:id="rId1"/>
    <sheet name="Goals &amp; Budget 2026" sheetId="1" r:id="rId2"/>
    <sheet name="Goals &amp; Budget 2026 - Updated" sheetId="2" r:id="rId3"/>
    <sheet name="KPIs - Sales Launch" sheetId="9" r:id="rId4"/>
    <sheet name="KPIs - Sales Goals" sheetId="12" r:id="rId5"/>
    <sheet name="KPIs - €Sq.M." sheetId="13" r:id="rId6"/>
    <sheet name="KPIs - Income" sheetId="8" r:id="rId7"/>
    <sheet name="KPIs - Marketing" sheetId="10" r:id="rId8"/>
    <sheet name="KPIs - Schematics" sheetId="11" r:id="rId9"/>
    <sheet name="KPIs - Tender" sheetId="6" r:id="rId10"/>
    <sheet name="KPIs - Construction Start" sheetId="7" r:id="rId11"/>
    <sheet name="KPIs - Construction %" sheetId="5" r:id="rId12"/>
    <sheet name="KPIs- Handover" sheetId="4" r:id="rId13"/>
    <sheet name="KPIs- Deeds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7" i="14" l="1"/>
  <c r="AP47" i="14" s="1"/>
  <c r="AL47" i="14"/>
  <c r="AM47" i="14" s="1"/>
  <c r="AI47" i="14"/>
  <c r="AJ47" i="14" s="1"/>
  <c r="AF47" i="14"/>
  <c r="AG47" i="14" s="1"/>
  <c r="AC47" i="14"/>
  <c r="AD47" i="14" s="1"/>
  <c r="Z47" i="14"/>
  <c r="AA47" i="14" s="1"/>
  <c r="W47" i="14"/>
  <c r="X47" i="14" s="1"/>
  <c r="T47" i="14"/>
  <c r="U47" i="14" s="1"/>
  <c r="Q47" i="14"/>
  <c r="R47" i="14" s="1"/>
  <c r="N47" i="14"/>
  <c r="O47" i="14" s="1"/>
  <c r="K47" i="14"/>
  <c r="L47" i="14" s="1"/>
  <c r="H47" i="14"/>
  <c r="E47" i="14" s="1"/>
  <c r="F47" i="14" s="1"/>
  <c r="D47" i="14"/>
  <c r="AP46" i="14"/>
  <c r="AO46" i="14"/>
  <c r="AM46" i="14"/>
  <c r="AL46" i="14"/>
  <c r="AJ46" i="14"/>
  <c r="AI46" i="14"/>
  <c r="AG46" i="14"/>
  <c r="AF46" i="14"/>
  <c r="AD46" i="14"/>
  <c r="AC46" i="14"/>
  <c r="AA46" i="14"/>
  <c r="Z46" i="14"/>
  <c r="X46" i="14"/>
  <c r="W46" i="14"/>
  <c r="U46" i="14"/>
  <c r="T46" i="14"/>
  <c r="R46" i="14"/>
  <c r="Q46" i="14"/>
  <c r="O46" i="14"/>
  <c r="N46" i="14"/>
  <c r="L46" i="14"/>
  <c r="K46" i="14"/>
  <c r="I46" i="14"/>
  <c r="H46" i="14"/>
  <c r="E46" i="14"/>
  <c r="D46" i="14"/>
  <c r="F46" i="14" s="1"/>
  <c r="AO45" i="14"/>
  <c r="AP45" i="14" s="1"/>
  <c r="AL45" i="14"/>
  <c r="AM45" i="14" s="1"/>
  <c r="AI45" i="14"/>
  <c r="AJ45" i="14" s="1"/>
  <c r="AF45" i="14"/>
  <c r="AG45" i="14" s="1"/>
  <c r="AC45" i="14"/>
  <c r="AD45" i="14" s="1"/>
  <c r="Z45" i="14"/>
  <c r="AA45" i="14" s="1"/>
  <c r="W45" i="14"/>
  <c r="X45" i="14" s="1"/>
  <c r="T45" i="14"/>
  <c r="U45" i="14" s="1"/>
  <c r="Q45" i="14"/>
  <c r="R45" i="14" s="1"/>
  <c r="N45" i="14"/>
  <c r="O45" i="14" s="1"/>
  <c r="K45" i="14"/>
  <c r="L45" i="14" s="1"/>
  <c r="H45" i="14"/>
  <c r="I45" i="14" s="1"/>
  <c r="E45" i="14"/>
  <c r="D45" i="14"/>
  <c r="F45" i="14" s="1"/>
  <c r="AP44" i="14"/>
  <c r="AO44" i="14"/>
  <c r="AM44" i="14"/>
  <c r="AL44" i="14"/>
  <c r="AJ44" i="14"/>
  <c r="AI44" i="14"/>
  <c r="AG44" i="14"/>
  <c r="AF44" i="14"/>
  <c r="AD44" i="14"/>
  <c r="AC44" i="14"/>
  <c r="AA44" i="14"/>
  <c r="Z44" i="14"/>
  <c r="X44" i="14"/>
  <c r="W44" i="14"/>
  <c r="U44" i="14"/>
  <c r="T44" i="14"/>
  <c r="R44" i="14"/>
  <c r="Q44" i="14"/>
  <c r="O44" i="14"/>
  <c r="N44" i="14"/>
  <c r="L44" i="14"/>
  <c r="K44" i="14"/>
  <c r="I44" i="14"/>
  <c r="H44" i="14"/>
  <c r="E44" i="14" s="1"/>
  <c r="D44" i="14"/>
  <c r="F44" i="14" s="1"/>
  <c r="AO43" i="14"/>
  <c r="AP43" i="14" s="1"/>
  <c r="AL43" i="14"/>
  <c r="AM43" i="14" s="1"/>
  <c r="AI43" i="14"/>
  <c r="AJ43" i="14" s="1"/>
  <c r="AF43" i="14"/>
  <c r="AG43" i="14" s="1"/>
  <c r="AC43" i="14"/>
  <c r="AD43" i="14" s="1"/>
  <c r="Z43" i="14"/>
  <c r="AA43" i="14" s="1"/>
  <c r="W43" i="14"/>
  <c r="X43" i="14" s="1"/>
  <c r="T43" i="14"/>
  <c r="U43" i="14" s="1"/>
  <c r="Q43" i="14"/>
  <c r="R43" i="14" s="1"/>
  <c r="N43" i="14"/>
  <c r="O43" i="14" s="1"/>
  <c r="K43" i="14"/>
  <c r="L43" i="14" s="1"/>
  <c r="H43" i="14"/>
  <c r="E43" i="14" s="1"/>
  <c r="D43" i="14"/>
  <c r="AP42" i="14"/>
  <c r="AO42" i="14"/>
  <c r="AM42" i="14"/>
  <c r="AL42" i="14"/>
  <c r="AJ42" i="14"/>
  <c r="AI42" i="14"/>
  <c r="AG42" i="14"/>
  <c r="AF42" i="14"/>
  <c r="AD42" i="14"/>
  <c r="AC42" i="14"/>
  <c r="AA42" i="14"/>
  <c r="Z42" i="14"/>
  <c r="X42" i="14"/>
  <c r="W42" i="14"/>
  <c r="U42" i="14"/>
  <c r="T42" i="14"/>
  <c r="R42" i="14"/>
  <c r="Q42" i="14"/>
  <c r="O42" i="14"/>
  <c r="N42" i="14"/>
  <c r="L42" i="14"/>
  <c r="K42" i="14"/>
  <c r="I42" i="14"/>
  <c r="H42" i="14"/>
  <c r="E42" i="14"/>
  <c r="D42" i="14"/>
  <c r="F42" i="14" s="1"/>
  <c r="AO41" i="14"/>
  <c r="AP41" i="14" s="1"/>
  <c r="AL41" i="14"/>
  <c r="AM41" i="14" s="1"/>
  <c r="AI41" i="14"/>
  <c r="AJ41" i="14" s="1"/>
  <c r="AF41" i="14"/>
  <c r="AG41" i="14" s="1"/>
  <c r="AC41" i="14"/>
  <c r="AD41" i="14" s="1"/>
  <c r="Z41" i="14"/>
  <c r="AA41" i="14" s="1"/>
  <c r="W41" i="14"/>
  <c r="X41" i="14" s="1"/>
  <c r="T41" i="14"/>
  <c r="U41" i="14" s="1"/>
  <c r="Q41" i="14"/>
  <c r="R41" i="14" s="1"/>
  <c r="N41" i="14"/>
  <c r="O41" i="14" s="1"/>
  <c r="K41" i="14"/>
  <c r="L41" i="14" s="1"/>
  <c r="H41" i="14"/>
  <c r="I41" i="14" s="1"/>
  <c r="D41" i="14"/>
  <c r="AP40" i="14"/>
  <c r="AO40" i="14"/>
  <c r="AM40" i="14"/>
  <c r="AL40" i="14"/>
  <c r="AJ40" i="14"/>
  <c r="AI40" i="14"/>
  <c r="AG40" i="14"/>
  <c r="AF40" i="14"/>
  <c r="AD40" i="14"/>
  <c r="AC40" i="14"/>
  <c r="AA40" i="14"/>
  <c r="Z40" i="14"/>
  <c r="X40" i="14"/>
  <c r="W40" i="14"/>
  <c r="U40" i="14"/>
  <c r="T40" i="14"/>
  <c r="R40" i="14"/>
  <c r="Q40" i="14"/>
  <c r="O40" i="14"/>
  <c r="N40" i="14"/>
  <c r="L40" i="14"/>
  <c r="K40" i="14"/>
  <c r="I40" i="14"/>
  <c r="H40" i="14"/>
  <c r="E40" i="14" s="1"/>
  <c r="D40" i="14"/>
  <c r="F40" i="14" s="1"/>
  <c r="AO39" i="14"/>
  <c r="AP39" i="14" s="1"/>
  <c r="AL39" i="14"/>
  <c r="AM39" i="14" s="1"/>
  <c r="AI39" i="14"/>
  <c r="AJ39" i="14" s="1"/>
  <c r="AF39" i="14"/>
  <c r="AG39" i="14" s="1"/>
  <c r="AC39" i="14"/>
  <c r="AD39" i="14" s="1"/>
  <c r="Z39" i="14"/>
  <c r="AA39" i="14" s="1"/>
  <c r="W39" i="14"/>
  <c r="X39" i="14" s="1"/>
  <c r="T39" i="14"/>
  <c r="U39" i="14" s="1"/>
  <c r="Q39" i="14"/>
  <c r="R39" i="14" s="1"/>
  <c r="N39" i="14"/>
  <c r="O39" i="14" s="1"/>
  <c r="K39" i="14"/>
  <c r="L39" i="14" s="1"/>
  <c r="H39" i="14"/>
  <c r="E39" i="14" s="1"/>
  <c r="D39" i="14"/>
  <c r="F39" i="14" s="1"/>
  <c r="AP38" i="14"/>
  <c r="AO38" i="14"/>
  <c r="AM38" i="14"/>
  <c r="AL38" i="14"/>
  <c r="AJ38" i="14"/>
  <c r="AI38" i="14"/>
  <c r="AG38" i="14"/>
  <c r="AF38" i="14"/>
  <c r="AD38" i="14"/>
  <c r="AC38" i="14"/>
  <c r="AA38" i="14"/>
  <c r="Z38" i="14"/>
  <c r="X38" i="14"/>
  <c r="W38" i="14"/>
  <c r="U38" i="14"/>
  <c r="T38" i="14"/>
  <c r="R38" i="14"/>
  <c r="Q38" i="14"/>
  <c r="O38" i="14"/>
  <c r="N38" i="14"/>
  <c r="L38" i="14"/>
  <c r="K38" i="14"/>
  <c r="I38" i="14"/>
  <c r="H38" i="14"/>
  <c r="E38" i="14" s="1"/>
  <c r="D38" i="14"/>
  <c r="AO37" i="14"/>
  <c r="AP37" i="14" s="1"/>
  <c r="AL37" i="14"/>
  <c r="AM37" i="14" s="1"/>
  <c r="AI37" i="14"/>
  <c r="AJ37" i="14" s="1"/>
  <c r="AF37" i="14"/>
  <c r="AG37" i="14" s="1"/>
  <c r="AC37" i="14"/>
  <c r="AD37" i="14" s="1"/>
  <c r="Z37" i="14"/>
  <c r="AA37" i="14" s="1"/>
  <c r="W37" i="14"/>
  <c r="X37" i="14" s="1"/>
  <c r="T37" i="14"/>
  <c r="U37" i="14" s="1"/>
  <c r="Q37" i="14"/>
  <c r="R37" i="14" s="1"/>
  <c r="N37" i="14"/>
  <c r="O37" i="14" s="1"/>
  <c r="K37" i="14"/>
  <c r="L37" i="14" s="1"/>
  <c r="H37" i="14"/>
  <c r="I37" i="14" s="1"/>
  <c r="D37" i="14"/>
  <c r="AP36" i="14"/>
  <c r="AO36" i="14"/>
  <c r="AM36" i="14"/>
  <c r="AL36" i="14"/>
  <c r="AJ36" i="14"/>
  <c r="AI36" i="14"/>
  <c r="AG36" i="14"/>
  <c r="AF36" i="14"/>
  <c r="AD36" i="14"/>
  <c r="AC36" i="14"/>
  <c r="AA36" i="14"/>
  <c r="Z36" i="14"/>
  <c r="X36" i="14"/>
  <c r="W36" i="14"/>
  <c r="U36" i="14"/>
  <c r="T36" i="14"/>
  <c r="R36" i="14"/>
  <c r="Q36" i="14"/>
  <c r="O36" i="14"/>
  <c r="N36" i="14"/>
  <c r="L36" i="14"/>
  <c r="K36" i="14"/>
  <c r="I36" i="14"/>
  <c r="H36" i="14"/>
  <c r="E36" i="14"/>
  <c r="D36" i="14"/>
  <c r="F36" i="14" s="1"/>
  <c r="AO35" i="14"/>
  <c r="AP35" i="14" s="1"/>
  <c r="AL35" i="14"/>
  <c r="AM35" i="14" s="1"/>
  <c r="AI35" i="14"/>
  <c r="AJ35" i="14" s="1"/>
  <c r="AF35" i="14"/>
  <c r="AG35" i="14" s="1"/>
  <c r="AC35" i="14"/>
  <c r="AD35" i="14" s="1"/>
  <c r="Z35" i="14"/>
  <c r="AA35" i="14" s="1"/>
  <c r="W35" i="14"/>
  <c r="X35" i="14" s="1"/>
  <c r="T35" i="14"/>
  <c r="U35" i="14" s="1"/>
  <c r="Q35" i="14"/>
  <c r="R35" i="14" s="1"/>
  <c r="N35" i="14"/>
  <c r="O35" i="14" s="1"/>
  <c r="K35" i="14"/>
  <c r="L35" i="14" s="1"/>
  <c r="H35" i="14"/>
  <c r="E35" i="14" s="1"/>
  <c r="D35" i="14"/>
  <c r="AP34" i="14"/>
  <c r="AO34" i="14"/>
  <c r="AM34" i="14"/>
  <c r="AL34" i="14"/>
  <c r="AJ34" i="14"/>
  <c r="AI34" i="14"/>
  <c r="AG34" i="14"/>
  <c r="AF34" i="14"/>
  <c r="AD34" i="14"/>
  <c r="AC34" i="14"/>
  <c r="AA34" i="14"/>
  <c r="Z34" i="14"/>
  <c r="X34" i="14"/>
  <c r="W34" i="14"/>
  <c r="U34" i="14"/>
  <c r="T34" i="14"/>
  <c r="R34" i="14"/>
  <c r="Q34" i="14"/>
  <c r="O34" i="14"/>
  <c r="N34" i="14"/>
  <c r="L34" i="14"/>
  <c r="K34" i="14"/>
  <c r="I34" i="14"/>
  <c r="H34" i="14"/>
  <c r="E34" i="14"/>
  <c r="D34" i="14"/>
  <c r="F34" i="14" s="1"/>
  <c r="AO33" i="14"/>
  <c r="AP33" i="14" s="1"/>
  <c r="AL33" i="14"/>
  <c r="AM33" i="14" s="1"/>
  <c r="AI33" i="14"/>
  <c r="AJ33" i="14" s="1"/>
  <c r="AF33" i="14"/>
  <c r="AG33" i="14" s="1"/>
  <c r="AC33" i="14"/>
  <c r="AD33" i="14" s="1"/>
  <c r="Z33" i="14"/>
  <c r="AA33" i="14" s="1"/>
  <c r="W33" i="14"/>
  <c r="X33" i="14" s="1"/>
  <c r="T33" i="14"/>
  <c r="U33" i="14" s="1"/>
  <c r="Q33" i="14"/>
  <c r="R33" i="14" s="1"/>
  <c r="N33" i="14"/>
  <c r="O33" i="14" s="1"/>
  <c r="K33" i="14"/>
  <c r="L33" i="14" s="1"/>
  <c r="H33" i="14"/>
  <c r="I33" i="14" s="1"/>
  <c r="D33" i="14"/>
  <c r="AP32" i="14"/>
  <c r="AO32" i="14"/>
  <c r="AM32" i="14"/>
  <c r="AL32" i="14"/>
  <c r="AJ32" i="14"/>
  <c r="AI32" i="14"/>
  <c r="AG32" i="14"/>
  <c r="AF32" i="14"/>
  <c r="AD32" i="14"/>
  <c r="AC32" i="14"/>
  <c r="AA32" i="14"/>
  <c r="Z32" i="14"/>
  <c r="X32" i="14"/>
  <c r="W32" i="14"/>
  <c r="U32" i="14"/>
  <c r="T32" i="14"/>
  <c r="R32" i="14"/>
  <c r="Q32" i="14"/>
  <c r="O32" i="14"/>
  <c r="N32" i="14"/>
  <c r="L32" i="14"/>
  <c r="K32" i="14"/>
  <c r="I32" i="14"/>
  <c r="H32" i="14"/>
  <c r="E32" i="14"/>
  <c r="D32" i="14"/>
  <c r="F32" i="14" s="1"/>
  <c r="AO31" i="14"/>
  <c r="AP31" i="14" s="1"/>
  <c r="AL31" i="14"/>
  <c r="AM31" i="14" s="1"/>
  <c r="AI31" i="14"/>
  <c r="AJ31" i="14" s="1"/>
  <c r="AF31" i="14"/>
  <c r="AG31" i="14" s="1"/>
  <c r="AC31" i="14"/>
  <c r="AD31" i="14" s="1"/>
  <c r="Z31" i="14"/>
  <c r="AA31" i="14" s="1"/>
  <c r="W31" i="14"/>
  <c r="X31" i="14" s="1"/>
  <c r="T31" i="14"/>
  <c r="U31" i="14" s="1"/>
  <c r="Q31" i="14"/>
  <c r="R31" i="14" s="1"/>
  <c r="N31" i="14"/>
  <c r="O31" i="14" s="1"/>
  <c r="K31" i="14"/>
  <c r="L31" i="14" s="1"/>
  <c r="H31" i="14"/>
  <c r="E31" i="14" s="1"/>
  <c r="D31" i="14"/>
  <c r="F31" i="14" s="1"/>
  <c r="AO47" i="4"/>
  <c r="AP47" i="4" s="1"/>
  <c r="AL47" i="4"/>
  <c r="AM47" i="4" s="1"/>
  <c r="AI47" i="4"/>
  <c r="AJ47" i="4" s="1"/>
  <c r="AF47" i="4"/>
  <c r="AG47" i="4" s="1"/>
  <c r="AD47" i="4"/>
  <c r="AC47" i="4"/>
  <c r="Z47" i="4"/>
  <c r="AA47" i="4" s="1"/>
  <c r="W47" i="4"/>
  <c r="X47" i="4" s="1"/>
  <c r="T47" i="4"/>
  <c r="U47" i="4" s="1"/>
  <c r="Q47" i="4"/>
  <c r="R47" i="4" s="1"/>
  <c r="N47" i="4"/>
  <c r="O47" i="4" s="1"/>
  <c r="L47" i="4"/>
  <c r="K47" i="4"/>
  <c r="H47" i="4"/>
  <c r="E47" i="4" s="1"/>
  <c r="D47" i="4"/>
  <c r="AP46" i="4"/>
  <c r="AO46" i="4"/>
  <c r="AM46" i="4"/>
  <c r="AL46" i="4"/>
  <c r="AI46" i="4"/>
  <c r="AJ46" i="4" s="1"/>
  <c r="AF46" i="4"/>
  <c r="AG46" i="4" s="1"/>
  <c r="AD46" i="4"/>
  <c r="AC46" i="4"/>
  <c r="AA46" i="4"/>
  <c r="Z46" i="4"/>
  <c r="X46" i="4"/>
  <c r="W46" i="4"/>
  <c r="U46" i="4"/>
  <c r="T46" i="4"/>
  <c r="Q46" i="4"/>
  <c r="R46" i="4" s="1"/>
  <c r="N46" i="4"/>
  <c r="O46" i="4" s="1"/>
  <c r="L46" i="4"/>
  <c r="K46" i="4"/>
  <c r="I46" i="4"/>
  <c r="H46" i="4"/>
  <c r="F46" i="4"/>
  <c r="E46" i="4"/>
  <c r="D46" i="4"/>
  <c r="AO45" i="4"/>
  <c r="AP45" i="4" s="1"/>
  <c r="AM45" i="4"/>
  <c r="AL45" i="4"/>
  <c r="AI45" i="4"/>
  <c r="AJ45" i="4" s="1"/>
  <c r="AF45" i="4"/>
  <c r="AG45" i="4" s="1"/>
  <c r="AC45" i="4"/>
  <c r="AD45" i="4" s="1"/>
  <c r="Z45" i="4"/>
  <c r="AA45" i="4" s="1"/>
  <c r="W45" i="4"/>
  <c r="X45" i="4" s="1"/>
  <c r="U45" i="4"/>
  <c r="T45" i="4"/>
  <c r="Q45" i="4"/>
  <c r="R45" i="4" s="1"/>
  <c r="N45" i="4"/>
  <c r="O45" i="4" s="1"/>
  <c r="K45" i="4"/>
  <c r="L45" i="4" s="1"/>
  <c r="H45" i="4"/>
  <c r="I45" i="4" s="1"/>
  <c r="E45" i="4"/>
  <c r="D45" i="4"/>
  <c r="F45" i="4" s="1"/>
  <c r="AP44" i="4"/>
  <c r="AO44" i="4"/>
  <c r="AM44" i="4"/>
  <c r="AL44" i="4"/>
  <c r="AJ44" i="4"/>
  <c r="AI44" i="4"/>
  <c r="AG44" i="4"/>
  <c r="AF44" i="4"/>
  <c r="AD44" i="4"/>
  <c r="AC44" i="4"/>
  <c r="Z44" i="4"/>
  <c r="AA44" i="4" s="1"/>
  <c r="X44" i="4"/>
  <c r="W44" i="4"/>
  <c r="U44" i="4"/>
  <c r="T44" i="4"/>
  <c r="R44" i="4"/>
  <c r="Q44" i="4"/>
  <c r="O44" i="4"/>
  <c r="N44" i="4"/>
  <c r="L44" i="4"/>
  <c r="K44" i="4"/>
  <c r="H44" i="4"/>
  <c r="E44" i="4" s="1"/>
  <c r="D44" i="4"/>
  <c r="F44" i="4" s="1"/>
  <c r="AO43" i="4"/>
  <c r="AP43" i="4" s="1"/>
  <c r="AL43" i="4"/>
  <c r="AM43" i="4" s="1"/>
  <c r="AI43" i="4"/>
  <c r="AJ43" i="4" s="1"/>
  <c r="AF43" i="4"/>
  <c r="AG43" i="4" s="1"/>
  <c r="AD43" i="4"/>
  <c r="AC43" i="4"/>
  <c r="Z43" i="4"/>
  <c r="AA43" i="4" s="1"/>
  <c r="W43" i="4"/>
  <c r="X43" i="4" s="1"/>
  <c r="T43" i="4"/>
  <c r="U43" i="4" s="1"/>
  <c r="Q43" i="4"/>
  <c r="R43" i="4" s="1"/>
  <c r="N43" i="4"/>
  <c r="O43" i="4" s="1"/>
  <c r="L43" i="4"/>
  <c r="K43" i="4"/>
  <c r="H43" i="4"/>
  <c r="I43" i="4" s="1"/>
  <c r="E43" i="4"/>
  <c r="D43" i="4"/>
  <c r="F43" i="4" s="1"/>
  <c r="AP42" i="4"/>
  <c r="AO42" i="4"/>
  <c r="AM42" i="4"/>
  <c r="AL42" i="4"/>
  <c r="AI42" i="4"/>
  <c r="AJ42" i="4" s="1"/>
  <c r="AG42" i="4"/>
  <c r="AF42" i="4"/>
  <c r="AD42" i="4"/>
  <c r="AC42" i="4"/>
  <c r="AA42" i="4"/>
  <c r="Z42" i="4"/>
  <c r="X42" i="4"/>
  <c r="W42" i="4"/>
  <c r="U42" i="4"/>
  <c r="T42" i="4"/>
  <c r="Q42" i="4"/>
  <c r="R42" i="4" s="1"/>
  <c r="O42" i="4"/>
  <c r="N42" i="4"/>
  <c r="L42" i="4"/>
  <c r="K42" i="4"/>
  <c r="I42" i="4"/>
  <c r="H42" i="4"/>
  <c r="E42" i="4" s="1"/>
  <c r="F42" i="4" s="1"/>
  <c r="D42" i="4"/>
  <c r="AO41" i="4"/>
  <c r="AP41" i="4" s="1"/>
  <c r="AM41" i="4"/>
  <c r="AL41" i="4"/>
  <c r="AI41" i="4"/>
  <c r="AJ41" i="4" s="1"/>
  <c r="AF41" i="4"/>
  <c r="AG41" i="4" s="1"/>
  <c r="AC41" i="4"/>
  <c r="AD41" i="4" s="1"/>
  <c r="Z41" i="4"/>
  <c r="AA41" i="4" s="1"/>
  <c r="W41" i="4"/>
  <c r="X41" i="4" s="1"/>
  <c r="U41" i="4"/>
  <c r="T41" i="4"/>
  <c r="Q41" i="4"/>
  <c r="R41" i="4" s="1"/>
  <c r="N41" i="4"/>
  <c r="O41" i="4" s="1"/>
  <c r="K41" i="4"/>
  <c r="L41" i="4" s="1"/>
  <c r="H41" i="4"/>
  <c r="I41" i="4" s="1"/>
  <c r="E41" i="4"/>
  <c r="D41" i="4"/>
  <c r="F41" i="4" s="1"/>
  <c r="AP40" i="4"/>
  <c r="AO40" i="4"/>
  <c r="AM40" i="4"/>
  <c r="AL40" i="4"/>
  <c r="AJ40" i="4"/>
  <c r="AI40" i="4"/>
  <c r="AG40" i="4"/>
  <c r="AF40" i="4"/>
  <c r="AD40" i="4"/>
  <c r="AC40" i="4"/>
  <c r="Z40" i="4"/>
  <c r="AA40" i="4" s="1"/>
  <c r="X40" i="4"/>
  <c r="W40" i="4"/>
  <c r="U40" i="4"/>
  <c r="T40" i="4"/>
  <c r="R40" i="4"/>
  <c r="Q40" i="4"/>
  <c r="O40" i="4"/>
  <c r="N40" i="4"/>
  <c r="L40" i="4"/>
  <c r="K40" i="4"/>
  <c r="H40" i="4"/>
  <c r="I40" i="4" s="1"/>
  <c r="D40" i="4"/>
  <c r="AO39" i="4"/>
  <c r="AP39" i="4" s="1"/>
  <c r="AL39" i="4"/>
  <c r="AM39" i="4" s="1"/>
  <c r="AI39" i="4"/>
  <c r="AJ39" i="4" s="1"/>
  <c r="AF39" i="4"/>
  <c r="AG39" i="4" s="1"/>
  <c r="AD39" i="4"/>
  <c r="AC39" i="4"/>
  <c r="Z39" i="4"/>
  <c r="AA39" i="4" s="1"/>
  <c r="W39" i="4"/>
  <c r="X39" i="4" s="1"/>
  <c r="T39" i="4"/>
  <c r="U39" i="4" s="1"/>
  <c r="Q39" i="4"/>
  <c r="R39" i="4" s="1"/>
  <c r="N39" i="4"/>
  <c r="O39" i="4" s="1"/>
  <c r="L39" i="4"/>
  <c r="K39" i="4"/>
  <c r="H39" i="4"/>
  <c r="I39" i="4" s="1"/>
  <c r="E39" i="4"/>
  <c r="F39" i="4" s="1"/>
  <c r="D39" i="4"/>
  <c r="AP38" i="4"/>
  <c r="AO38" i="4"/>
  <c r="AM38" i="4"/>
  <c r="AL38" i="4"/>
  <c r="AI38" i="4"/>
  <c r="AJ38" i="4" s="1"/>
  <c r="AG38" i="4"/>
  <c r="AF38" i="4"/>
  <c r="AD38" i="4"/>
  <c r="AC38" i="4"/>
  <c r="AA38" i="4"/>
  <c r="Z38" i="4"/>
  <c r="X38" i="4"/>
  <c r="W38" i="4"/>
  <c r="U38" i="4"/>
  <c r="T38" i="4"/>
  <c r="Q38" i="4"/>
  <c r="R38" i="4" s="1"/>
  <c r="O38" i="4"/>
  <c r="N38" i="4"/>
  <c r="L38" i="4"/>
  <c r="K38" i="4"/>
  <c r="I38" i="4"/>
  <c r="H38" i="4"/>
  <c r="E38" i="4" s="1"/>
  <c r="F38" i="4" s="1"/>
  <c r="D38" i="4"/>
  <c r="AO37" i="4"/>
  <c r="AP37" i="4" s="1"/>
  <c r="AM37" i="4"/>
  <c r="AL37" i="4"/>
  <c r="AI37" i="4"/>
  <c r="AJ37" i="4" s="1"/>
  <c r="AF37" i="4"/>
  <c r="AG37" i="4" s="1"/>
  <c r="AC37" i="4"/>
  <c r="AD37" i="4" s="1"/>
  <c r="Z37" i="4"/>
  <c r="AA37" i="4" s="1"/>
  <c r="W37" i="4"/>
  <c r="X37" i="4" s="1"/>
  <c r="U37" i="4"/>
  <c r="T37" i="4"/>
  <c r="Q37" i="4"/>
  <c r="R37" i="4" s="1"/>
  <c r="N37" i="4"/>
  <c r="O37" i="4" s="1"/>
  <c r="K37" i="4"/>
  <c r="L37" i="4" s="1"/>
  <c r="H37" i="4"/>
  <c r="I37" i="4" s="1"/>
  <c r="E37" i="4"/>
  <c r="D37" i="4"/>
  <c r="F37" i="4" s="1"/>
  <c r="AP36" i="4"/>
  <c r="AO36" i="4"/>
  <c r="AM36" i="4"/>
  <c r="AL36" i="4"/>
  <c r="AJ36" i="4"/>
  <c r="AI36" i="4"/>
  <c r="AG36" i="4"/>
  <c r="AF36" i="4"/>
  <c r="AD36" i="4"/>
  <c r="AC36" i="4"/>
  <c r="Z36" i="4"/>
  <c r="AA36" i="4" s="1"/>
  <c r="X36" i="4"/>
  <c r="W36" i="4"/>
  <c r="U36" i="4"/>
  <c r="T36" i="4"/>
  <c r="R36" i="4"/>
  <c r="Q36" i="4"/>
  <c r="O36" i="4"/>
  <c r="N36" i="4"/>
  <c r="L36" i="4"/>
  <c r="K36" i="4"/>
  <c r="H36" i="4"/>
  <c r="I36" i="4" s="1"/>
  <c r="D36" i="4"/>
  <c r="AO35" i="4"/>
  <c r="AP35" i="4" s="1"/>
  <c r="AL35" i="4"/>
  <c r="AM35" i="4" s="1"/>
  <c r="AI35" i="4"/>
  <c r="AJ35" i="4" s="1"/>
  <c r="AF35" i="4"/>
  <c r="AG35" i="4" s="1"/>
  <c r="AD35" i="4"/>
  <c r="AC35" i="4"/>
  <c r="Z35" i="4"/>
  <c r="AA35" i="4" s="1"/>
  <c r="W35" i="4"/>
  <c r="X35" i="4" s="1"/>
  <c r="T35" i="4"/>
  <c r="U35" i="4" s="1"/>
  <c r="Q35" i="4"/>
  <c r="R35" i="4" s="1"/>
  <c r="N35" i="4"/>
  <c r="O35" i="4" s="1"/>
  <c r="L35" i="4"/>
  <c r="K35" i="4"/>
  <c r="H35" i="4"/>
  <c r="E35" i="4" s="1"/>
  <c r="F35" i="4" s="1"/>
  <c r="D35" i="4"/>
  <c r="AP34" i="4"/>
  <c r="AO34" i="4"/>
  <c r="AM34" i="4"/>
  <c r="AL34" i="4"/>
  <c r="AI34" i="4"/>
  <c r="AJ34" i="4" s="1"/>
  <c r="AG34" i="4"/>
  <c r="AF34" i="4"/>
  <c r="AD34" i="4"/>
  <c r="AC34" i="4"/>
  <c r="AA34" i="4"/>
  <c r="Z34" i="4"/>
  <c r="X34" i="4"/>
  <c r="W34" i="4"/>
  <c r="U34" i="4"/>
  <c r="T34" i="4"/>
  <c r="Q34" i="4"/>
  <c r="R34" i="4" s="1"/>
  <c r="O34" i="4"/>
  <c r="N34" i="4"/>
  <c r="L34" i="4"/>
  <c r="K34" i="4"/>
  <c r="I34" i="4"/>
  <c r="H34" i="4"/>
  <c r="F34" i="4"/>
  <c r="E34" i="4"/>
  <c r="D34" i="4"/>
  <c r="AO33" i="4"/>
  <c r="AP33" i="4" s="1"/>
  <c r="AM33" i="4"/>
  <c r="AL33" i="4"/>
  <c r="AI33" i="4"/>
  <c r="AJ33" i="4" s="1"/>
  <c r="AF33" i="4"/>
  <c r="AG33" i="4" s="1"/>
  <c r="AC33" i="4"/>
  <c r="AD33" i="4" s="1"/>
  <c r="Z33" i="4"/>
  <c r="AA33" i="4" s="1"/>
  <c r="W33" i="4"/>
  <c r="X33" i="4" s="1"/>
  <c r="U33" i="4"/>
  <c r="T33" i="4"/>
  <c r="Q33" i="4"/>
  <c r="R33" i="4" s="1"/>
  <c r="N33" i="4"/>
  <c r="O33" i="4" s="1"/>
  <c r="K33" i="4"/>
  <c r="L33" i="4" s="1"/>
  <c r="H33" i="4"/>
  <c r="I33" i="4" s="1"/>
  <c r="E33" i="4"/>
  <c r="D33" i="4"/>
  <c r="F33" i="4" s="1"/>
  <c r="AP32" i="4"/>
  <c r="AO32" i="4"/>
  <c r="AM32" i="4"/>
  <c r="AL32" i="4"/>
  <c r="AJ32" i="4"/>
  <c r="AI32" i="4"/>
  <c r="AG32" i="4"/>
  <c r="AF32" i="4"/>
  <c r="AD32" i="4"/>
  <c r="AC32" i="4"/>
  <c r="Z32" i="4"/>
  <c r="AA32" i="4" s="1"/>
  <c r="X32" i="4"/>
  <c r="W32" i="4"/>
  <c r="U32" i="4"/>
  <c r="T32" i="4"/>
  <c r="R32" i="4"/>
  <c r="Q32" i="4"/>
  <c r="O32" i="4"/>
  <c r="N32" i="4"/>
  <c r="L32" i="4"/>
  <c r="K32" i="4"/>
  <c r="H32" i="4"/>
  <c r="I32" i="4" s="1"/>
  <c r="D32" i="4"/>
  <c r="AO31" i="4"/>
  <c r="AP31" i="4" s="1"/>
  <c r="AL31" i="4"/>
  <c r="AM31" i="4" s="1"/>
  <c r="AI31" i="4"/>
  <c r="AJ31" i="4" s="1"/>
  <c r="AF31" i="4"/>
  <c r="AG31" i="4" s="1"/>
  <c r="AD31" i="4"/>
  <c r="AC31" i="4"/>
  <c r="Z31" i="4"/>
  <c r="AA31" i="4" s="1"/>
  <c r="W31" i="4"/>
  <c r="X31" i="4" s="1"/>
  <c r="T31" i="4"/>
  <c r="U31" i="4" s="1"/>
  <c r="Q31" i="4"/>
  <c r="R31" i="4" s="1"/>
  <c r="N31" i="4"/>
  <c r="O31" i="4" s="1"/>
  <c r="L31" i="4"/>
  <c r="K31" i="4"/>
  <c r="H31" i="4"/>
  <c r="I31" i="4" s="1"/>
  <c r="E31" i="4"/>
  <c r="D31" i="4"/>
  <c r="F31" i="4" s="1"/>
  <c r="AO47" i="5"/>
  <c r="AP47" i="5" s="1"/>
  <c r="AM47" i="5"/>
  <c r="AL47" i="5"/>
  <c r="AI47" i="5"/>
  <c r="AJ47" i="5" s="1"/>
  <c r="AF47" i="5"/>
  <c r="AG47" i="5" s="1"/>
  <c r="AC47" i="5"/>
  <c r="AD47" i="5" s="1"/>
  <c r="AA47" i="5"/>
  <c r="Z47" i="5"/>
  <c r="W47" i="5"/>
  <c r="X47" i="5" s="1"/>
  <c r="U47" i="5"/>
  <c r="T47" i="5"/>
  <c r="Q47" i="5"/>
  <c r="R47" i="5" s="1"/>
  <c r="N47" i="5"/>
  <c r="O47" i="5" s="1"/>
  <c r="K47" i="5"/>
  <c r="L47" i="5" s="1"/>
  <c r="I47" i="5"/>
  <c r="H47" i="5"/>
  <c r="E47" i="5"/>
  <c r="D47" i="5"/>
  <c r="F47" i="5" s="1"/>
  <c r="AP46" i="5"/>
  <c r="AO46" i="5"/>
  <c r="AM46" i="5"/>
  <c r="AL46" i="5"/>
  <c r="AJ46" i="5"/>
  <c r="AI46" i="5"/>
  <c r="AF46" i="5"/>
  <c r="AG46" i="5" s="1"/>
  <c r="AD46" i="5"/>
  <c r="AC46" i="5"/>
  <c r="Z46" i="5"/>
  <c r="AA46" i="5" s="1"/>
  <c r="X46" i="5"/>
  <c r="W46" i="5"/>
  <c r="U46" i="5"/>
  <c r="T46" i="5"/>
  <c r="R46" i="5"/>
  <c r="Q46" i="5"/>
  <c r="N46" i="5"/>
  <c r="O46" i="5" s="1"/>
  <c r="L46" i="5"/>
  <c r="K46" i="5"/>
  <c r="H46" i="5"/>
  <c r="I46" i="5" s="1"/>
  <c r="D46" i="5"/>
  <c r="AO45" i="5"/>
  <c r="AP45" i="5" s="1"/>
  <c r="AL45" i="5"/>
  <c r="AM45" i="5" s="1"/>
  <c r="AJ45" i="5"/>
  <c r="AI45" i="5"/>
  <c r="AF45" i="5"/>
  <c r="AG45" i="5" s="1"/>
  <c r="AD45" i="5"/>
  <c r="AC45" i="5"/>
  <c r="Z45" i="5"/>
  <c r="AA45" i="5" s="1"/>
  <c r="W45" i="5"/>
  <c r="X45" i="5" s="1"/>
  <c r="T45" i="5"/>
  <c r="U45" i="5" s="1"/>
  <c r="R45" i="5"/>
  <c r="Q45" i="5"/>
  <c r="N45" i="5"/>
  <c r="O45" i="5" s="1"/>
  <c r="L45" i="5"/>
  <c r="K45" i="5"/>
  <c r="H45" i="5"/>
  <c r="I45" i="5" s="1"/>
  <c r="D45" i="5"/>
  <c r="AO44" i="5"/>
  <c r="AP44" i="5" s="1"/>
  <c r="AM44" i="5"/>
  <c r="AL44" i="5"/>
  <c r="AI44" i="5"/>
  <c r="AJ44" i="5" s="1"/>
  <c r="AG44" i="5"/>
  <c r="AF44" i="5"/>
  <c r="AD44" i="5"/>
  <c r="AC44" i="5"/>
  <c r="AA44" i="5"/>
  <c r="Z44" i="5"/>
  <c r="W44" i="5"/>
  <c r="X44" i="5" s="1"/>
  <c r="U44" i="5"/>
  <c r="T44" i="5"/>
  <c r="Q44" i="5"/>
  <c r="R44" i="5" s="1"/>
  <c r="O44" i="5"/>
  <c r="N44" i="5"/>
  <c r="L44" i="5"/>
  <c r="K44" i="5"/>
  <c r="I44" i="5"/>
  <c r="H44" i="5"/>
  <c r="E44" i="5"/>
  <c r="F44" i="5" s="1"/>
  <c r="D44" i="5"/>
  <c r="AO43" i="5"/>
  <c r="AP43" i="5" s="1"/>
  <c r="AM43" i="5"/>
  <c r="AL43" i="5"/>
  <c r="AI43" i="5"/>
  <c r="AJ43" i="5" s="1"/>
  <c r="AF43" i="5"/>
  <c r="AG43" i="5" s="1"/>
  <c r="AC43" i="5"/>
  <c r="AD43" i="5" s="1"/>
  <c r="AA43" i="5"/>
  <c r="Z43" i="5"/>
  <c r="W43" i="5"/>
  <c r="X43" i="5" s="1"/>
  <c r="U43" i="5"/>
  <c r="T43" i="5"/>
  <c r="Q43" i="5"/>
  <c r="R43" i="5" s="1"/>
  <c r="N43" i="5"/>
  <c r="O43" i="5" s="1"/>
  <c r="K43" i="5"/>
  <c r="L43" i="5" s="1"/>
  <c r="I43" i="5"/>
  <c r="H43" i="5"/>
  <c r="E43" i="5" s="1"/>
  <c r="D43" i="5"/>
  <c r="F43" i="5" s="1"/>
  <c r="AP42" i="5"/>
  <c r="AO42" i="5"/>
  <c r="AM42" i="5"/>
  <c r="AL42" i="5"/>
  <c r="AJ42" i="5"/>
  <c r="AI42" i="5"/>
  <c r="AF42" i="5"/>
  <c r="AG42" i="5" s="1"/>
  <c r="AD42" i="5"/>
  <c r="AC42" i="5"/>
  <c r="Z42" i="5"/>
  <c r="AA42" i="5" s="1"/>
  <c r="X42" i="5"/>
  <c r="W42" i="5"/>
  <c r="U42" i="5"/>
  <c r="T42" i="5"/>
  <c r="R42" i="5"/>
  <c r="Q42" i="5"/>
  <c r="N42" i="5"/>
  <c r="O42" i="5" s="1"/>
  <c r="L42" i="5"/>
  <c r="K42" i="5"/>
  <c r="H42" i="5"/>
  <c r="I42" i="5" s="1"/>
  <c r="D42" i="5"/>
  <c r="AO41" i="5"/>
  <c r="AP41" i="5" s="1"/>
  <c r="AL41" i="5"/>
  <c r="AM41" i="5" s="1"/>
  <c r="AJ41" i="5"/>
  <c r="AI41" i="5"/>
  <c r="AF41" i="5"/>
  <c r="AG41" i="5" s="1"/>
  <c r="AD41" i="5"/>
  <c r="AC41" i="5"/>
  <c r="Z41" i="5"/>
  <c r="AA41" i="5" s="1"/>
  <c r="W41" i="5"/>
  <c r="X41" i="5" s="1"/>
  <c r="T41" i="5"/>
  <c r="U41" i="5" s="1"/>
  <c r="R41" i="5"/>
  <c r="Q41" i="5"/>
  <c r="N41" i="5"/>
  <c r="O41" i="5" s="1"/>
  <c r="L41" i="5"/>
  <c r="K41" i="5"/>
  <c r="H41" i="5"/>
  <c r="I41" i="5" s="1"/>
  <c r="D41" i="5"/>
  <c r="AO40" i="5"/>
  <c r="AP40" i="5" s="1"/>
  <c r="AM40" i="5"/>
  <c r="AL40" i="5"/>
  <c r="AI40" i="5"/>
  <c r="AJ40" i="5" s="1"/>
  <c r="AG40" i="5"/>
  <c r="AF40" i="5"/>
  <c r="AD40" i="5"/>
  <c r="AC40" i="5"/>
  <c r="AA40" i="5"/>
  <c r="Z40" i="5"/>
  <c r="W40" i="5"/>
  <c r="X40" i="5" s="1"/>
  <c r="U40" i="5"/>
  <c r="T40" i="5"/>
  <c r="Q40" i="5"/>
  <c r="R40" i="5" s="1"/>
  <c r="O40" i="5"/>
  <c r="N40" i="5"/>
  <c r="L40" i="5"/>
  <c r="K40" i="5"/>
  <c r="I40" i="5"/>
  <c r="H40" i="5"/>
  <c r="E40" i="5"/>
  <c r="F40" i="5" s="1"/>
  <c r="D40" i="5"/>
  <c r="AO39" i="5"/>
  <c r="AP39" i="5" s="1"/>
  <c r="AM39" i="5"/>
  <c r="AL39" i="5"/>
  <c r="AI39" i="5"/>
  <c r="AJ39" i="5" s="1"/>
  <c r="AF39" i="5"/>
  <c r="AG39" i="5" s="1"/>
  <c r="AC39" i="5"/>
  <c r="AD39" i="5" s="1"/>
  <c r="AA39" i="5"/>
  <c r="Z39" i="5"/>
  <c r="W39" i="5"/>
  <c r="X39" i="5" s="1"/>
  <c r="U39" i="5"/>
  <c r="T39" i="5"/>
  <c r="Q39" i="5"/>
  <c r="R39" i="5" s="1"/>
  <c r="N39" i="5"/>
  <c r="O39" i="5" s="1"/>
  <c r="K39" i="5"/>
  <c r="L39" i="5" s="1"/>
  <c r="I39" i="5"/>
  <c r="H39" i="5"/>
  <c r="E39" i="5" s="1"/>
  <c r="D39" i="5"/>
  <c r="F39" i="5" s="1"/>
  <c r="AP38" i="5"/>
  <c r="AO38" i="5"/>
  <c r="AM38" i="5"/>
  <c r="AL38" i="5"/>
  <c r="AJ38" i="5"/>
  <c r="AI38" i="5"/>
  <c r="AF38" i="5"/>
  <c r="AG38" i="5" s="1"/>
  <c r="AD38" i="5"/>
  <c r="AC38" i="5"/>
  <c r="Z38" i="5"/>
  <c r="AA38" i="5" s="1"/>
  <c r="X38" i="5"/>
  <c r="W38" i="5"/>
  <c r="U38" i="5"/>
  <c r="T38" i="5"/>
  <c r="R38" i="5"/>
  <c r="Q38" i="5"/>
  <c r="N38" i="5"/>
  <c r="O38" i="5" s="1"/>
  <c r="L38" i="5"/>
  <c r="K38" i="5"/>
  <c r="H38" i="5"/>
  <c r="I38" i="5" s="1"/>
  <c r="D38" i="5"/>
  <c r="AO37" i="5"/>
  <c r="AP37" i="5" s="1"/>
  <c r="AL37" i="5"/>
  <c r="AM37" i="5" s="1"/>
  <c r="AJ37" i="5"/>
  <c r="AI37" i="5"/>
  <c r="AF37" i="5"/>
  <c r="AG37" i="5" s="1"/>
  <c r="AD37" i="5"/>
  <c r="AC37" i="5"/>
  <c r="Z37" i="5"/>
  <c r="AA37" i="5" s="1"/>
  <c r="W37" i="5"/>
  <c r="X37" i="5" s="1"/>
  <c r="T37" i="5"/>
  <c r="U37" i="5" s="1"/>
  <c r="R37" i="5"/>
  <c r="Q37" i="5"/>
  <c r="N37" i="5"/>
  <c r="O37" i="5" s="1"/>
  <c r="L37" i="5"/>
  <c r="K37" i="5"/>
  <c r="H37" i="5"/>
  <c r="I37" i="5" s="1"/>
  <c r="D37" i="5"/>
  <c r="AO36" i="5"/>
  <c r="AP36" i="5" s="1"/>
  <c r="AM36" i="5"/>
  <c r="AL36" i="5"/>
  <c r="AI36" i="5"/>
  <c r="AJ36" i="5" s="1"/>
  <c r="AG36" i="5"/>
  <c r="AF36" i="5"/>
  <c r="AD36" i="5"/>
  <c r="AC36" i="5"/>
  <c r="AA36" i="5"/>
  <c r="Z36" i="5"/>
  <c r="W36" i="5"/>
  <c r="X36" i="5" s="1"/>
  <c r="U36" i="5"/>
  <c r="T36" i="5"/>
  <c r="Q36" i="5"/>
  <c r="R36" i="5" s="1"/>
  <c r="O36" i="5"/>
  <c r="N36" i="5"/>
  <c r="L36" i="5"/>
  <c r="K36" i="5"/>
  <c r="I36" i="5"/>
  <c r="H36" i="5"/>
  <c r="E36" i="5"/>
  <c r="F36" i="5" s="1"/>
  <c r="D36" i="5"/>
  <c r="AO35" i="5"/>
  <c r="AP35" i="5" s="1"/>
  <c r="AM35" i="5"/>
  <c r="AL35" i="5"/>
  <c r="AI35" i="5"/>
  <c r="AJ35" i="5" s="1"/>
  <c r="AF35" i="5"/>
  <c r="AG35" i="5" s="1"/>
  <c r="AC35" i="5"/>
  <c r="AD35" i="5" s="1"/>
  <c r="AA35" i="5"/>
  <c r="Z35" i="5"/>
  <c r="W35" i="5"/>
  <c r="X35" i="5" s="1"/>
  <c r="U35" i="5"/>
  <c r="T35" i="5"/>
  <c r="Q35" i="5"/>
  <c r="R35" i="5" s="1"/>
  <c r="N35" i="5"/>
  <c r="O35" i="5" s="1"/>
  <c r="K35" i="5"/>
  <c r="L35" i="5" s="1"/>
  <c r="I35" i="5"/>
  <c r="H35" i="5"/>
  <c r="E35" i="5" s="1"/>
  <c r="D35" i="5"/>
  <c r="F35" i="5" s="1"/>
  <c r="AP34" i="5"/>
  <c r="AO34" i="5"/>
  <c r="AM34" i="5"/>
  <c r="AL34" i="5"/>
  <c r="AJ34" i="5"/>
  <c r="AI34" i="5"/>
  <c r="AF34" i="5"/>
  <c r="AG34" i="5" s="1"/>
  <c r="AD34" i="5"/>
  <c r="AC34" i="5"/>
  <c r="Z34" i="5"/>
  <c r="AA34" i="5" s="1"/>
  <c r="X34" i="5"/>
  <c r="W34" i="5"/>
  <c r="U34" i="5"/>
  <c r="T34" i="5"/>
  <c r="R34" i="5"/>
  <c r="Q34" i="5"/>
  <c r="N34" i="5"/>
  <c r="O34" i="5" s="1"/>
  <c r="L34" i="5"/>
  <c r="K34" i="5"/>
  <c r="H34" i="5"/>
  <c r="I34" i="5" s="1"/>
  <c r="D34" i="5"/>
  <c r="AO33" i="5"/>
  <c r="AP33" i="5" s="1"/>
  <c r="AL33" i="5"/>
  <c r="AM33" i="5" s="1"/>
  <c r="AJ33" i="5"/>
  <c r="AI33" i="5"/>
  <c r="AF33" i="5"/>
  <c r="AG33" i="5" s="1"/>
  <c r="AD33" i="5"/>
  <c r="AC33" i="5"/>
  <c r="Z33" i="5"/>
  <c r="AA33" i="5" s="1"/>
  <c r="W33" i="5"/>
  <c r="X33" i="5" s="1"/>
  <c r="T33" i="5"/>
  <c r="U33" i="5" s="1"/>
  <c r="R33" i="5"/>
  <c r="Q33" i="5"/>
  <c r="N33" i="5"/>
  <c r="O33" i="5" s="1"/>
  <c r="L33" i="5"/>
  <c r="K33" i="5"/>
  <c r="H33" i="5"/>
  <c r="I33" i="5" s="1"/>
  <c r="D33" i="5"/>
  <c r="AO32" i="5"/>
  <c r="AP32" i="5" s="1"/>
  <c r="AM32" i="5"/>
  <c r="AL32" i="5"/>
  <c r="AI32" i="5"/>
  <c r="AJ32" i="5" s="1"/>
  <c r="AG32" i="5"/>
  <c r="AF32" i="5"/>
  <c r="AD32" i="5"/>
  <c r="AC32" i="5"/>
  <c r="AA32" i="5"/>
  <c r="Z32" i="5"/>
  <c r="W32" i="5"/>
  <c r="X32" i="5" s="1"/>
  <c r="U32" i="5"/>
  <c r="T32" i="5"/>
  <c r="Q32" i="5"/>
  <c r="R32" i="5" s="1"/>
  <c r="O32" i="5"/>
  <c r="N32" i="5"/>
  <c r="L32" i="5"/>
  <c r="K32" i="5"/>
  <c r="I32" i="5"/>
  <c r="H32" i="5"/>
  <c r="E32" i="5"/>
  <c r="F32" i="5" s="1"/>
  <c r="D32" i="5"/>
  <c r="AO31" i="5"/>
  <c r="AP31" i="5" s="1"/>
  <c r="AM31" i="5"/>
  <c r="AL31" i="5"/>
  <c r="AI31" i="5"/>
  <c r="AJ31" i="5" s="1"/>
  <c r="AF31" i="5"/>
  <c r="AG31" i="5" s="1"/>
  <c r="AC31" i="5"/>
  <c r="AD31" i="5" s="1"/>
  <c r="AA31" i="5"/>
  <c r="Z31" i="5"/>
  <c r="W31" i="5"/>
  <c r="X31" i="5" s="1"/>
  <c r="U31" i="5"/>
  <c r="T31" i="5"/>
  <c r="Q31" i="5"/>
  <c r="R31" i="5" s="1"/>
  <c r="N31" i="5"/>
  <c r="O31" i="5" s="1"/>
  <c r="K31" i="5"/>
  <c r="L31" i="5" s="1"/>
  <c r="I31" i="5"/>
  <c r="H31" i="5"/>
  <c r="E31" i="5" s="1"/>
  <c r="D31" i="5"/>
  <c r="F31" i="5" s="1"/>
  <c r="AP30" i="5"/>
  <c r="AO30" i="5"/>
  <c r="AM30" i="5"/>
  <c r="AL30" i="5"/>
  <c r="AJ30" i="5"/>
  <c r="AI30" i="5"/>
  <c r="AF30" i="5"/>
  <c r="AG30" i="5" s="1"/>
  <c r="AD30" i="5"/>
  <c r="AC30" i="5"/>
  <c r="Z30" i="5"/>
  <c r="AA30" i="5" s="1"/>
  <c r="X30" i="5"/>
  <c r="W30" i="5"/>
  <c r="U30" i="5"/>
  <c r="T30" i="5"/>
  <c r="R30" i="5"/>
  <c r="Q30" i="5"/>
  <c r="N30" i="5"/>
  <c r="O30" i="5" s="1"/>
  <c r="L30" i="5"/>
  <c r="K30" i="5"/>
  <c r="H30" i="5"/>
  <c r="I30" i="5" s="1"/>
  <c r="D30" i="5"/>
  <c r="AO29" i="5"/>
  <c r="AP29" i="5" s="1"/>
  <c r="AL29" i="5"/>
  <c r="AM29" i="5" s="1"/>
  <c r="AJ29" i="5"/>
  <c r="AI29" i="5"/>
  <c r="AF29" i="5"/>
  <c r="AG29" i="5" s="1"/>
  <c r="AD29" i="5"/>
  <c r="AC29" i="5"/>
  <c r="Z29" i="5"/>
  <c r="AA29" i="5" s="1"/>
  <c r="W29" i="5"/>
  <c r="X29" i="5" s="1"/>
  <c r="T29" i="5"/>
  <c r="U29" i="5" s="1"/>
  <c r="R29" i="5"/>
  <c r="Q29" i="5"/>
  <c r="N29" i="5"/>
  <c r="O29" i="5" s="1"/>
  <c r="L29" i="5"/>
  <c r="K29" i="5"/>
  <c r="H29" i="5"/>
  <c r="I29" i="5" s="1"/>
  <c r="E29" i="5"/>
  <c r="F29" i="5" s="1"/>
  <c r="D29" i="5"/>
  <c r="AO28" i="5"/>
  <c r="AP28" i="5" s="1"/>
  <c r="AM28" i="5"/>
  <c r="AL28" i="5"/>
  <c r="AI28" i="5"/>
  <c r="AJ28" i="5" s="1"/>
  <c r="AG28" i="5"/>
  <c r="AF28" i="5"/>
  <c r="AD28" i="5"/>
  <c r="AC28" i="5"/>
  <c r="AA28" i="5"/>
  <c r="Z28" i="5"/>
  <c r="W28" i="5"/>
  <c r="X28" i="5" s="1"/>
  <c r="U28" i="5"/>
  <c r="T28" i="5"/>
  <c r="Q28" i="5"/>
  <c r="R28" i="5" s="1"/>
  <c r="O28" i="5"/>
  <c r="N28" i="5"/>
  <c r="L28" i="5"/>
  <c r="K28" i="5"/>
  <c r="I28" i="5"/>
  <c r="H28" i="5"/>
  <c r="E28" i="5"/>
  <c r="F28" i="5" s="1"/>
  <c r="D28" i="5"/>
  <c r="AO27" i="5"/>
  <c r="AP27" i="5" s="1"/>
  <c r="AM27" i="5"/>
  <c r="AL27" i="5"/>
  <c r="AI27" i="5"/>
  <c r="AJ27" i="5" s="1"/>
  <c r="AF27" i="5"/>
  <c r="AG27" i="5" s="1"/>
  <c r="AC27" i="5"/>
  <c r="AD27" i="5" s="1"/>
  <c r="AA27" i="5"/>
  <c r="Z27" i="5"/>
  <c r="W27" i="5"/>
  <c r="X27" i="5" s="1"/>
  <c r="U27" i="5"/>
  <c r="T27" i="5"/>
  <c r="Q27" i="5"/>
  <c r="R27" i="5" s="1"/>
  <c r="N27" i="5"/>
  <c r="O27" i="5" s="1"/>
  <c r="K27" i="5"/>
  <c r="L27" i="5" s="1"/>
  <c r="I27" i="5"/>
  <c r="H27" i="5"/>
  <c r="E27" i="5" s="1"/>
  <c r="D27" i="5"/>
  <c r="F27" i="5" s="1"/>
  <c r="AP26" i="5"/>
  <c r="AO26" i="5"/>
  <c r="AM26" i="5"/>
  <c r="AL26" i="5"/>
  <c r="AJ26" i="5"/>
  <c r="AI26" i="5"/>
  <c r="AF26" i="5"/>
  <c r="AG26" i="5" s="1"/>
  <c r="AD26" i="5"/>
  <c r="AC26" i="5"/>
  <c r="Z26" i="5"/>
  <c r="AA26" i="5" s="1"/>
  <c r="X26" i="5"/>
  <c r="W26" i="5"/>
  <c r="U26" i="5"/>
  <c r="T26" i="5"/>
  <c r="R26" i="5"/>
  <c r="Q26" i="5"/>
  <c r="N26" i="5"/>
  <c r="O26" i="5" s="1"/>
  <c r="L26" i="5"/>
  <c r="K26" i="5"/>
  <c r="H26" i="5"/>
  <c r="I26" i="5" s="1"/>
  <c r="D26" i="5"/>
  <c r="AO25" i="5"/>
  <c r="AP25" i="5" s="1"/>
  <c r="AL25" i="5"/>
  <c r="AM25" i="5" s="1"/>
  <c r="AJ25" i="5"/>
  <c r="AI25" i="5"/>
  <c r="AF25" i="5"/>
  <c r="AG25" i="5" s="1"/>
  <c r="AD25" i="5"/>
  <c r="AC25" i="5"/>
  <c r="Z25" i="5"/>
  <c r="AA25" i="5" s="1"/>
  <c r="W25" i="5"/>
  <c r="X25" i="5" s="1"/>
  <c r="T25" i="5"/>
  <c r="U25" i="5" s="1"/>
  <c r="R25" i="5"/>
  <c r="Q25" i="5"/>
  <c r="N25" i="5"/>
  <c r="O25" i="5" s="1"/>
  <c r="L25" i="5"/>
  <c r="K25" i="5"/>
  <c r="H25" i="5"/>
  <c r="I25" i="5" s="1"/>
  <c r="E25" i="5"/>
  <c r="F25" i="5" s="1"/>
  <c r="D25" i="5"/>
  <c r="AO24" i="5"/>
  <c r="AP24" i="5" s="1"/>
  <c r="AM24" i="5"/>
  <c r="AL24" i="5"/>
  <c r="AI24" i="5"/>
  <c r="AJ24" i="5" s="1"/>
  <c r="AG24" i="5"/>
  <c r="AF24" i="5"/>
  <c r="AD24" i="5"/>
  <c r="AC24" i="5"/>
  <c r="AA24" i="5"/>
  <c r="Z24" i="5"/>
  <c r="W24" i="5"/>
  <c r="X24" i="5" s="1"/>
  <c r="U24" i="5"/>
  <c r="T24" i="5"/>
  <c r="Q24" i="5"/>
  <c r="R24" i="5" s="1"/>
  <c r="O24" i="5"/>
  <c r="N24" i="5"/>
  <c r="L24" i="5"/>
  <c r="K24" i="5"/>
  <c r="I24" i="5"/>
  <c r="H24" i="5"/>
  <c r="E24" i="5"/>
  <c r="F24" i="5" s="1"/>
  <c r="D24" i="5"/>
  <c r="AO23" i="5"/>
  <c r="AP23" i="5" s="1"/>
  <c r="AM23" i="5"/>
  <c r="AL23" i="5"/>
  <c r="AI23" i="5"/>
  <c r="AJ23" i="5" s="1"/>
  <c r="AF23" i="5"/>
  <c r="AG23" i="5" s="1"/>
  <c r="AC23" i="5"/>
  <c r="AD23" i="5" s="1"/>
  <c r="AA23" i="5"/>
  <c r="Z23" i="5"/>
  <c r="W23" i="5"/>
  <c r="X23" i="5" s="1"/>
  <c r="U23" i="5"/>
  <c r="T23" i="5"/>
  <c r="Q23" i="5"/>
  <c r="R23" i="5" s="1"/>
  <c r="N23" i="5"/>
  <c r="O23" i="5" s="1"/>
  <c r="K23" i="5"/>
  <c r="L23" i="5" s="1"/>
  <c r="I23" i="5"/>
  <c r="H23" i="5"/>
  <c r="E23" i="5" s="1"/>
  <c r="D23" i="5"/>
  <c r="AO47" i="7"/>
  <c r="AP47" i="7" s="1"/>
  <c r="AL47" i="7"/>
  <c r="AM47" i="7" s="1"/>
  <c r="AI47" i="7"/>
  <c r="AJ47" i="7" s="1"/>
  <c r="AF47" i="7"/>
  <c r="AG47" i="7" s="1"/>
  <c r="AC47" i="7"/>
  <c r="AD47" i="7" s="1"/>
  <c r="Z47" i="7"/>
  <c r="AA47" i="7" s="1"/>
  <c r="W47" i="7"/>
  <c r="X47" i="7" s="1"/>
  <c r="T47" i="7"/>
  <c r="U47" i="7" s="1"/>
  <c r="Q47" i="7"/>
  <c r="R47" i="7" s="1"/>
  <c r="N47" i="7"/>
  <c r="O47" i="7" s="1"/>
  <c r="K47" i="7"/>
  <c r="L47" i="7" s="1"/>
  <c r="H47" i="7"/>
  <c r="E47" i="7" s="1"/>
  <c r="D47" i="7"/>
  <c r="AP46" i="7"/>
  <c r="AO46" i="7"/>
  <c r="AM46" i="7"/>
  <c r="AL46" i="7"/>
  <c r="AJ46" i="7"/>
  <c r="AI46" i="7"/>
  <c r="AF46" i="7"/>
  <c r="AG46" i="7" s="1"/>
  <c r="AD46" i="7"/>
  <c r="AC46" i="7"/>
  <c r="AA46" i="7"/>
  <c r="Z46" i="7"/>
  <c r="X46" i="7"/>
  <c r="W46" i="7"/>
  <c r="U46" i="7"/>
  <c r="T46" i="7"/>
  <c r="R46" i="7"/>
  <c r="Q46" i="7"/>
  <c r="N46" i="7"/>
  <c r="O46" i="7" s="1"/>
  <c r="L46" i="7"/>
  <c r="K46" i="7"/>
  <c r="I46" i="7"/>
  <c r="H46" i="7"/>
  <c r="E46" i="7"/>
  <c r="D46" i="7"/>
  <c r="F46" i="7" s="1"/>
  <c r="AO45" i="7"/>
  <c r="AP45" i="7" s="1"/>
  <c r="AL45" i="7"/>
  <c r="AM45" i="7" s="1"/>
  <c r="AI45" i="7"/>
  <c r="AJ45" i="7" s="1"/>
  <c r="AF45" i="7"/>
  <c r="AG45" i="7" s="1"/>
  <c r="AC45" i="7"/>
  <c r="AD45" i="7" s="1"/>
  <c r="Z45" i="7"/>
  <c r="AA45" i="7" s="1"/>
  <c r="W45" i="7"/>
  <c r="X45" i="7" s="1"/>
  <c r="T45" i="7"/>
  <c r="U45" i="7" s="1"/>
  <c r="Q45" i="7"/>
  <c r="R45" i="7" s="1"/>
  <c r="N45" i="7"/>
  <c r="O45" i="7" s="1"/>
  <c r="K45" i="7"/>
  <c r="L45" i="7" s="1"/>
  <c r="H45" i="7"/>
  <c r="I45" i="7" s="1"/>
  <c r="E45" i="7"/>
  <c r="F45" i="7" s="1"/>
  <c r="D45" i="7"/>
  <c r="AO44" i="7"/>
  <c r="AP44" i="7" s="1"/>
  <c r="AM44" i="7"/>
  <c r="AL44" i="7"/>
  <c r="AJ44" i="7"/>
  <c r="AI44" i="7"/>
  <c r="AG44" i="7"/>
  <c r="AF44" i="7"/>
  <c r="AD44" i="7"/>
  <c r="AC44" i="7"/>
  <c r="AA44" i="7"/>
  <c r="Z44" i="7"/>
  <c r="W44" i="7"/>
  <c r="X44" i="7" s="1"/>
  <c r="U44" i="7"/>
  <c r="T44" i="7"/>
  <c r="R44" i="7"/>
  <c r="Q44" i="7"/>
  <c r="O44" i="7"/>
  <c r="N44" i="7"/>
  <c r="L44" i="7"/>
  <c r="K44" i="7"/>
  <c r="I44" i="7"/>
  <c r="H44" i="7"/>
  <c r="E44" i="7"/>
  <c r="D44" i="7"/>
  <c r="F44" i="7" s="1"/>
  <c r="AO43" i="7"/>
  <c r="AP43" i="7" s="1"/>
  <c r="AL43" i="7"/>
  <c r="AM43" i="7" s="1"/>
  <c r="AI43" i="7"/>
  <c r="AJ43" i="7" s="1"/>
  <c r="AF43" i="7"/>
  <c r="AG43" i="7" s="1"/>
  <c r="AC43" i="7"/>
  <c r="AD43" i="7" s="1"/>
  <c r="Z43" i="7"/>
  <c r="AA43" i="7" s="1"/>
  <c r="W43" i="7"/>
  <c r="X43" i="7" s="1"/>
  <c r="T43" i="7"/>
  <c r="U43" i="7" s="1"/>
  <c r="Q43" i="7"/>
  <c r="R43" i="7" s="1"/>
  <c r="N43" i="7"/>
  <c r="O43" i="7" s="1"/>
  <c r="K43" i="7"/>
  <c r="L43" i="7" s="1"/>
  <c r="H43" i="7"/>
  <c r="E43" i="7" s="1"/>
  <c r="D43" i="7"/>
  <c r="AP42" i="7"/>
  <c r="AO42" i="7"/>
  <c r="AM42" i="7"/>
  <c r="AL42" i="7"/>
  <c r="AJ42" i="7"/>
  <c r="AI42" i="7"/>
  <c r="AF42" i="7"/>
  <c r="AG42" i="7" s="1"/>
  <c r="AD42" i="7"/>
  <c r="AC42" i="7"/>
  <c r="AA42" i="7"/>
  <c r="Z42" i="7"/>
  <c r="X42" i="7"/>
  <c r="W42" i="7"/>
  <c r="U42" i="7"/>
  <c r="T42" i="7"/>
  <c r="R42" i="7"/>
  <c r="Q42" i="7"/>
  <c r="N42" i="7"/>
  <c r="O42" i="7" s="1"/>
  <c r="L42" i="7"/>
  <c r="K42" i="7"/>
  <c r="I42" i="7"/>
  <c r="H42" i="7"/>
  <c r="F42" i="7"/>
  <c r="E42" i="7"/>
  <c r="D42" i="7"/>
  <c r="AO41" i="7"/>
  <c r="AP41" i="7" s="1"/>
  <c r="AL41" i="7"/>
  <c r="AM41" i="7" s="1"/>
  <c r="AI41" i="7"/>
  <c r="AJ41" i="7" s="1"/>
  <c r="AF41" i="7"/>
  <c r="AG41" i="7" s="1"/>
  <c r="AC41" i="7"/>
  <c r="AD41" i="7" s="1"/>
  <c r="Z41" i="7"/>
  <c r="AA41" i="7" s="1"/>
  <c r="W41" i="7"/>
  <c r="X41" i="7" s="1"/>
  <c r="T41" i="7"/>
  <c r="U41" i="7" s="1"/>
  <c r="Q41" i="7"/>
  <c r="R41" i="7" s="1"/>
  <c r="N41" i="7"/>
  <c r="O41" i="7" s="1"/>
  <c r="K41" i="7"/>
  <c r="L41" i="7" s="1"/>
  <c r="H41" i="7"/>
  <c r="I41" i="7" s="1"/>
  <c r="D41" i="7"/>
  <c r="AO40" i="7"/>
  <c r="AP40" i="7" s="1"/>
  <c r="AM40" i="7"/>
  <c r="AL40" i="7"/>
  <c r="AJ40" i="7"/>
  <c r="AI40" i="7"/>
  <c r="AG40" i="7"/>
  <c r="AF40" i="7"/>
  <c r="AD40" i="7"/>
  <c r="AC40" i="7"/>
  <c r="AA40" i="7"/>
  <c r="Z40" i="7"/>
  <c r="W40" i="7"/>
  <c r="X40" i="7" s="1"/>
  <c r="U40" i="7"/>
  <c r="T40" i="7"/>
  <c r="R40" i="7"/>
  <c r="Q40" i="7"/>
  <c r="O40" i="7"/>
  <c r="N40" i="7"/>
  <c r="L40" i="7"/>
  <c r="K40" i="7"/>
  <c r="I40" i="7"/>
  <c r="H40" i="7"/>
  <c r="E40" i="7"/>
  <c r="D40" i="7"/>
  <c r="F40" i="7" s="1"/>
  <c r="AO39" i="7"/>
  <c r="AP39" i="7" s="1"/>
  <c r="AL39" i="7"/>
  <c r="AM39" i="7" s="1"/>
  <c r="AI39" i="7"/>
  <c r="AJ39" i="7" s="1"/>
  <c r="AF39" i="7"/>
  <c r="AG39" i="7" s="1"/>
  <c r="AC39" i="7"/>
  <c r="AD39" i="7" s="1"/>
  <c r="Z39" i="7"/>
  <c r="AA39" i="7" s="1"/>
  <c r="W39" i="7"/>
  <c r="X39" i="7" s="1"/>
  <c r="T39" i="7"/>
  <c r="U39" i="7" s="1"/>
  <c r="Q39" i="7"/>
  <c r="R39" i="7" s="1"/>
  <c r="N39" i="7"/>
  <c r="O39" i="7" s="1"/>
  <c r="K39" i="7"/>
  <c r="L39" i="7" s="1"/>
  <c r="H39" i="7"/>
  <c r="E39" i="7" s="1"/>
  <c r="D39" i="7"/>
  <c r="F39" i="7" s="1"/>
  <c r="AP38" i="7"/>
  <c r="AO38" i="7"/>
  <c r="AM38" i="7"/>
  <c r="AL38" i="7"/>
  <c r="AJ38" i="7"/>
  <c r="AI38" i="7"/>
  <c r="AF38" i="7"/>
  <c r="AG38" i="7" s="1"/>
  <c r="AD38" i="7"/>
  <c r="AC38" i="7"/>
  <c r="AA38" i="7"/>
  <c r="Z38" i="7"/>
  <c r="X38" i="7"/>
  <c r="W38" i="7"/>
  <c r="U38" i="7"/>
  <c r="T38" i="7"/>
  <c r="R38" i="7"/>
  <c r="Q38" i="7"/>
  <c r="N38" i="7"/>
  <c r="O38" i="7" s="1"/>
  <c r="L38" i="7"/>
  <c r="K38" i="7"/>
  <c r="I38" i="7"/>
  <c r="H38" i="7"/>
  <c r="E38" i="7" s="1"/>
  <c r="F38" i="7" s="1"/>
  <c r="D38" i="7"/>
  <c r="AO37" i="7"/>
  <c r="AP37" i="7" s="1"/>
  <c r="AL37" i="7"/>
  <c r="AM37" i="7" s="1"/>
  <c r="AI37" i="7"/>
  <c r="AJ37" i="7" s="1"/>
  <c r="AF37" i="7"/>
  <c r="AG37" i="7" s="1"/>
  <c r="AC37" i="7"/>
  <c r="AD37" i="7" s="1"/>
  <c r="Z37" i="7"/>
  <c r="AA37" i="7" s="1"/>
  <c r="W37" i="7"/>
  <c r="X37" i="7" s="1"/>
  <c r="T37" i="7"/>
  <c r="U37" i="7" s="1"/>
  <c r="Q37" i="7"/>
  <c r="R37" i="7" s="1"/>
  <c r="N37" i="7"/>
  <c r="O37" i="7" s="1"/>
  <c r="K37" i="7"/>
  <c r="L37" i="7" s="1"/>
  <c r="H37" i="7"/>
  <c r="I37" i="7" s="1"/>
  <c r="D37" i="7"/>
  <c r="AO36" i="7"/>
  <c r="AP36" i="7" s="1"/>
  <c r="AM36" i="7"/>
  <c r="AL36" i="7"/>
  <c r="AJ36" i="7"/>
  <c r="AI36" i="7"/>
  <c r="AG36" i="7"/>
  <c r="AF36" i="7"/>
  <c r="AD36" i="7"/>
  <c r="AC36" i="7"/>
  <c r="AA36" i="7"/>
  <c r="Z36" i="7"/>
  <c r="W36" i="7"/>
  <c r="X36" i="7" s="1"/>
  <c r="U36" i="7"/>
  <c r="T36" i="7"/>
  <c r="R36" i="7"/>
  <c r="Q36" i="7"/>
  <c r="O36" i="7"/>
  <c r="N36" i="7"/>
  <c r="L36" i="7"/>
  <c r="K36" i="7"/>
  <c r="I36" i="7"/>
  <c r="H36" i="7"/>
  <c r="E36" i="7"/>
  <c r="D36" i="7"/>
  <c r="F36" i="7" s="1"/>
  <c r="AO35" i="7"/>
  <c r="AP35" i="7" s="1"/>
  <c r="AL35" i="7"/>
  <c r="AM35" i="7" s="1"/>
  <c r="AI35" i="7"/>
  <c r="AJ35" i="7" s="1"/>
  <c r="AF35" i="7"/>
  <c r="AG35" i="7" s="1"/>
  <c r="AC35" i="7"/>
  <c r="AD35" i="7" s="1"/>
  <c r="Z35" i="7"/>
  <c r="AA35" i="7" s="1"/>
  <c r="W35" i="7"/>
  <c r="X35" i="7" s="1"/>
  <c r="T35" i="7"/>
  <c r="U35" i="7" s="1"/>
  <c r="Q35" i="7"/>
  <c r="R35" i="7" s="1"/>
  <c r="N35" i="7"/>
  <c r="O35" i="7" s="1"/>
  <c r="K35" i="7"/>
  <c r="L35" i="7" s="1"/>
  <c r="H35" i="7"/>
  <c r="E35" i="7" s="1"/>
  <c r="F35" i="7" s="1"/>
  <c r="D35" i="7"/>
  <c r="AP34" i="7"/>
  <c r="AO34" i="7"/>
  <c r="AM34" i="7"/>
  <c r="AL34" i="7"/>
  <c r="AJ34" i="7"/>
  <c r="AI34" i="7"/>
  <c r="AF34" i="7"/>
  <c r="AG34" i="7" s="1"/>
  <c r="AD34" i="7"/>
  <c r="AC34" i="7"/>
  <c r="AA34" i="7"/>
  <c r="Z34" i="7"/>
  <c r="X34" i="7"/>
  <c r="W34" i="7"/>
  <c r="U34" i="7"/>
  <c r="T34" i="7"/>
  <c r="R34" i="7"/>
  <c r="Q34" i="7"/>
  <c r="N34" i="7"/>
  <c r="O34" i="7" s="1"/>
  <c r="L34" i="7"/>
  <c r="K34" i="7"/>
  <c r="I34" i="7"/>
  <c r="H34" i="7"/>
  <c r="E34" i="7" s="1"/>
  <c r="F34" i="7" s="1"/>
  <c r="D34" i="7"/>
  <c r="AO33" i="7"/>
  <c r="AP33" i="7" s="1"/>
  <c r="AL33" i="7"/>
  <c r="AM33" i="7" s="1"/>
  <c r="AI33" i="7"/>
  <c r="AJ33" i="7" s="1"/>
  <c r="AF33" i="7"/>
  <c r="AG33" i="7" s="1"/>
  <c r="AC33" i="7"/>
  <c r="AD33" i="7" s="1"/>
  <c r="Z33" i="7"/>
  <c r="AA33" i="7" s="1"/>
  <c r="W33" i="7"/>
  <c r="X33" i="7" s="1"/>
  <c r="T33" i="7"/>
  <c r="U33" i="7" s="1"/>
  <c r="Q33" i="7"/>
  <c r="R33" i="7" s="1"/>
  <c r="N33" i="7"/>
  <c r="O33" i="7" s="1"/>
  <c r="K33" i="7"/>
  <c r="L33" i="7" s="1"/>
  <c r="H33" i="7"/>
  <c r="I33" i="7" s="1"/>
  <c r="D33" i="7"/>
  <c r="AO32" i="7"/>
  <c r="AP32" i="7" s="1"/>
  <c r="AM32" i="7"/>
  <c r="AL32" i="7"/>
  <c r="AJ32" i="7"/>
  <c r="AI32" i="7"/>
  <c r="AG32" i="7"/>
  <c r="AF32" i="7"/>
  <c r="AD32" i="7"/>
  <c r="AC32" i="7"/>
  <c r="AA32" i="7"/>
  <c r="Z32" i="7"/>
  <c r="W32" i="7"/>
  <c r="X32" i="7" s="1"/>
  <c r="U32" i="7"/>
  <c r="T32" i="7"/>
  <c r="R32" i="7"/>
  <c r="Q32" i="7"/>
  <c r="O32" i="7"/>
  <c r="N32" i="7"/>
  <c r="L32" i="7"/>
  <c r="K32" i="7"/>
  <c r="I32" i="7"/>
  <c r="H32" i="7"/>
  <c r="E32" i="7"/>
  <c r="D32" i="7"/>
  <c r="F32" i="7" s="1"/>
  <c r="AO31" i="7"/>
  <c r="AP31" i="7" s="1"/>
  <c r="AL31" i="7"/>
  <c r="AM31" i="7" s="1"/>
  <c r="AI31" i="7"/>
  <c r="AJ31" i="7" s="1"/>
  <c r="AF31" i="7"/>
  <c r="AG31" i="7" s="1"/>
  <c r="AC31" i="7"/>
  <c r="AD31" i="7" s="1"/>
  <c r="Z31" i="7"/>
  <c r="AA31" i="7" s="1"/>
  <c r="W31" i="7"/>
  <c r="X31" i="7" s="1"/>
  <c r="T31" i="7"/>
  <c r="U31" i="7" s="1"/>
  <c r="Q31" i="7"/>
  <c r="R31" i="7" s="1"/>
  <c r="N31" i="7"/>
  <c r="O31" i="7" s="1"/>
  <c r="K31" i="7"/>
  <c r="L31" i="7" s="1"/>
  <c r="H31" i="7"/>
  <c r="E31" i="7" s="1"/>
  <c r="F31" i="7" s="1"/>
  <c r="D31" i="7"/>
  <c r="AO47" i="6"/>
  <c r="AP47" i="6" s="1"/>
  <c r="AL47" i="6"/>
  <c r="AM47" i="6" s="1"/>
  <c r="AI47" i="6"/>
  <c r="AJ47" i="6" s="1"/>
  <c r="AF47" i="6"/>
  <c r="AG47" i="6" s="1"/>
  <c r="AC47" i="6"/>
  <c r="AD47" i="6" s="1"/>
  <c r="Z47" i="6"/>
  <c r="AA47" i="6" s="1"/>
  <c r="W47" i="6"/>
  <c r="X47" i="6" s="1"/>
  <c r="T47" i="6"/>
  <c r="U47" i="6" s="1"/>
  <c r="Q47" i="6"/>
  <c r="R47" i="6" s="1"/>
  <c r="N47" i="6"/>
  <c r="O47" i="6" s="1"/>
  <c r="K47" i="6"/>
  <c r="L47" i="6" s="1"/>
  <c r="H47" i="6"/>
  <c r="E47" i="6" s="1"/>
  <c r="D47" i="6"/>
  <c r="AP46" i="6"/>
  <c r="AO46" i="6"/>
  <c r="AM46" i="6"/>
  <c r="AL46" i="6"/>
  <c r="AJ46" i="6"/>
  <c r="AI46" i="6"/>
  <c r="AG46" i="6"/>
  <c r="AF46" i="6"/>
  <c r="AD46" i="6"/>
  <c r="AC46" i="6"/>
  <c r="AA46" i="6"/>
  <c r="Z46" i="6"/>
  <c r="X46" i="6"/>
  <c r="W46" i="6"/>
  <c r="U46" i="6"/>
  <c r="T46" i="6"/>
  <c r="R46" i="6"/>
  <c r="Q46" i="6"/>
  <c r="O46" i="6"/>
  <c r="N46" i="6"/>
  <c r="L46" i="6"/>
  <c r="K46" i="6"/>
  <c r="I46" i="6"/>
  <c r="H46" i="6"/>
  <c r="E46" i="6"/>
  <c r="D46" i="6"/>
  <c r="F46" i="6" s="1"/>
  <c r="AO45" i="6"/>
  <c r="AP45" i="6" s="1"/>
  <c r="AL45" i="6"/>
  <c r="AM45" i="6" s="1"/>
  <c r="AI45" i="6"/>
  <c r="AJ45" i="6" s="1"/>
  <c r="AF45" i="6"/>
  <c r="AG45" i="6" s="1"/>
  <c r="AC45" i="6"/>
  <c r="AD45" i="6" s="1"/>
  <c r="Z45" i="6"/>
  <c r="AA45" i="6" s="1"/>
  <c r="W45" i="6"/>
  <c r="X45" i="6" s="1"/>
  <c r="T45" i="6"/>
  <c r="U45" i="6" s="1"/>
  <c r="Q45" i="6"/>
  <c r="R45" i="6" s="1"/>
  <c r="N45" i="6"/>
  <c r="O45" i="6" s="1"/>
  <c r="K45" i="6"/>
  <c r="L45" i="6" s="1"/>
  <c r="H45" i="6"/>
  <c r="I45" i="6" s="1"/>
  <c r="E45" i="6"/>
  <c r="D45" i="6"/>
  <c r="F45" i="6" s="1"/>
  <c r="AP44" i="6"/>
  <c r="AO44" i="6"/>
  <c r="AM44" i="6"/>
  <c r="AL44" i="6"/>
  <c r="AJ44" i="6"/>
  <c r="AI44" i="6"/>
  <c r="AG44" i="6"/>
  <c r="AF44" i="6"/>
  <c r="AD44" i="6"/>
  <c r="AC44" i="6"/>
  <c r="AA44" i="6"/>
  <c r="Z44" i="6"/>
  <c r="X44" i="6"/>
  <c r="W44" i="6"/>
  <c r="U44" i="6"/>
  <c r="T44" i="6"/>
  <c r="R44" i="6"/>
  <c r="Q44" i="6"/>
  <c r="O44" i="6"/>
  <c r="N44" i="6"/>
  <c r="L44" i="6"/>
  <c r="K44" i="6"/>
  <c r="I44" i="6"/>
  <c r="H44" i="6"/>
  <c r="E44" i="6" s="1"/>
  <c r="D44" i="6"/>
  <c r="AO43" i="6"/>
  <c r="AP43" i="6" s="1"/>
  <c r="AL43" i="6"/>
  <c r="AM43" i="6" s="1"/>
  <c r="AI43" i="6"/>
  <c r="AJ43" i="6" s="1"/>
  <c r="AF43" i="6"/>
  <c r="AG43" i="6" s="1"/>
  <c r="AC43" i="6"/>
  <c r="AD43" i="6" s="1"/>
  <c r="Z43" i="6"/>
  <c r="AA43" i="6" s="1"/>
  <c r="W43" i="6"/>
  <c r="X43" i="6" s="1"/>
  <c r="T43" i="6"/>
  <c r="U43" i="6" s="1"/>
  <c r="Q43" i="6"/>
  <c r="R43" i="6" s="1"/>
  <c r="N43" i="6"/>
  <c r="O43" i="6" s="1"/>
  <c r="K43" i="6"/>
  <c r="L43" i="6" s="1"/>
  <c r="H43" i="6"/>
  <c r="E43" i="6" s="1"/>
  <c r="D43" i="6"/>
  <c r="AP42" i="6"/>
  <c r="AO42" i="6"/>
  <c r="AM42" i="6"/>
  <c r="AL42" i="6"/>
  <c r="AJ42" i="6"/>
  <c r="AI42" i="6"/>
  <c r="AG42" i="6"/>
  <c r="AF42" i="6"/>
  <c r="AD42" i="6"/>
  <c r="AC42" i="6"/>
  <c r="AA42" i="6"/>
  <c r="Z42" i="6"/>
  <c r="X42" i="6"/>
  <c r="W42" i="6"/>
  <c r="U42" i="6"/>
  <c r="T42" i="6"/>
  <c r="R42" i="6"/>
  <c r="Q42" i="6"/>
  <c r="O42" i="6"/>
  <c r="N42" i="6"/>
  <c r="L42" i="6"/>
  <c r="K42" i="6"/>
  <c r="I42" i="6"/>
  <c r="H42" i="6"/>
  <c r="E42" i="6"/>
  <c r="D42" i="6"/>
  <c r="F42" i="6" s="1"/>
  <c r="AO41" i="6"/>
  <c r="AP41" i="6" s="1"/>
  <c r="AL41" i="6"/>
  <c r="AM41" i="6" s="1"/>
  <c r="AI41" i="6"/>
  <c r="AJ41" i="6" s="1"/>
  <c r="AF41" i="6"/>
  <c r="AG41" i="6" s="1"/>
  <c r="AC41" i="6"/>
  <c r="AD41" i="6" s="1"/>
  <c r="Z41" i="6"/>
  <c r="AA41" i="6" s="1"/>
  <c r="W41" i="6"/>
  <c r="X41" i="6" s="1"/>
  <c r="T41" i="6"/>
  <c r="U41" i="6" s="1"/>
  <c r="Q41" i="6"/>
  <c r="R41" i="6" s="1"/>
  <c r="N41" i="6"/>
  <c r="O41" i="6" s="1"/>
  <c r="K41" i="6"/>
  <c r="L41" i="6" s="1"/>
  <c r="H41" i="6"/>
  <c r="I41" i="6" s="1"/>
  <c r="D41" i="6"/>
  <c r="AP40" i="6"/>
  <c r="AO40" i="6"/>
  <c r="AM40" i="6"/>
  <c r="AL40" i="6"/>
  <c r="AJ40" i="6"/>
  <c r="AI40" i="6"/>
  <c r="AG40" i="6"/>
  <c r="AF40" i="6"/>
  <c r="AD40" i="6"/>
  <c r="AC40" i="6"/>
  <c r="AA40" i="6"/>
  <c r="Z40" i="6"/>
  <c r="X40" i="6"/>
  <c r="W40" i="6"/>
  <c r="U40" i="6"/>
  <c r="T40" i="6"/>
  <c r="R40" i="6"/>
  <c r="Q40" i="6"/>
  <c r="O40" i="6"/>
  <c r="N40" i="6"/>
  <c r="L40" i="6"/>
  <c r="K40" i="6"/>
  <c r="I40" i="6"/>
  <c r="H40" i="6"/>
  <c r="E40" i="6" s="1"/>
  <c r="D40" i="6"/>
  <c r="F40" i="6" s="1"/>
  <c r="AO39" i="6"/>
  <c r="AP39" i="6" s="1"/>
  <c r="AL39" i="6"/>
  <c r="AM39" i="6" s="1"/>
  <c r="AI39" i="6"/>
  <c r="AJ39" i="6" s="1"/>
  <c r="AF39" i="6"/>
  <c r="AG39" i="6" s="1"/>
  <c r="AC39" i="6"/>
  <c r="AD39" i="6" s="1"/>
  <c r="Z39" i="6"/>
  <c r="AA39" i="6" s="1"/>
  <c r="W39" i="6"/>
  <c r="X39" i="6" s="1"/>
  <c r="T39" i="6"/>
  <c r="U39" i="6" s="1"/>
  <c r="Q39" i="6"/>
  <c r="R39" i="6" s="1"/>
  <c r="N39" i="6"/>
  <c r="O39" i="6" s="1"/>
  <c r="K39" i="6"/>
  <c r="L39" i="6" s="1"/>
  <c r="H39" i="6"/>
  <c r="E39" i="6" s="1"/>
  <c r="D39" i="6"/>
  <c r="AP38" i="6"/>
  <c r="AO38" i="6"/>
  <c r="AM38" i="6"/>
  <c r="AL38" i="6"/>
  <c r="AJ38" i="6"/>
  <c r="AI38" i="6"/>
  <c r="AG38" i="6"/>
  <c r="AF38" i="6"/>
  <c r="AD38" i="6"/>
  <c r="AC38" i="6"/>
  <c r="AA38" i="6"/>
  <c r="Z38" i="6"/>
  <c r="X38" i="6"/>
  <c r="W38" i="6"/>
  <c r="U38" i="6"/>
  <c r="T38" i="6"/>
  <c r="R38" i="6"/>
  <c r="Q38" i="6"/>
  <c r="O38" i="6"/>
  <c r="N38" i="6"/>
  <c r="L38" i="6"/>
  <c r="K38" i="6"/>
  <c r="I38" i="6"/>
  <c r="H38" i="6"/>
  <c r="E38" i="6"/>
  <c r="D38" i="6"/>
  <c r="F38" i="6" s="1"/>
  <c r="AO37" i="6"/>
  <c r="AP37" i="6" s="1"/>
  <c r="AL37" i="6"/>
  <c r="AM37" i="6" s="1"/>
  <c r="AI37" i="6"/>
  <c r="AJ37" i="6" s="1"/>
  <c r="AF37" i="6"/>
  <c r="AG37" i="6" s="1"/>
  <c r="AC37" i="6"/>
  <c r="AD37" i="6" s="1"/>
  <c r="Z37" i="6"/>
  <c r="AA37" i="6" s="1"/>
  <c r="W37" i="6"/>
  <c r="X37" i="6" s="1"/>
  <c r="T37" i="6"/>
  <c r="U37" i="6" s="1"/>
  <c r="Q37" i="6"/>
  <c r="R37" i="6" s="1"/>
  <c r="N37" i="6"/>
  <c r="O37" i="6" s="1"/>
  <c r="K37" i="6"/>
  <c r="L37" i="6" s="1"/>
  <c r="H37" i="6"/>
  <c r="I37" i="6" s="1"/>
  <c r="D37" i="6"/>
  <c r="AP36" i="6"/>
  <c r="AO36" i="6"/>
  <c r="AM36" i="6"/>
  <c r="AL36" i="6"/>
  <c r="AJ36" i="6"/>
  <c r="AI36" i="6"/>
  <c r="AG36" i="6"/>
  <c r="AF36" i="6"/>
  <c r="AD36" i="6"/>
  <c r="AC36" i="6"/>
  <c r="AA36" i="6"/>
  <c r="Z36" i="6"/>
  <c r="X36" i="6"/>
  <c r="W36" i="6"/>
  <c r="U36" i="6"/>
  <c r="T36" i="6"/>
  <c r="R36" i="6"/>
  <c r="Q36" i="6"/>
  <c r="O36" i="6"/>
  <c r="N36" i="6"/>
  <c r="L36" i="6"/>
  <c r="K36" i="6"/>
  <c r="I36" i="6"/>
  <c r="H36" i="6"/>
  <c r="E36" i="6" s="1"/>
  <c r="D36" i="6"/>
  <c r="AO35" i="6"/>
  <c r="AP35" i="6" s="1"/>
  <c r="AL35" i="6"/>
  <c r="AM35" i="6" s="1"/>
  <c r="AI35" i="6"/>
  <c r="AJ35" i="6" s="1"/>
  <c r="AF35" i="6"/>
  <c r="AG35" i="6" s="1"/>
  <c r="AC35" i="6"/>
  <c r="AD35" i="6" s="1"/>
  <c r="Z35" i="6"/>
  <c r="AA35" i="6" s="1"/>
  <c r="W35" i="6"/>
  <c r="X35" i="6" s="1"/>
  <c r="T35" i="6"/>
  <c r="U35" i="6" s="1"/>
  <c r="Q35" i="6"/>
  <c r="R35" i="6" s="1"/>
  <c r="N35" i="6"/>
  <c r="O35" i="6" s="1"/>
  <c r="K35" i="6"/>
  <c r="L35" i="6" s="1"/>
  <c r="H35" i="6"/>
  <c r="E35" i="6" s="1"/>
  <c r="D35" i="6"/>
  <c r="F35" i="6" s="1"/>
  <c r="AP34" i="6"/>
  <c r="AO34" i="6"/>
  <c r="AM34" i="6"/>
  <c r="AL34" i="6"/>
  <c r="AJ34" i="6"/>
  <c r="AI34" i="6"/>
  <c r="AG34" i="6"/>
  <c r="AF34" i="6"/>
  <c r="AD34" i="6"/>
  <c r="AC34" i="6"/>
  <c r="AA34" i="6"/>
  <c r="Z34" i="6"/>
  <c r="X34" i="6"/>
  <c r="W34" i="6"/>
  <c r="U34" i="6"/>
  <c r="T34" i="6"/>
  <c r="R34" i="6"/>
  <c r="Q34" i="6"/>
  <c r="O34" i="6"/>
  <c r="N34" i="6"/>
  <c r="L34" i="6"/>
  <c r="K34" i="6"/>
  <c r="I34" i="6"/>
  <c r="H34" i="6"/>
  <c r="E34" i="6" s="1"/>
  <c r="F34" i="6" s="1"/>
  <c r="D34" i="6"/>
  <c r="AO33" i="6"/>
  <c r="AP33" i="6" s="1"/>
  <c r="AL33" i="6"/>
  <c r="AM33" i="6" s="1"/>
  <c r="AI33" i="6"/>
  <c r="AJ33" i="6" s="1"/>
  <c r="AF33" i="6"/>
  <c r="AG33" i="6" s="1"/>
  <c r="AC33" i="6"/>
  <c r="AD33" i="6" s="1"/>
  <c r="Z33" i="6"/>
  <c r="AA33" i="6" s="1"/>
  <c r="W33" i="6"/>
  <c r="X33" i="6" s="1"/>
  <c r="T33" i="6"/>
  <c r="U33" i="6" s="1"/>
  <c r="Q33" i="6"/>
  <c r="R33" i="6" s="1"/>
  <c r="N33" i="6"/>
  <c r="O33" i="6" s="1"/>
  <c r="K33" i="6"/>
  <c r="L33" i="6" s="1"/>
  <c r="H33" i="6"/>
  <c r="I33" i="6" s="1"/>
  <c r="D33" i="6"/>
  <c r="AP32" i="6"/>
  <c r="AO32" i="6"/>
  <c r="AM32" i="6"/>
  <c r="AL32" i="6"/>
  <c r="AJ32" i="6"/>
  <c r="AI32" i="6"/>
  <c r="AG32" i="6"/>
  <c r="AF32" i="6"/>
  <c r="AD32" i="6"/>
  <c r="AC32" i="6"/>
  <c r="AA32" i="6"/>
  <c r="Z32" i="6"/>
  <c r="X32" i="6"/>
  <c r="W32" i="6"/>
  <c r="U32" i="6"/>
  <c r="T32" i="6"/>
  <c r="R32" i="6"/>
  <c r="Q32" i="6"/>
  <c r="O32" i="6"/>
  <c r="N32" i="6"/>
  <c r="L32" i="6"/>
  <c r="K32" i="6"/>
  <c r="I32" i="6"/>
  <c r="H32" i="6"/>
  <c r="E32" i="6"/>
  <c r="D32" i="6"/>
  <c r="F32" i="6" s="1"/>
  <c r="AO31" i="6"/>
  <c r="AP31" i="6" s="1"/>
  <c r="AL31" i="6"/>
  <c r="AM31" i="6" s="1"/>
  <c r="AI31" i="6"/>
  <c r="AJ31" i="6" s="1"/>
  <c r="AF31" i="6"/>
  <c r="AG31" i="6" s="1"/>
  <c r="AC31" i="6"/>
  <c r="AD31" i="6" s="1"/>
  <c r="Z31" i="6"/>
  <c r="AA31" i="6" s="1"/>
  <c r="W31" i="6"/>
  <c r="X31" i="6" s="1"/>
  <c r="T31" i="6"/>
  <c r="U31" i="6" s="1"/>
  <c r="Q31" i="6"/>
  <c r="R31" i="6" s="1"/>
  <c r="N31" i="6"/>
  <c r="O31" i="6" s="1"/>
  <c r="K31" i="6"/>
  <c r="L31" i="6" s="1"/>
  <c r="H31" i="6"/>
  <c r="E31" i="6" s="1"/>
  <c r="D31" i="6"/>
  <c r="AP30" i="6"/>
  <c r="AO30" i="6"/>
  <c r="AM30" i="6"/>
  <c r="AL30" i="6"/>
  <c r="AJ30" i="6"/>
  <c r="AI30" i="6"/>
  <c r="AG30" i="6"/>
  <c r="AF30" i="6"/>
  <c r="AD30" i="6"/>
  <c r="AC30" i="6"/>
  <c r="AA30" i="6"/>
  <c r="Z30" i="6"/>
  <c r="X30" i="6"/>
  <c r="W30" i="6"/>
  <c r="U30" i="6"/>
  <c r="T30" i="6"/>
  <c r="R30" i="6"/>
  <c r="Q30" i="6"/>
  <c r="O30" i="6"/>
  <c r="N30" i="6"/>
  <c r="L30" i="6"/>
  <c r="K30" i="6"/>
  <c r="I30" i="6"/>
  <c r="H30" i="6"/>
  <c r="E30" i="6" s="1"/>
  <c r="D30" i="6"/>
  <c r="F30" i="6" s="1"/>
  <c r="AO29" i="6"/>
  <c r="AP29" i="6" s="1"/>
  <c r="AL29" i="6"/>
  <c r="AM29" i="6" s="1"/>
  <c r="AI29" i="6"/>
  <c r="AJ29" i="6" s="1"/>
  <c r="AF29" i="6"/>
  <c r="AG29" i="6" s="1"/>
  <c r="AC29" i="6"/>
  <c r="AD29" i="6" s="1"/>
  <c r="Z29" i="6"/>
  <c r="AA29" i="6" s="1"/>
  <c r="W29" i="6"/>
  <c r="X29" i="6" s="1"/>
  <c r="T29" i="6"/>
  <c r="U29" i="6" s="1"/>
  <c r="Q29" i="6"/>
  <c r="R29" i="6" s="1"/>
  <c r="N29" i="6"/>
  <c r="O29" i="6" s="1"/>
  <c r="K29" i="6"/>
  <c r="L29" i="6" s="1"/>
  <c r="H29" i="6"/>
  <c r="I29" i="6" s="1"/>
  <c r="D29" i="6"/>
  <c r="AP28" i="6"/>
  <c r="AO28" i="6"/>
  <c r="AM28" i="6"/>
  <c r="AL28" i="6"/>
  <c r="AJ28" i="6"/>
  <c r="AI28" i="6"/>
  <c r="AG28" i="6"/>
  <c r="AF28" i="6"/>
  <c r="AD28" i="6"/>
  <c r="AC28" i="6"/>
  <c r="AA28" i="6"/>
  <c r="Z28" i="6"/>
  <c r="X28" i="6"/>
  <c r="W28" i="6"/>
  <c r="U28" i="6"/>
  <c r="T28" i="6"/>
  <c r="R28" i="6"/>
  <c r="Q28" i="6"/>
  <c r="O28" i="6"/>
  <c r="N28" i="6"/>
  <c r="L28" i="6"/>
  <c r="K28" i="6"/>
  <c r="I28" i="6"/>
  <c r="H28" i="6"/>
  <c r="E28" i="6" s="1"/>
  <c r="D28" i="6"/>
  <c r="AO47" i="11"/>
  <c r="AP47" i="11" s="1"/>
  <c r="AL47" i="11"/>
  <c r="AM47" i="11" s="1"/>
  <c r="AI47" i="11"/>
  <c r="AJ47" i="11" s="1"/>
  <c r="AF47" i="11"/>
  <c r="AG47" i="11" s="1"/>
  <c r="AD47" i="11"/>
  <c r="AC47" i="11"/>
  <c r="AA47" i="11"/>
  <c r="Z47" i="11"/>
  <c r="W47" i="11"/>
  <c r="X47" i="11" s="1"/>
  <c r="T47" i="11"/>
  <c r="U47" i="11" s="1"/>
  <c r="Q47" i="11"/>
  <c r="R47" i="11" s="1"/>
  <c r="N47" i="11"/>
  <c r="O47" i="11" s="1"/>
  <c r="L47" i="11"/>
  <c r="K47" i="11"/>
  <c r="I47" i="11"/>
  <c r="H47" i="11"/>
  <c r="E47" i="11"/>
  <c r="D47" i="11"/>
  <c r="F47" i="11" s="1"/>
  <c r="AP46" i="11"/>
  <c r="AO46" i="11"/>
  <c r="AM46" i="11"/>
  <c r="AL46" i="11"/>
  <c r="AI46" i="11"/>
  <c r="AJ46" i="11" s="1"/>
  <c r="AF46" i="11"/>
  <c r="AG46" i="11" s="1"/>
  <c r="AD46" i="11"/>
  <c r="AC46" i="11"/>
  <c r="AA46" i="11"/>
  <c r="Z46" i="11"/>
  <c r="X46" i="11"/>
  <c r="W46" i="11"/>
  <c r="U46" i="11"/>
  <c r="T46" i="11"/>
  <c r="Q46" i="11"/>
  <c r="R46" i="11" s="1"/>
  <c r="N46" i="11"/>
  <c r="O46" i="11" s="1"/>
  <c r="L46" i="11"/>
  <c r="K46" i="11"/>
  <c r="I46" i="11"/>
  <c r="H46" i="11"/>
  <c r="E46" i="11"/>
  <c r="D46" i="11"/>
  <c r="F46" i="11" s="1"/>
  <c r="AO45" i="11"/>
  <c r="AP45" i="11" s="1"/>
  <c r="AM45" i="11"/>
  <c r="AL45" i="11"/>
  <c r="AJ45" i="11"/>
  <c r="AI45" i="11"/>
  <c r="AF45" i="11"/>
  <c r="AG45" i="11" s="1"/>
  <c r="AC45" i="11"/>
  <c r="AD45" i="11" s="1"/>
  <c r="Z45" i="11"/>
  <c r="AA45" i="11" s="1"/>
  <c r="W45" i="11"/>
  <c r="X45" i="11" s="1"/>
  <c r="U45" i="11"/>
  <c r="T45" i="11"/>
  <c r="R45" i="11"/>
  <c r="Q45" i="11"/>
  <c r="N45" i="11"/>
  <c r="O45" i="11" s="1"/>
  <c r="K45" i="11"/>
  <c r="L45" i="11" s="1"/>
  <c r="H45" i="11"/>
  <c r="I45" i="11" s="1"/>
  <c r="D45" i="11"/>
  <c r="AO44" i="11"/>
  <c r="AP44" i="11" s="1"/>
  <c r="AM44" i="11"/>
  <c r="AL44" i="11"/>
  <c r="AJ44" i="11"/>
  <c r="AI44" i="11"/>
  <c r="AG44" i="11"/>
  <c r="AF44" i="11"/>
  <c r="AD44" i="11"/>
  <c r="AC44" i="11"/>
  <c r="Z44" i="11"/>
  <c r="AA44" i="11" s="1"/>
  <c r="W44" i="11"/>
  <c r="X44" i="11" s="1"/>
  <c r="U44" i="11"/>
  <c r="T44" i="11"/>
  <c r="R44" i="11"/>
  <c r="Q44" i="11"/>
  <c r="O44" i="11"/>
  <c r="N44" i="11"/>
  <c r="L44" i="11"/>
  <c r="K44" i="11"/>
  <c r="H44" i="11"/>
  <c r="I44" i="11" s="1"/>
  <c r="E44" i="11"/>
  <c r="D44" i="11"/>
  <c r="F44" i="11" s="1"/>
  <c r="AO43" i="11"/>
  <c r="AP43" i="11" s="1"/>
  <c r="AL43" i="11"/>
  <c r="AM43" i="11" s="1"/>
  <c r="AI43" i="11"/>
  <c r="AJ43" i="11" s="1"/>
  <c r="AF43" i="11"/>
  <c r="AG43" i="11" s="1"/>
  <c r="AD43" i="11"/>
  <c r="AC43" i="11"/>
  <c r="AA43" i="11"/>
  <c r="Z43" i="11"/>
  <c r="W43" i="11"/>
  <c r="X43" i="11" s="1"/>
  <c r="T43" i="11"/>
  <c r="U43" i="11" s="1"/>
  <c r="Q43" i="11"/>
  <c r="R43" i="11" s="1"/>
  <c r="N43" i="11"/>
  <c r="O43" i="11" s="1"/>
  <c r="L43" i="11"/>
  <c r="K43" i="11"/>
  <c r="I43" i="11"/>
  <c r="H43" i="11"/>
  <c r="E43" i="11" s="1"/>
  <c r="D43" i="11"/>
  <c r="AP42" i="11"/>
  <c r="AO42" i="11"/>
  <c r="AM42" i="11"/>
  <c r="AL42" i="11"/>
  <c r="AI42" i="11"/>
  <c r="AJ42" i="11" s="1"/>
  <c r="AF42" i="11"/>
  <c r="AG42" i="11" s="1"/>
  <c r="AD42" i="11"/>
  <c r="AC42" i="11"/>
  <c r="AA42" i="11"/>
  <c r="Z42" i="11"/>
  <c r="X42" i="11"/>
  <c r="W42" i="11"/>
  <c r="U42" i="11"/>
  <c r="T42" i="11"/>
  <c r="Q42" i="11"/>
  <c r="R42" i="11" s="1"/>
  <c r="N42" i="11"/>
  <c r="O42" i="11" s="1"/>
  <c r="L42" i="11"/>
  <c r="K42" i="11"/>
  <c r="I42" i="11"/>
  <c r="H42" i="11"/>
  <c r="E42" i="11" s="1"/>
  <c r="D42" i="11"/>
  <c r="F42" i="11" s="1"/>
  <c r="AO41" i="11"/>
  <c r="AP41" i="11" s="1"/>
  <c r="AM41" i="11"/>
  <c r="AL41" i="11"/>
  <c r="AJ41" i="11"/>
  <c r="AI41" i="11"/>
  <c r="AF41" i="11"/>
  <c r="AG41" i="11" s="1"/>
  <c r="AC41" i="11"/>
  <c r="AD41" i="11" s="1"/>
  <c r="Z41" i="11"/>
  <c r="AA41" i="11" s="1"/>
  <c r="W41" i="11"/>
  <c r="X41" i="11" s="1"/>
  <c r="U41" i="11"/>
  <c r="T41" i="11"/>
  <c r="R41" i="11"/>
  <c r="Q41" i="11"/>
  <c r="N41" i="11"/>
  <c r="O41" i="11" s="1"/>
  <c r="K41" i="11"/>
  <c r="L41" i="11" s="1"/>
  <c r="H41" i="11"/>
  <c r="I41" i="11" s="1"/>
  <c r="D41" i="11"/>
  <c r="AO40" i="11"/>
  <c r="AP40" i="11" s="1"/>
  <c r="AM40" i="11"/>
  <c r="AL40" i="11"/>
  <c r="AJ40" i="11"/>
  <c r="AI40" i="11"/>
  <c r="AG40" i="11"/>
  <c r="AF40" i="11"/>
  <c r="AD40" i="11"/>
  <c r="AC40" i="11"/>
  <c r="Z40" i="11"/>
  <c r="AA40" i="11" s="1"/>
  <c r="W40" i="11"/>
  <c r="X40" i="11" s="1"/>
  <c r="U40" i="11"/>
  <c r="T40" i="11"/>
  <c r="R40" i="11"/>
  <c r="Q40" i="11"/>
  <c r="O40" i="11"/>
  <c r="N40" i="11"/>
  <c r="L40" i="11"/>
  <c r="K40" i="11"/>
  <c r="H40" i="11"/>
  <c r="I40" i="11" s="1"/>
  <c r="E40" i="11"/>
  <c r="D40" i="11"/>
  <c r="F40" i="11" s="1"/>
  <c r="AO39" i="11"/>
  <c r="AP39" i="11" s="1"/>
  <c r="AL39" i="11"/>
  <c r="AM39" i="11" s="1"/>
  <c r="AI39" i="11"/>
  <c r="AJ39" i="11" s="1"/>
  <c r="AF39" i="11"/>
  <c r="AG39" i="11" s="1"/>
  <c r="AD39" i="11"/>
  <c r="AC39" i="11"/>
  <c r="AA39" i="11"/>
  <c r="Z39" i="11"/>
  <c r="W39" i="11"/>
  <c r="X39" i="11" s="1"/>
  <c r="T39" i="11"/>
  <c r="U39" i="11" s="1"/>
  <c r="Q39" i="11"/>
  <c r="R39" i="11" s="1"/>
  <c r="N39" i="11"/>
  <c r="O39" i="11" s="1"/>
  <c r="L39" i="11"/>
  <c r="K39" i="11"/>
  <c r="I39" i="11"/>
  <c r="H39" i="11"/>
  <c r="E39" i="11" s="1"/>
  <c r="D39" i="11"/>
  <c r="AP38" i="11"/>
  <c r="AO38" i="11"/>
  <c r="AM38" i="11"/>
  <c r="AL38" i="11"/>
  <c r="AI38" i="11"/>
  <c r="AJ38" i="11" s="1"/>
  <c r="AF38" i="11"/>
  <c r="AG38" i="11" s="1"/>
  <c r="AD38" i="11"/>
  <c r="AC38" i="11"/>
  <c r="AA38" i="11"/>
  <c r="Z38" i="11"/>
  <c r="X38" i="11"/>
  <c r="W38" i="11"/>
  <c r="U38" i="11"/>
  <c r="T38" i="11"/>
  <c r="Q38" i="11"/>
  <c r="R38" i="11" s="1"/>
  <c r="N38" i="11"/>
  <c r="O38" i="11" s="1"/>
  <c r="L38" i="11"/>
  <c r="K38" i="11"/>
  <c r="I38" i="11"/>
  <c r="H38" i="11"/>
  <c r="E38" i="11" s="1"/>
  <c r="D38" i="11"/>
  <c r="F38" i="11" s="1"/>
  <c r="AO37" i="11"/>
  <c r="AP37" i="11" s="1"/>
  <c r="AM37" i="11"/>
  <c r="AL37" i="11"/>
  <c r="AJ37" i="11"/>
  <c r="AI37" i="11"/>
  <c r="AF37" i="11"/>
  <c r="AG37" i="11" s="1"/>
  <c r="AC37" i="11"/>
  <c r="AD37" i="11" s="1"/>
  <c r="Z37" i="11"/>
  <c r="AA37" i="11" s="1"/>
  <c r="W37" i="11"/>
  <c r="X37" i="11" s="1"/>
  <c r="U37" i="11"/>
  <c r="T37" i="11"/>
  <c r="R37" i="11"/>
  <c r="Q37" i="11"/>
  <c r="N37" i="11"/>
  <c r="O37" i="11" s="1"/>
  <c r="K37" i="11"/>
  <c r="L37" i="11" s="1"/>
  <c r="H37" i="11"/>
  <c r="I37" i="11" s="1"/>
  <c r="D37" i="11"/>
  <c r="AO36" i="11"/>
  <c r="AP36" i="11" s="1"/>
  <c r="AM36" i="11"/>
  <c r="AL36" i="11"/>
  <c r="AJ36" i="11"/>
  <c r="AI36" i="11"/>
  <c r="AG36" i="11"/>
  <c r="AF36" i="11"/>
  <c r="AD36" i="11"/>
  <c r="AC36" i="11"/>
  <c r="Z36" i="11"/>
  <c r="AA36" i="11" s="1"/>
  <c r="W36" i="11"/>
  <c r="X36" i="11" s="1"/>
  <c r="U36" i="11"/>
  <c r="T36" i="11"/>
  <c r="R36" i="11"/>
  <c r="Q36" i="11"/>
  <c r="O36" i="11"/>
  <c r="N36" i="11"/>
  <c r="L36" i="11"/>
  <c r="K36" i="11"/>
  <c r="H36" i="11"/>
  <c r="I36" i="11" s="1"/>
  <c r="E36" i="11"/>
  <c r="D36" i="11"/>
  <c r="F36" i="11" s="1"/>
  <c r="AO35" i="11"/>
  <c r="AP35" i="11" s="1"/>
  <c r="AL35" i="11"/>
  <c r="AM35" i="11" s="1"/>
  <c r="AI35" i="11"/>
  <c r="AJ35" i="11" s="1"/>
  <c r="AF35" i="11"/>
  <c r="AG35" i="11" s="1"/>
  <c r="AD35" i="11"/>
  <c r="AC35" i="11"/>
  <c r="AA35" i="11"/>
  <c r="Z35" i="11"/>
  <c r="W35" i="11"/>
  <c r="X35" i="11" s="1"/>
  <c r="T35" i="11"/>
  <c r="U35" i="11" s="1"/>
  <c r="Q35" i="11"/>
  <c r="R35" i="11" s="1"/>
  <c r="N35" i="11"/>
  <c r="O35" i="11" s="1"/>
  <c r="L35" i="11"/>
  <c r="K35" i="11"/>
  <c r="I35" i="11"/>
  <c r="H35" i="11"/>
  <c r="E35" i="11" s="1"/>
  <c r="D35" i="11"/>
  <c r="AP34" i="11"/>
  <c r="AO34" i="11"/>
  <c r="AM34" i="11"/>
  <c r="AL34" i="11"/>
  <c r="AI34" i="11"/>
  <c r="AJ34" i="11" s="1"/>
  <c r="AF34" i="11"/>
  <c r="AG34" i="11" s="1"/>
  <c r="AD34" i="11"/>
  <c r="AC34" i="11"/>
  <c r="AA34" i="11"/>
  <c r="Z34" i="11"/>
  <c r="X34" i="11"/>
  <c r="W34" i="11"/>
  <c r="U34" i="11"/>
  <c r="T34" i="11"/>
  <c r="Q34" i="11"/>
  <c r="R34" i="11" s="1"/>
  <c r="N34" i="11"/>
  <c r="O34" i="11" s="1"/>
  <c r="L34" i="11"/>
  <c r="K34" i="11"/>
  <c r="I34" i="11"/>
  <c r="H34" i="11"/>
  <c r="E34" i="11" s="1"/>
  <c r="D34" i="11"/>
  <c r="AO33" i="11"/>
  <c r="AP33" i="11" s="1"/>
  <c r="AM33" i="11"/>
  <c r="AL33" i="11"/>
  <c r="AJ33" i="11"/>
  <c r="AI33" i="11"/>
  <c r="AF33" i="11"/>
  <c r="AG33" i="11" s="1"/>
  <c r="AC33" i="11"/>
  <c r="AD33" i="11" s="1"/>
  <c r="Z33" i="11"/>
  <c r="AA33" i="11" s="1"/>
  <c r="W33" i="11"/>
  <c r="X33" i="11" s="1"/>
  <c r="U33" i="11"/>
  <c r="T33" i="11"/>
  <c r="R33" i="11"/>
  <c r="Q33" i="11"/>
  <c r="N33" i="11"/>
  <c r="O33" i="11" s="1"/>
  <c r="K33" i="11"/>
  <c r="L33" i="11" s="1"/>
  <c r="H33" i="11"/>
  <c r="I33" i="11" s="1"/>
  <c r="D33" i="11"/>
  <c r="AO32" i="11"/>
  <c r="AP32" i="11" s="1"/>
  <c r="AM32" i="11"/>
  <c r="AL32" i="11"/>
  <c r="AJ32" i="11"/>
  <c r="AI32" i="11"/>
  <c r="AG32" i="11"/>
  <c r="AF32" i="11"/>
  <c r="AD32" i="11"/>
  <c r="AC32" i="11"/>
  <c r="Z32" i="11"/>
  <c r="AA32" i="11" s="1"/>
  <c r="W32" i="11"/>
  <c r="X32" i="11" s="1"/>
  <c r="U32" i="11"/>
  <c r="T32" i="11"/>
  <c r="R32" i="11"/>
  <c r="Q32" i="11"/>
  <c r="O32" i="11"/>
  <c r="N32" i="11"/>
  <c r="L32" i="11"/>
  <c r="K32" i="11"/>
  <c r="H32" i="11"/>
  <c r="I32" i="11" s="1"/>
  <c r="E32" i="11"/>
  <c r="D32" i="11"/>
  <c r="F32" i="11" s="1"/>
  <c r="AO31" i="11"/>
  <c r="AP31" i="11" s="1"/>
  <c r="AL31" i="11"/>
  <c r="AM31" i="11" s="1"/>
  <c r="AI31" i="11"/>
  <c r="AJ31" i="11" s="1"/>
  <c r="AF31" i="11"/>
  <c r="AG31" i="11" s="1"/>
  <c r="AD31" i="11"/>
  <c r="AC31" i="11"/>
  <c r="AA31" i="11"/>
  <c r="Z31" i="11"/>
  <c r="W31" i="11"/>
  <c r="X31" i="11" s="1"/>
  <c r="T31" i="11"/>
  <c r="U31" i="11" s="1"/>
  <c r="Q31" i="11"/>
  <c r="R31" i="11" s="1"/>
  <c r="N31" i="11"/>
  <c r="O31" i="11" s="1"/>
  <c r="L31" i="11"/>
  <c r="K31" i="11"/>
  <c r="I31" i="11"/>
  <c r="H31" i="11"/>
  <c r="E31" i="11" s="1"/>
  <c r="D31" i="11"/>
  <c r="F31" i="11" s="1"/>
  <c r="AP30" i="11"/>
  <c r="AO30" i="11"/>
  <c r="AM30" i="11"/>
  <c r="AL30" i="11"/>
  <c r="AI30" i="11"/>
  <c r="AJ30" i="11" s="1"/>
  <c r="AF30" i="11"/>
  <c r="AG30" i="11" s="1"/>
  <c r="AD30" i="11"/>
  <c r="AC30" i="11"/>
  <c r="AA30" i="11"/>
  <c r="Z30" i="11"/>
  <c r="X30" i="11"/>
  <c r="W30" i="11"/>
  <c r="U30" i="11"/>
  <c r="T30" i="11"/>
  <c r="Q30" i="11"/>
  <c r="R30" i="11" s="1"/>
  <c r="N30" i="11"/>
  <c r="O30" i="11" s="1"/>
  <c r="L30" i="11"/>
  <c r="K30" i="11"/>
  <c r="I30" i="11"/>
  <c r="H30" i="11"/>
  <c r="E30" i="11"/>
  <c r="D30" i="11"/>
  <c r="F30" i="11" s="1"/>
  <c r="AO29" i="11"/>
  <c r="AP29" i="11" s="1"/>
  <c r="AM29" i="11"/>
  <c r="AL29" i="11"/>
  <c r="AJ29" i="11"/>
  <c r="AI29" i="11"/>
  <c r="AF29" i="11"/>
  <c r="AG29" i="11" s="1"/>
  <c r="AC29" i="11"/>
  <c r="AD29" i="11" s="1"/>
  <c r="Z29" i="11"/>
  <c r="AA29" i="11" s="1"/>
  <c r="W29" i="11"/>
  <c r="X29" i="11" s="1"/>
  <c r="U29" i="11"/>
  <c r="T29" i="11"/>
  <c r="R29" i="11"/>
  <c r="Q29" i="11"/>
  <c r="N29" i="11"/>
  <c r="O29" i="11" s="1"/>
  <c r="K29" i="11"/>
  <c r="L29" i="11" s="1"/>
  <c r="H29" i="11"/>
  <c r="I29" i="11" s="1"/>
  <c r="D29" i="11"/>
  <c r="AO28" i="11"/>
  <c r="AP28" i="11" s="1"/>
  <c r="AM28" i="11"/>
  <c r="AL28" i="11"/>
  <c r="AJ28" i="11"/>
  <c r="AI28" i="11"/>
  <c r="AG28" i="11"/>
  <c r="AF28" i="11"/>
  <c r="AD28" i="11"/>
  <c r="AC28" i="11"/>
  <c r="Z28" i="11"/>
  <c r="AA28" i="11" s="1"/>
  <c r="W28" i="11"/>
  <c r="X28" i="11" s="1"/>
  <c r="U28" i="11"/>
  <c r="T28" i="11"/>
  <c r="R28" i="11"/>
  <c r="Q28" i="11"/>
  <c r="O28" i="11"/>
  <c r="N28" i="11"/>
  <c r="L28" i="11"/>
  <c r="K28" i="11"/>
  <c r="H28" i="11"/>
  <c r="I28" i="11" s="1"/>
  <c r="E28" i="11"/>
  <c r="D28" i="11"/>
  <c r="F28" i="11" s="1"/>
  <c r="AO27" i="11"/>
  <c r="AP27" i="11" s="1"/>
  <c r="AL27" i="11"/>
  <c r="AM27" i="11" s="1"/>
  <c r="AI27" i="11"/>
  <c r="AJ27" i="11" s="1"/>
  <c r="AF27" i="11"/>
  <c r="AG27" i="11" s="1"/>
  <c r="AD27" i="11"/>
  <c r="AC27" i="11"/>
  <c r="AA27" i="11"/>
  <c r="Z27" i="11"/>
  <c r="W27" i="11"/>
  <c r="X27" i="11" s="1"/>
  <c r="T27" i="11"/>
  <c r="U27" i="11" s="1"/>
  <c r="Q27" i="11"/>
  <c r="R27" i="11" s="1"/>
  <c r="N27" i="11"/>
  <c r="O27" i="11" s="1"/>
  <c r="L27" i="11"/>
  <c r="K27" i="11"/>
  <c r="I27" i="11"/>
  <c r="H27" i="11"/>
  <c r="E27" i="11"/>
  <c r="D27" i="11"/>
  <c r="F27" i="11" s="1"/>
  <c r="AP26" i="11"/>
  <c r="AO26" i="11"/>
  <c r="AM26" i="11"/>
  <c r="AL26" i="11"/>
  <c r="AI26" i="11"/>
  <c r="AJ26" i="11" s="1"/>
  <c r="AF26" i="11"/>
  <c r="AG26" i="11" s="1"/>
  <c r="AD26" i="11"/>
  <c r="AC26" i="11"/>
  <c r="AA26" i="11"/>
  <c r="Z26" i="11"/>
  <c r="X26" i="11"/>
  <c r="W26" i="11"/>
  <c r="U26" i="11"/>
  <c r="T26" i="11"/>
  <c r="Q26" i="11"/>
  <c r="R26" i="11" s="1"/>
  <c r="N26" i="11"/>
  <c r="O26" i="11" s="1"/>
  <c r="L26" i="11"/>
  <c r="K26" i="11"/>
  <c r="I26" i="11"/>
  <c r="H26" i="11"/>
  <c r="E26" i="11" s="1"/>
  <c r="D26" i="11"/>
  <c r="F26" i="11" s="1"/>
  <c r="AO25" i="11"/>
  <c r="AP25" i="11" s="1"/>
  <c r="AM25" i="11"/>
  <c r="AL25" i="11"/>
  <c r="AJ25" i="11"/>
  <c r="AI25" i="11"/>
  <c r="AF25" i="11"/>
  <c r="AG25" i="11" s="1"/>
  <c r="AC25" i="11"/>
  <c r="AD25" i="11" s="1"/>
  <c r="Z25" i="11"/>
  <c r="AA25" i="11" s="1"/>
  <c r="W25" i="11"/>
  <c r="X25" i="11" s="1"/>
  <c r="U25" i="11"/>
  <c r="T25" i="11"/>
  <c r="R25" i="11"/>
  <c r="Q25" i="11"/>
  <c r="N25" i="11"/>
  <c r="O25" i="11" s="1"/>
  <c r="K25" i="11"/>
  <c r="L25" i="11" s="1"/>
  <c r="H25" i="11"/>
  <c r="I25" i="11" s="1"/>
  <c r="D25" i="11"/>
  <c r="AO24" i="11"/>
  <c r="AP24" i="11" s="1"/>
  <c r="AM24" i="11"/>
  <c r="AL24" i="11"/>
  <c r="AJ24" i="11"/>
  <c r="AI24" i="11"/>
  <c r="AG24" i="11"/>
  <c r="AF24" i="11"/>
  <c r="AD24" i="11"/>
  <c r="AC24" i="11"/>
  <c r="Z24" i="11"/>
  <c r="AA24" i="11" s="1"/>
  <c r="W24" i="11"/>
  <c r="X24" i="11" s="1"/>
  <c r="U24" i="11"/>
  <c r="T24" i="11"/>
  <c r="R24" i="11"/>
  <c r="Q24" i="11"/>
  <c r="O24" i="11"/>
  <c r="N24" i="11"/>
  <c r="L24" i="11"/>
  <c r="K24" i="11"/>
  <c r="H24" i="11"/>
  <c r="I24" i="11" s="1"/>
  <c r="E24" i="11"/>
  <c r="D24" i="11"/>
  <c r="F24" i="11" s="1"/>
  <c r="AO23" i="11"/>
  <c r="AP23" i="11" s="1"/>
  <c r="AL23" i="11"/>
  <c r="AM23" i="11" s="1"/>
  <c r="AI23" i="11"/>
  <c r="AJ23" i="11" s="1"/>
  <c r="AF23" i="11"/>
  <c r="AG23" i="11" s="1"/>
  <c r="AD23" i="11"/>
  <c r="AC23" i="11"/>
  <c r="AA23" i="11"/>
  <c r="Z23" i="11"/>
  <c r="W23" i="11"/>
  <c r="X23" i="11" s="1"/>
  <c r="T23" i="11"/>
  <c r="U23" i="11" s="1"/>
  <c r="Q23" i="11"/>
  <c r="R23" i="11" s="1"/>
  <c r="N23" i="11"/>
  <c r="O23" i="11" s="1"/>
  <c r="L23" i="11"/>
  <c r="K23" i="11"/>
  <c r="I23" i="11"/>
  <c r="H23" i="11"/>
  <c r="E23" i="11"/>
  <c r="D23" i="11"/>
  <c r="F23" i="11" s="1"/>
  <c r="AP22" i="11"/>
  <c r="AO22" i="11"/>
  <c r="AM22" i="11"/>
  <c r="AL22" i="11"/>
  <c r="AI22" i="11"/>
  <c r="AJ22" i="11" s="1"/>
  <c r="AF22" i="11"/>
  <c r="AG22" i="11" s="1"/>
  <c r="AD22" i="11"/>
  <c r="AC22" i="11"/>
  <c r="AA22" i="11"/>
  <c r="Z22" i="11"/>
  <c r="X22" i="11"/>
  <c r="W22" i="11"/>
  <c r="U22" i="11"/>
  <c r="T22" i="11"/>
  <c r="Q22" i="11"/>
  <c r="R22" i="11" s="1"/>
  <c r="N22" i="11"/>
  <c r="O22" i="11" s="1"/>
  <c r="L22" i="11"/>
  <c r="K22" i="11"/>
  <c r="I22" i="11"/>
  <c r="H22" i="11"/>
  <c r="E22" i="11" s="1"/>
  <c r="D22" i="11"/>
  <c r="AO21" i="11"/>
  <c r="AP21" i="11" s="1"/>
  <c r="AM21" i="11"/>
  <c r="AL21" i="11"/>
  <c r="AJ21" i="11"/>
  <c r="AI21" i="11"/>
  <c r="AF21" i="11"/>
  <c r="AG21" i="11" s="1"/>
  <c r="AC21" i="11"/>
  <c r="AD21" i="11" s="1"/>
  <c r="Z21" i="11"/>
  <c r="AA21" i="11" s="1"/>
  <c r="W21" i="11"/>
  <c r="X21" i="11" s="1"/>
  <c r="U21" i="11"/>
  <c r="T21" i="11"/>
  <c r="R21" i="11"/>
  <c r="Q21" i="11"/>
  <c r="N21" i="11"/>
  <c r="O21" i="11" s="1"/>
  <c r="K21" i="11"/>
  <c r="L21" i="11" s="1"/>
  <c r="H21" i="11"/>
  <c r="I21" i="11" s="1"/>
  <c r="D21" i="11"/>
  <c r="AO20" i="11"/>
  <c r="AP20" i="11" s="1"/>
  <c r="AM20" i="11"/>
  <c r="AL20" i="11"/>
  <c r="AJ20" i="11"/>
  <c r="AI20" i="11"/>
  <c r="AG20" i="11"/>
  <c r="AF20" i="11"/>
  <c r="AD20" i="11"/>
  <c r="AC20" i="11"/>
  <c r="Z20" i="11"/>
  <c r="AA20" i="11" s="1"/>
  <c r="W20" i="11"/>
  <c r="X20" i="11" s="1"/>
  <c r="U20" i="11"/>
  <c r="T20" i="11"/>
  <c r="R20" i="11"/>
  <c r="Q20" i="11"/>
  <c r="O20" i="11"/>
  <c r="N20" i="11"/>
  <c r="L20" i="11"/>
  <c r="K20" i="11"/>
  <c r="H20" i="11"/>
  <c r="I20" i="11" s="1"/>
  <c r="E20" i="11"/>
  <c r="D20" i="11"/>
  <c r="F20" i="11" s="1"/>
  <c r="AO19" i="11"/>
  <c r="AP19" i="11" s="1"/>
  <c r="AL19" i="11"/>
  <c r="AM19" i="11" s="1"/>
  <c r="AI19" i="11"/>
  <c r="AJ19" i="11" s="1"/>
  <c r="AF19" i="11"/>
  <c r="AG19" i="11" s="1"/>
  <c r="AD19" i="11"/>
  <c r="AC19" i="11"/>
  <c r="AA19" i="11"/>
  <c r="Z19" i="11"/>
  <c r="W19" i="11"/>
  <c r="X19" i="11" s="1"/>
  <c r="T19" i="11"/>
  <c r="U19" i="11" s="1"/>
  <c r="Q19" i="11"/>
  <c r="R19" i="11" s="1"/>
  <c r="N19" i="11"/>
  <c r="O19" i="11" s="1"/>
  <c r="L19" i="11"/>
  <c r="K19" i="11"/>
  <c r="I19" i="11"/>
  <c r="H19" i="11"/>
  <c r="E19" i="11"/>
  <c r="D19" i="11"/>
  <c r="F19" i="11" s="1"/>
  <c r="AO47" i="10"/>
  <c r="AP47" i="10" s="1"/>
  <c r="AL47" i="10"/>
  <c r="AM47" i="10" s="1"/>
  <c r="AI47" i="10"/>
  <c r="AJ47" i="10" s="1"/>
  <c r="AF47" i="10"/>
  <c r="AG47" i="10" s="1"/>
  <c r="AC47" i="10"/>
  <c r="AD47" i="10" s="1"/>
  <c r="Z47" i="10"/>
  <c r="AA47" i="10" s="1"/>
  <c r="W47" i="10"/>
  <c r="X47" i="10" s="1"/>
  <c r="T47" i="10"/>
  <c r="U47" i="10" s="1"/>
  <c r="Q47" i="10"/>
  <c r="R47" i="10" s="1"/>
  <c r="N47" i="10"/>
  <c r="O47" i="10" s="1"/>
  <c r="K47" i="10"/>
  <c r="L47" i="10" s="1"/>
  <c r="H47" i="10"/>
  <c r="E47" i="10" s="1"/>
  <c r="D47" i="10"/>
  <c r="AP46" i="10"/>
  <c r="AO46" i="10"/>
  <c r="AM46" i="10"/>
  <c r="AL46" i="10"/>
  <c r="AJ46" i="10"/>
  <c r="AI46" i="10"/>
  <c r="AF46" i="10"/>
  <c r="AG46" i="10" s="1"/>
  <c r="AD46" i="10"/>
  <c r="AC46" i="10"/>
  <c r="AA46" i="10"/>
  <c r="Z46" i="10"/>
  <c r="X46" i="10"/>
  <c r="W46" i="10"/>
  <c r="U46" i="10"/>
  <c r="T46" i="10"/>
  <c r="R46" i="10"/>
  <c r="Q46" i="10"/>
  <c r="N46" i="10"/>
  <c r="O46" i="10" s="1"/>
  <c r="L46" i="10"/>
  <c r="K46" i="10"/>
  <c r="I46" i="10"/>
  <c r="H46" i="10"/>
  <c r="F46" i="10"/>
  <c r="E46" i="10"/>
  <c r="D46" i="10"/>
  <c r="AO45" i="10"/>
  <c r="AP45" i="10" s="1"/>
  <c r="AL45" i="10"/>
  <c r="AM45" i="10" s="1"/>
  <c r="AI45" i="10"/>
  <c r="AJ45" i="10" s="1"/>
  <c r="AF45" i="10"/>
  <c r="AG45" i="10" s="1"/>
  <c r="AC45" i="10"/>
  <c r="AD45" i="10" s="1"/>
  <c r="Z45" i="10"/>
  <c r="AA45" i="10" s="1"/>
  <c r="W45" i="10"/>
  <c r="X45" i="10" s="1"/>
  <c r="T45" i="10"/>
  <c r="U45" i="10" s="1"/>
  <c r="Q45" i="10"/>
  <c r="R45" i="10" s="1"/>
  <c r="N45" i="10"/>
  <c r="O45" i="10" s="1"/>
  <c r="K45" i="10"/>
  <c r="L45" i="10" s="1"/>
  <c r="H45" i="10"/>
  <c r="I45" i="10" s="1"/>
  <c r="E45" i="10"/>
  <c r="F45" i="10" s="1"/>
  <c r="D45" i="10"/>
  <c r="AO44" i="10"/>
  <c r="AP44" i="10" s="1"/>
  <c r="AM44" i="10"/>
  <c r="AL44" i="10"/>
  <c r="AJ44" i="10"/>
  <c r="AI44" i="10"/>
  <c r="AG44" i="10"/>
  <c r="AF44" i="10"/>
  <c r="AD44" i="10"/>
  <c r="AC44" i="10"/>
  <c r="AA44" i="10"/>
  <c r="Z44" i="10"/>
  <c r="W44" i="10"/>
  <c r="X44" i="10" s="1"/>
  <c r="U44" i="10"/>
  <c r="T44" i="10"/>
  <c r="R44" i="10"/>
  <c r="Q44" i="10"/>
  <c r="O44" i="10"/>
  <c r="N44" i="10"/>
  <c r="L44" i="10"/>
  <c r="K44" i="10"/>
  <c r="I44" i="10"/>
  <c r="H44" i="10"/>
  <c r="E44" i="10"/>
  <c r="D44" i="10"/>
  <c r="F44" i="10" s="1"/>
  <c r="AO43" i="10"/>
  <c r="AP43" i="10" s="1"/>
  <c r="AL43" i="10"/>
  <c r="AM43" i="10" s="1"/>
  <c r="AI43" i="10"/>
  <c r="AJ43" i="10" s="1"/>
  <c r="AF43" i="10"/>
  <c r="AG43" i="10" s="1"/>
  <c r="AC43" i="10"/>
  <c r="AD43" i="10" s="1"/>
  <c r="Z43" i="10"/>
  <c r="AA43" i="10" s="1"/>
  <c r="W43" i="10"/>
  <c r="X43" i="10" s="1"/>
  <c r="T43" i="10"/>
  <c r="U43" i="10" s="1"/>
  <c r="Q43" i="10"/>
  <c r="R43" i="10" s="1"/>
  <c r="N43" i="10"/>
  <c r="O43" i="10" s="1"/>
  <c r="K43" i="10"/>
  <c r="L43" i="10" s="1"/>
  <c r="H43" i="10"/>
  <c r="E43" i="10" s="1"/>
  <c r="D43" i="10"/>
  <c r="AP42" i="10"/>
  <c r="AO42" i="10"/>
  <c r="AM42" i="10"/>
  <c r="AL42" i="10"/>
  <c r="AJ42" i="10"/>
  <c r="AI42" i="10"/>
  <c r="AF42" i="10"/>
  <c r="AG42" i="10" s="1"/>
  <c r="AD42" i="10"/>
  <c r="AC42" i="10"/>
  <c r="AA42" i="10"/>
  <c r="Z42" i="10"/>
  <c r="X42" i="10"/>
  <c r="W42" i="10"/>
  <c r="U42" i="10"/>
  <c r="T42" i="10"/>
  <c r="R42" i="10"/>
  <c r="Q42" i="10"/>
  <c r="N42" i="10"/>
  <c r="O42" i="10" s="1"/>
  <c r="L42" i="10"/>
  <c r="K42" i="10"/>
  <c r="I42" i="10"/>
  <c r="H42" i="10"/>
  <c r="F42" i="10"/>
  <c r="E42" i="10"/>
  <c r="D42" i="10"/>
  <c r="AO41" i="10"/>
  <c r="AP41" i="10" s="1"/>
  <c r="AL41" i="10"/>
  <c r="AM41" i="10" s="1"/>
  <c r="AI41" i="10"/>
  <c r="AJ41" i="10" s="1"/>
  <c r="AF41" i="10"/>
  <c r="AG41" i="10" s="1"/>
  <c r="AC41" i="10"/>
  <c r="AD41" i="10" s="1"/>
  <c r="Z41" i="10"/>
  <c r="AA41" i="10" s="1"/>
  <c r="W41" i="10"/>
  <c r="X41" i="10" s="1"/>
  <c r="T41" i="10"/>
  <c r="U41" i="10" s="1"/>
  <c r="Q41" i="10"/>
  <c r="R41" i="10" s="1"/>
  <c r="O41" i="10"/>
  <c r="N41" i="10"/>
  <c r="K41" i="10"/>
  <c r="L41" i="10" s="1"/>
  <c r="H41" i="10"/>
  <c r="I41" i="10" s="1"/>
  <c r="E41" i="10"/>
  <c r="D41" i="10"/>
  <c r="F41" i="10" s="1"/>
  <c r="AO40" i="10"/>
  <c r="AP40" i="10" s="1"/>
  <c r="AM40" i="10"/>
  <c r="AL40" i="10"/>
  <c r="AJ40" i="10"/>
  <c r="AI40" i="10"/>
  <c r="AG40" i="10"/>
  <c r="AF40" i="10"/>
  <c r="AD40" i="10"/>
  <c r="AC40" i="10"/>
  <c r="AA40" i="10"/>
  <c r="Z40" i="10"/>
  <c r="W40" i="10"/>
  <c r="X40" i="10" s="1"/>
  <c r="U40" i="10"/>
  <c r="T40" i="10"/>
  <c r="R40" i="10"/>
  <c r="Q40" i="10"/>
  <c r="O40" i="10"/>
  <c r="N40" i="10"/>
  <c r="L40" i="10"/>
  <c r="K40" i="10"/>
  <c r="I40" i="10"/>
  <c r="H40" i="10"/>
  <c r="E40" i="10"/>
  <c r="D40" i="10"/>
  <c r="F40" i="10" s="1"/>
  <c r="AP39" i="10"/>
  <c r="AO39" i="10"/>
  <c r="AL39" i="10"/>
  <c r="AM39" i="10" s="1"/>
  <c r="AI39" i="10"/>
  <c r="AJ39" i="10" s="1"/>
  <c r="AF39" i="10"/>
  <c r="AG39" i="10" s="1"/>
  <c r="AC39" i="10"/>
  <c r="AD39" i="10" s="1"/>
  <c r="Z39" i="10"/>
  <c r="AA39" i="10" s="1"/>
  <c r="X39" i="10"/>
  <c r="W39" i="10"/>
  <c r="T39" i="10"/>
  <c r="U39" i="10" s="1"/>
  <c r="Q39" i="10"/>
  <c r="R39" i="10" s="1"/>
  <c r="N39" i="10"/>
  <c r="O39" i="10" s="1"/>
  <c r="K39" i="10"/>
  <c r="L39" i="10" s="1"/>
  <c r="H39" i="10"/>
  <c r="E39" i="10" s="1"/>
  <c r="F39" i="10" s="1"/>
  <c r="D39" i="10"/>
  <c r="AP38" i="10"/>
  <c r="AO38" i="10"/>
  <c r="AM38" i="10"/>
  <c r="AL38" i="10"/>
  <c r="AJ38" i="10"/>
  <c r="AI38" i="10"/>
  <c r="AF38" i="10"/>
  <c r="AG38" i="10" s="1"/>
  <c r="AD38" i="10"/>
  <c r="AC38" i="10"/>
  <c r="AA38" i="10"/>
  <c r="Z38" i="10"/>
  <c r="X38" i="10"/>
  <c r="W38" i="10"/>
  <c r="U38" i="10"/>
  <c r="T38" i="10"/>
  <c r="R38" i="10"/>
  <c r="Q38" i="10"/>
  <c r="N38" i="10"/>
  <c r="O38" i="10" s="1"/>
  <c r="L38" i="10"/>
  <c r="K38" i="10"/>
  <c r="I38" i="10"/>
  <c r="H38" i="10"/>
  <c r="E38" i="10" s="1"/>
  <c r="F38" i="10" s="1"/>
  <c r="D38" i="10"/>
  <c r="AO37" i="10"/>
  <c r="AP37" i="10" s="1"/>
  <c r="AL37" i="10"/>
  <c r="AM37" i="10" s="1"/>
  <c r="AI37" i="10"/>
  <c r="AJ37" i="10" s="1"/>
  <c r="AG37" i="10"/>
  <c r="AF37" i="10"/>
  <c r="AC37" i="10"/>
  <c r="AD37" i="10" s="1"/>
  <c r="Z37" i="10"/>
  <c r="AA37" i="10" s="1"/>
  <c r="W37" i="10"/>
  <c r="X37" i="10" s="1"/>
  <c r="T37" i="10"/>
  <c r="U37" i="10" s="1"/>
  <c r="Q37" i="10"/>
  <c r="R37" i="10" s="1"/>
  <c r="O37" i="10"/>
  <c r="N37" i="10"/>
  <c r="K37" i="10"/>
  <c r="L37" i="10" s="1"/>
  <c r="H37" i="10"/>
  <c r="I37" i="10" s="1"/>
  <c r="E37" i="10"/>
  <c r="D37" i="10"/>
  <c r="F37" i="10" s="1"/>
  <c r="AO36" i="10"/>
  <c r="AP36" i="10" s="1"/>
  <c r="AM36" i="10"/>
  <c r="AL36" i="10"/>
  <c r="AJ36" i="10"/>
  <c r="AI36" i="10"/>
  <c r="AG36" i="10"/>
  <c r="AF36" i="10"/>
  <c r="AD36" i="10"/>
  <c r="AC36" i="10"/>
  <c r="AA36" i="10"/>
  <c r="Z36" i="10"/>
  <c r="W36" i="10"/>
  <c r="X36" i="10" s="1"/>
  <c r="U36" i="10"/>
  <c r="T36" i="10"/>
  <c r="R36" i="10"/>
  <c r="Q36" i="10"/>
  <c r="O36" i="10"/>
  <c r="N36" i="10"/>
  <c r="L36" i="10"/>
  <c r="K36" i="10"/>
  <c r="I36" i="10"/>
  <c r="H36" i="10"/>
  <c r="E36" i="10"/>
  <c r="D36" i="10"/>
  <c r="F36" i="10" s="1"/>
  <c r="AP35" i="10"/>
  <c r="AO35" i="10"/>
  <c r="AL35" i="10"/>
  <c r="AM35" i="10" s="1"/>
  <c r="AI35" i="10"/>
  <c r="AJ35" i="10" s="1"/>
  <c r="AF35" i="10"/>
  <c r="AG35" i="10" s="1"/>
  <c r="AC35" i="10"/>
  <c r="AD35" i="10" s="1"/>
  <c r="Z35" i="10"/>
  <c r="AA35" i="10" s="1"/>
  <c r="X35" i="10"/>
  <c r="W35" i="10"/>
  <c r="T35" i="10"/>
  <c r="U35" i="10" s="1"/>
  <c r="Q35" i="10"/>
  <c r="R35" i="10" s="1"/>
  <c r="N35" i="10"/>
  <c r="O35" i="10" s="1"/>
  <c r="K35" i="10"/>
  <c r="L35" i="10" s="1"/>
  <c r="H35" i="10"/>
  <c r="E35" i="10" s="1"/>
  <c r="F35" i="10" s="1"/>
  <c r="D35" i="10"/>
  <c r="AP34" i="10"/>
  <c r="AO34" i="10"/>
  <c r="AM34" i="10"/>
  <c r="AL34" i="10"/>
  <c r="AJ34" i="10"/>
  <c r="AI34" i="10"/>
  <c r="AF34" i="10"/>
  <c r="AG34" i="10" s="1"/>
  <c r="AD34" i="10"/>
  <c r="AC34" i="10"/>
  <c r="AA34" i="10"/>
  <c r="Z34" i="10"/>
  <c r="X34" i="10"/>
  <c r="W34" i="10"/>
  <c r="U34" i="10"/>
  <c r="T34" i="10"/>
  <c r="R34" i="10"/>
  <c r="Q34" i="10"/>
  <c r="N34" i="10"/>
  <c r="O34" i="10" s="1"/>
  <c r="L34" i="10"/>
  <c r="K34" i="10"/>
  <c r="I34" i="10"/>
  <c r="H34" i="10"/>
  <c r="F34" i="10"/>
  <c r="E34" i="10"/>
  <c r="D34" i="10"/>
  <c r="AO33" i="10"/>
  <c r="AP33" i="10" s="1"/>
  <c r="AL33" i="10"/>
  <c r="AM33" i="10" s="1"/>
  <c r="AI33" i="10"/>
  <c r="AJ33" i="10" s="1"/>
  <c r="AG33" i="10"/>
  <c r="AF33" i="10"/>
  <c r="AC33" i="10"/>
  <c r="AD33" i="10" s="1"/>
  <c r="Z33" i="10"/>
  <c r="AA33" i="10" s="1"/>
  <c r="W33" i="10"/>
  <c r="X33" i="10" s="1"/>
  <c r="T33" i="10"/>
  <c r="U33" i="10" s="1"/>
  <c r="Q33" i="10"/>
  <c r="R33" i="10" s="1"/>
  <c r="O33" i="10"/>
  <c r="N33" i="10"/>
  <c r="K33" i="10"/>
  <c r="L33" i="10" s="1"/>
  <c r="H33" i="10"/>
  <c r="I33" i="10" s="1"/>
  <c r="D33" i="10"/>
  <c r="AO32" i="10"/>
  <c r="AP32" i="10" s="1"/>
  <c r="AM32" i="10"/>
  <c r="AL32" i="10"/>
  <c r="AJ32" i="10"/>
  <c r="AI32" i="10"/>
  <c r="AG32" i="10"/>
  <c r="AF32" i="10"/>
  <c r="AD32" i="10"/>
  <c r="AC32" i="10"/>
  <c r="AA32" i="10"/>
  <c r="Z32" i="10"/>
  <c r="W32" i="10"/>
  <c r="X32" i="10" s="1"/>
  <c r="U32" i="10"/>
  <c r="T32" i="10"/>
  <c r="R32" i="10"/>
  <c r="Q32" i="10"/>
  <c r="O32" i="10"/>
  <c r="N32" i="10"/>
  <c r="L32" i="10"/>
  <c r="K32" i="10"/>
  <c r="I32" i="10"/>
  <c r="H32" i="10"/>
  <c r="E32" i="10"/>
  <c r="D32" i="10"/>
  <c r="F32" i="10" s="1"/>
  <c r="AP31" i="10"/>
  <c r="AO31" i="10"/>
  <c r="AL31" i="10"/>
  <c r="AM31" i="10" s="1"/>
  <c r="AI31" i="10"/>
  <c r="AJ31" i="10" s="1"/>
  <c r="AF31" i="10"/>
  <c r="AG31" i="10" s="1"/>
  <c r="AC31" i="10"/>
  <c r="AD31" i="10" s="1"/>
  <c r="Z31" i="10"/>
  <c r="AA31" i="10" s="1"/>
  <c r="X31" i="10"/>
  <c r="W31" i="10"/>
  <c r="T31" i="10"/>
  <c r="U31" i="10" s="1"/>
  <c r="Q31" i="10"/>
  <c r="R31" i="10" s="1"/>
  <c r="N31" i="10"/>
  <c r="O31" i="10" s="1"/>
  <c r="K31" i="10"/>
  <c r="L31" i="10" s="1"/>
  <c r="H31" i="10"/>
  <c r="E31" i="10" s="1"/>
  <c r="F31" i="10" s="1"/>
  <c r="D31" i="10"/>
  <c r="AP30" i="10"/>
  <c r="AO30" i="10"/>
  <c r="AM30" i="10"/>
  <c r="AL30" i="10"/>
  <c r="AJ30" i="10"/>
  <c r="AI30" i="10"/>
  <c r="AF30" i="10"/>
  <c r="AG30" i="10" s="1"/>
  <c r="AD30" i="10"/>
  <c r="AC30" i="10"/>
  <c r="AA30" i="10"/>
  <c r="Z30" i="10"/>
  <c r="X30" i="10"/>
  <c r="W30" i="10"/>
  <c r="U30" i="10"/>
  <c r="T30" i="10"/>
  <c r="R30" i="10"/>
  <c r="Q30" i="10"/>
  <c r="N30" i="10"/>
  <c r="O30" i="10" s="1"/>
  <c r="L30" i="10"/>
  <c r="K30" i="10"/>
  <c r="I30" i="10"/>
  <c r="H30" i="10"/>
  <c r="E30" i="10" s="1"/>
  <c r="F30" i="10" s="1"/>
  <c r="D30" i="10"/>
  <c r="AO29" i="10"/>
  <c r="AP29" i="10" s="1"/>
  <c r="AL29" i="10"/>
  <c r="AM29" i="10" s="1"/>
  <c r="AI29" i="10"/>
  <c r="AJ29" i="10" s="1"/>
  <c r="AG29" i="10"/>
  <c r="AF29" i="10"/>
  <c r="AC29" i="10"/>
  <c r="AD29" i="10" s="1"/>
  <c r="Z29" i="10"/>
  <c r="AA29" i="10" s="1"/>
  <c r="W29" i="10"/>
  <c r="X29" i="10" s="1"/>
  <c r="T29" i="10"/>
  <c r="U29" i="10" s="1"/>
  <c r="Q29" i="10"/>
  <c r="R29" i="10" s="1"/>
  <c r="O29" i="10"/>
  <c r="N29" i="10"/>
  <c r="K29" i="10"/>
  <c r="L29" i="10" s="1"/>
  <c r="H29" i="10"/>
  <c r="I29" i="10" s="1"/>
  <c r="E29" i="10"/>
  <c r="F29" i="10" s="1"/>
  <c r="D29" i="10"/>
  <c r="AO28" i="10"/>
  <c r="AP28" i="10" s="1"/>
  <c r="AM28" i="10"/>
  <c r="AL28" i="10"/>
  <c r="AJ28" i="10"/>
  <c r="AI28" i="10"/>
  <c r="AG28" i="10"/>
  <c r="AF28" i="10"/>
  <c r="AD28" i="10"/>
  <c r="AC28" i="10"/>
  <c r="AA28" i="10"/>
  <c r="Z28" i="10"/>
  <c r="W28" i="10"/>
  <c r="X28" i="10" s="1"/>
  <c r="U28" i="10"/>
  <c r="T28" i="10"/>
  <c r="R28" i="10"/>
  <c r="Q28" i="10"/>
  <c r="O28" i="10"/>
  <c r="N28" i="10"/>
  <c r="L28" i="10"/>
  <c r="K28" i="10"/>
  <c r="I28" i="10"/>
  <c r="H28" i="10"/>
  <c r="E28" i="10"/>
  <c r="D28" i="10"/>
  <c r="F28" i="10" s="1"/>
  <c r="AO47" i="8"/>
  <c r="AP47" i="8" s="1"/>
  <c r="AL47" i="8"/>
  <c r="AM47" i="8" s="1"/>
  <c r="AI47" i="8"/>
  <c r="AJ47" i="8" s="1"/>
  <c r="AF47" i="8"/>
  <c r="AG47" i="8" s="1"/>
  <c r="AC47" i="8"/>
  <c r="AD47" i="8" s="1"/>
  <c r="Z47" i="8"/>
  <c r="AA47" i="8" s="1"/>
  <c r="W47" i="8"/>
  <c r="X47" i="8" s="1"/>
  <c r="T47" i="8"/>
  <c r="U47" i="8" s="1"/>
  <c r="Q47" i="8"/>
  <c r="R47" i="8" s="1"/>
  <c r="N47" i="8"/>
  <c r="O47" i="8" s="1"/>
  <c r="K47" i="8"/>
  <c r="L47" i="8" s="1"/>
  <c r="H47" i="8"/>
  <c r="E47" i="8" s="1"/>
  <c r="D47" i="8"/>
  <c r="AP46" i="8"/>
  <c r="AO46" i="8"/>
  <c r="AM46" i="8"/>
  <c r="AL46" i="8"/>
  <c r="AJ46" i="8"/>
  <c r="AI46" i="8"/>
  <c r="AG46" i="8"/>
  <c r="AF46" i="8"/>
  <c r="AD46" i="8"/>
  <c r="AC46" i="8"/>
  <c r="AA46" i="8"/>
  <c r="Z46" i="8"/>
  <c r="X46" i="8"/>
  <c r="W46" i="8"/>
  <c r="T46" i="8"/>
  <c r="U46" i="8" s="1"/>
  <c r="R46" i="8"/>
  <c r="Q46" i="8"/>
  <c r="O46" i="8"/>
  <c r="N46" i="8"/>
  <c r="L46" i="8"/>
  <c r="K46" i="8"/>
  <c r="I46" i="8"/>
  <c r="H46" i="8"/>
  <c r="F46" i="8"/>
  <c r="E46" i="8"/>
  <c r="D46" i="8"/>
  <c r="AP45" i="8"/>
  <c r="AO45" i="8"/>
  <c r="AL45" i="8"/>
  <c r="AM45" i="8" s="1"/>
  <c r="AI45" i="8"/>
  <c r="AJ45" i="8" s="1"/>
  <c r="AF45" i="8"/>
  <c r="AG45" i="8" s="1"/>
  <c r="AC45" i="8"/>
  <c r="AD45" i="8" s="1"/>
  <c r="Z45" i="8"/>
  <c r="AA45" i="8" s="1"/>
  <c r="X45" i="8"/>
  <c r="W45" i="8"/>
  <c r="T45" i="8"/>
  <c r="U45" i="8" s="1"/>
  <c r="Q45" i="8"/>
  <c r="R45" i="8" s="1"/>
  <c r="N45" i="8"/>
  <c r="O45" i="8" s="1"/>
  <c r="K45" i="8"/>
  <c r="L45" i="8" s="1"/>
  <c r="H45" i="8"/>
  <c r="I45" i="8" s="1"/>
  <c r="F45" i="8"/>
  <c r="E45" i="8"/>
  <c r="D45" i="8"/>
  <c r="AP44" i="8"/>
  <c r="AO44" i="8"/>
  <c r="AM44" i="8"/>
  <c r="AL44" i="8"/>
  <c r="AJ44" i="8"/>
  <c r="AI44" i="8"/>
  <c r="AG44" i="8"/>
  <c r="AF44" i="8"/>
  <c r="AC44" i="8"/>
  <c r="AD44" i="8" s="1"/>
  <c r="AA44" i="8"/>
  <c r="Z44" i="8"/>
  <c r="X44" i="8"/>
  <c r="W44" i="8"/>
  <c r="U44" i="8"/>
  <c r="T44" i="8"/>
  <c r="R44" i="8"/>
  <c r="Q44" i="8"/>
  <c r="O44" i="8"/>
  <c r="N44" i="8"/>
  <c r="K44" i="8"/>
  <c r="L44" i="8" s="1"/>
  <c r="I44" i="8"/>
  <c r="H44" i="8"/>
  <c r="E44" i="8"/>
  <c r="D44" i="8"/>
  <c r="F44" i="8" s="1"/>
  <c r="AO43" i="8"/>
  <c r="AP43" i="8" s="1"/>
  <c r="AL43" i="8"/>
  <c r="AM43" i="8" s="1"/>
  <c r="AI43" i="8"/>
  <c r="AJ43" i="8" s="1"/>
  <c r="AG43" i="8"/>
  <c r="AF43" i="8"/>
  <c r="AC43" i="8"/>
  <c r="AD43" i="8" s="1"/>
  <c r="Z43" i="8"/>
  <c r="AA43" i="8" s="1"/>
  <c r="W43" i="8"/>
  <c r="X43" i="8" s="1"/>
  <c r="T43" i="8"/>
  <c r="U43" i="8" s="1"/>
  <c r="Q43" i="8"/>
  <c r="R43" i="8" s="1"/>
  <c r="O43" i="8"/>
  <c r="N43" i="8"/>
  <c r="K43" i="8"/>
  <c r="L43" i="8" s="1"/>
  <c r="H43" i="8"/>
  <c r="E43" i="8" s="1"/>
  <c r="F43" i="8" s="1"/>
  <c r="D43" i="8"/>
  <c r="AP42" i="8"/>
  <c r="AO42" i="8"/>
  <c r="AL42" i="8"/>
  <c r="AM42" i="8" s="1"/>
  <c r="AJ42" i="8"/>
  <c r="AI42" i="8"/>
  <c r="AG42" i="8"/>
  <c r="AF42" i="8"/>
  <c r="AD42" i="8"/>
  <c r="AC42" i="8"/>
  <c r="AA42" i="8"/>
  <c r="Z42" i="8"/>
  <c r="X42" i="8"/>
  <c r="W42" i="8"/>
  <c r="T42" i="8"/>
  <c r="U42" i="8" s="1"/>
  <c r="R42" i="8"/>
  <c r="Q42" i="8"/>
  <c r="O42" i="8"/>
  <c r="N42" i="8"/>
  <c r="L42" i="8"/>
  <c r="K42" i="8"/>
  <c r="I42" i="8"/>
  <c r="H42" i="8"/>
  <c r="F42" i="8"/>
  <c r="E42" i="8"/>
  <c r="D42" i="8"/>
  <c r="AP41" i="8"/>
  <c r="AO41" i="8"/>
  <c r="AL41" i="8"/>
  <c r="AM41" i="8" s="1"/>
  <c r="AI41" i="8"/>
  <c r="AJ41" i="8" s="1"/>
  <c r="AF41" i="8"/>
  <c r="AG41" i="8" s="1"/>
  <c r="AC41" i="8"/>
  <c r="AD41" i="8" s="1"/>
  <c r="Z41" i="8"/>
  <c r="AA41" i="8" s="1"/>
  <c r="X41" i="8"/>
  <c r="W41" i="8"/>
  <c r="T41" i="8"/>
  <c r="U41" i="8" s="1"/>
  <c r="Q41" i="8"/>
  <c r="R41" i="8" s="1"/>
  <c r="N41" i="8"/>
  <c r="O41" i="8" s="1"/>
  <c r="K41" i="8"/>
  <c r="L41" i="8" s="1"/>
  <c r="H41" i="8"/>
  <c r="I41" i="8" s="1"/>
  <c r="F41" i="8"/>
  <c r="E41" i="8"/>
  <c r="D41" i="8"/>
  <c r="AP40" i="8"/>
  <c r="AO40" i="8"/>
  <c r="AM40" i="8"/>
  <c r="AL40" i="8"/>
  <c r="AJ40" i="8"/>
  <c r="AI40" i="8"/>
  <c r="AG40" i="8"/>
  <c r="AF40" i="8"/>
  <c r="AC40" i="8"/>
  <c r="AD40" i="8" s="1"/>
  <c r="AA40" i="8"/>
  <c r="Z40" i="8"/>
  <c r="X40" i="8"/>
  <c r="W40" i="8"/>
  <c r="U40" i="8"/>
  <c r="T40" i="8"/>
  <c r="R40" i="8"/>
  <c r="Q40" i="8"/>
  <c r="O40" i="8"/>
  <c r="N40" i="8"/>
  <c r="K40" i="8"/>
  <c r="L40" i="8" s="1"/>
  <c r="I40" i="8"/>
  <c r="H40" i="8"/>
  <c r="E40" i="8"/>
  <c r="D40" i="8"/>
  <c r="F40" i="8" s="1"/>
  <c r="AO39" i="8"/>
  <c r="AP39" i="8" s="1"/>
  <c r="AL39" i="8"/>
  <c r="AM39" i="8" s="1"/>
  <c r="AI39" i="8"/>
  <c r="AJ39" i="8" s="1"/>
  <c r="AG39" i="8"/>
  <c r="AF39" i="8"/>
  <c r="AC39" i="8"/>
  <c r="AD39" i="8" s="1"/>
  <c r="Z39" i="8"/>
  <c r="AA39" i="8" s="1"/>
  <c r="W39" i="8"/>
  <c r="X39" i="8" s="1"/>
  <c r="T39" i="8"/>
  <c r="U39" i="8" s="1"/>
  <c r="Q39" i="8"/>
  <c r="R39" i="8" s="1"/>
  <c r="O39" i="8"/>
  <c r="N39" i="8"/>
  <c r="K39" i="8"/>
  <c r="L39" i="8" s="1"/>
  <c r="H39" i="8"/>
  <c r="E39" i="8" s="1"/>
  <c r="D39" i="8"/>
  <c r="F39" i="8" s="1"/>
  <c r="AP38" i="8"/>
  <c r="AO38" i="8"/>
  <c r="AL38" i="8"/>
  <c r="AM38" i="8" s="1"/>
  <c r="AJ38" i="8"/>
  <c r="AI38" i="8"/>
  <c r="AG38" i="8"/>
  <c r="AF38" i="8"/>
  <c r="AD38" i="8"/>
  <c r="AC38" i="8"/>
  <c r="AA38" i="8"/>
  <c r="Z38" i="8"/>
  <c r="X38" i="8"/>
  <c r="W38" i="8"/>
  <c r="T38" i="8"/>
  <c r="U38" i="8" s="1"/>
  <c r="R38" i="8"/>
  <c r="Q38" i="8"/>
  <c r="O38" i="8"/>
  <c r="N38" i="8"/>
  <c r="L38" i="8"/>
  <c r="K38" i="8"/>
  <c r="I38" i="8"/>
  <c r="H38" i="8"/>
  <c r="E38" i="8" s="1"/>
  <c r="F38" i="8" s="1"/>
  <c r="D38" i="8"/>
  <c r="AP37" i="8"/>
  <c r="AO37" i="8"/>
  <c r="AL37" i="8"/>
  <c r="AM37" i="8" s="1"/>
  <c r="AI37" i="8"/>
  <c r="AJ37" i="8" s="1"/>
  <c r="AF37" i="8"/>
  <c r="AG37" i="8" s="1"/>
  <c r="AC37" i="8"/>
  <c r="AD37" i="8" s="1"/>
  <c r="Z37" i="8"/>
  <c r="AA37" i="8" s="1"/>
  <c r="X37" i="8"/>
  <c r="W37" i="8"/>
  <c r="T37" i="8"/>
  <c r="U37" i="8" s="1"/>
  <c r="Q37" i="8"/>
  <c r="R37" i="8" s="1"/>
  <c r="N37" i="8"/>
  <c r="O37" i="8" s="1"/>
  <c r="K37" i="8"/>
  <c r="L37" i="8" s="1"/>
  <c r="H37" i="8"/>
  <c r="I37" i="8" s="1"/>
  <c r="F37" i="8"/>
  <c r="E37" i="8"/>
  <c r="D37" i="8"/>
  <c r="AP36" i="8"/>
  <c r="AO36" i="8"/>
  <c r="AM36" i="8"/>
  <c r="AL36" i="8"/>
  <c r="AJ36" i="8"/>
  <c r="AI36" i="8"/>
  <c r="AG36" i="8"/>
  <c r="AF36" i="8"/>
  <c r="AC36" i="8"/>
  <c r="AD36" i="8" s="1"/>
  <c r="AA36" i="8"/>
  <c r="Z36" i="8"/>
  <c r="X36" i="8"/>
  <c r="W36" i="8"/>
  <c r="U36" i="8"/>
  <c r="T36" i="8"/>
  <c r="R36" i="8"/>
  <c r="Q36" i="8"/>
  <c r="O36" i="8"/>
  <c r="N36" i="8"/>
  <c r="K36" i="8"/>
  <c r="L36" i="8" s="1"/>
  <c r="I36" i="8"/>
  <c r="H36" i="8"/>
  <c r="E36" i="8" s="1"/>
  <c r="D36" i="8"/>
  <c r="F36" i="8" s="1"/>
  <c r="AO35" i="8"/>
  <c r="AP35" i="8" s="1"/>
  <c r="AL35" i="8"/>
  <c r="AM35" i="8" s="1"/>
  <c r="AI35" i="8"/>
  <c r="AJ35" i="8" s="1"/>
  <c r="AG35" i="8"/>
  <c r="AF35" i="8"/>
  <c r="AC35" i="8"/>
  <c r="AD35" i="8" s="1"/>
  <c r="Z35" i="8"/>
  <c r="AA35" i="8" s="1"/>
  <c r="W35" i="8"/>
  <c r="X35" i="8" s="1"/>
  <c r="T35" i="8"/>
  <c r="U35" i="8" s="1"/>
  <c r="Q35" i="8"/>
  <c r="R35" i="8" s="1"/>
  <c r="O35" i="8"/>
  <c r="N35" i="8"/>
  <c r="K35" i="8"/>
  <c r="L35" i="8" s="1"/>
  <c r="H35" i="8"/>
  <c r="E35" i="8" s="1"/>
  <c r="D35" i="8"/>
  <c r="AP34" i="8"/>
  <c r="AO34" i="8"/>
  <c r="AL34" i="8"/>
  <c r="AM34" i="8" s="1"/>
  <c r="AJ34" i="8"/>
  <c r="AI34" i="8"/>
  <c r="AG34" i="8"/>
  <c r="AF34" i="8"/>
  <c r="AD34" i="8"/>
  <c r="AC34" i="8"/>
  <c r="AA34" i="8"/>
  <c r="Z34" i="8"/>
  <c r="X34" i="8"/>
  <c r="W34" i="8"/>
  <c r="T34" i="8"/>
  <c r="U34" i="8" s="1"/>
  <c r="R34" i="8"/>
  <c r="Q34" i="8"/>
  <c r="O34" i="8"/>
  <c r="N34" i="8"/>
  <c r="L34" i="8"/>
  <c r="K34" i="8"/>
  <c r="I34" i="8"/>
  <c r="H34" i="8"/>
  <c r="E34" i="8" s="1"/>
  <c r="F34" i="8" s="1"/>
  <c r="D34" i="8"/>
  <c r="AP33" i="8"/>
  <c r="AO33" i="8"/>
  <c r="AL33" i="8"/>
  <c r="AM33" i="8" s="1"/>
  <c r="AI33" i="8"/>
  <c r="AJ33" i="8" s="1"/>
  <c r="AF33" i="8"/>
  <c r="AG33" i="8" s="1"/>
  <c r="AC33" i="8"/>
  <c r="AD33" i="8" s="1"/>
  <c r="Z33" i="8"/>
  <c r="AA33" i="8" s="1"/>
  <c r="X33" i="8"/>
  <c r="W33" i="8"/>
  <c r="T33" i="8"/>
  <c r="U33" i="8" s="1"/>
  <c r="Q33" i="8"/>
  <c r="R33" i="8" s="1"/>
  <c r="N33" i="8"/>
  <c r="O33" i="8" s="1"/>
  <c r="K33" i="8"/>
  <c r="L33" i="8" s="1"/>
  <c r="H33" i="8"/>
  <c r="I33" i="8" s="1"/>
  <c r="F33" i="8"/>
  <c r="E33" i="8"/>
  <c r="D33" i="8"/>
  <c r="AP32" i="8"/>
  <c r="AO32" i="8"/>
  <c r="AM32" i="8"/>
  <c r="AL32" i="8"/>
  <c r="AJ32" i="8"/>
  <c r="AI32" i="8"/>
  <c r="AG32" i="8"/>
  <c r="AF32" i="8"/>
  <c r="AC32" i="8"/>
  <c r="AD32" i="8" s="1"/>
  <c r="AA32" i="8"/>
  <c r="Z32" i="8"/>
  <c r="X32" i="8"/>
  <c r="W32" i="8"/>
  <c r="U32" i="8"/>
  <c r="T32" i="8"/>
  <c r="R32" i="8"/>
  <c r="Q32" i="8"/>
  <c r="O32" i="8"/>
  <c r="N32" i="8"/>
  <c r="K32" i="8"/>
  <c r="L32" i="8" s="1"/>
  <c r="I32" i="8"/>
  <c r="H32" i="8"/>
  <c r="E32" i="8"/>
  <c r="D32" i="8"/>
  <c r="F32" i="8" s="1"/>
  <c r="AO31" i="8"/>
  <c r="AP31" i="8" s="1"/>
  <c r="AL31" i="8"/>
  <c r="AM31" i="8" s="1"/>
  <c r="AI31" i="8"/>
  <c r="AJ31" i="8" s="1"/>
  <c r="AG31" i="8"/>
  <c r="AF31" i="8"/>
  <c r="AC31" i="8"/>
  <c r="AD31" i="8" s="1"/>
  <c r="Z31" i="8"/>
  <c r="AA31" i="8" s="1"/>
  <c r="W31" i="8"/>
  <c r="X31" i="8" s="1"/>
  <c r="T31" i="8"/>
  <c r="U31" i="8" s="1"/>
  <c r="Q31" i="8"/>
  <c r="R31" i="8" s="1"/>
  <c r="O31" i="8"/>
  <c r="N31" i="8"/>
  <c r="K31" i="8"/>
  <c r="L31" i="8" s="1"/>
  <c r="H31" i="8"/>
  <c r="E31" i="8" s="1"/>
  <c r="D31" i="8"/>
  <c r="F31" i="8" s="1"/>
  <c r="AP30" i="8"/>
  <c r="AO30" i="8"/>
  <c r="AL30" i="8"/>
  <c r="AM30" i="8" s="1"/>
  <c r="AJ30" i="8"/>
  <c r="AI30" i="8"/>
  <c r="AG30" i="8"/>
  <c r="AF30" i="8"/>
  <c r="AD30" i="8"/>
  <c r="AC30" i="8"/>
  <c r="AA30" i="8"/>
  <c r="Z30" i="8"/>
  <c r="X30" i="8"/>
  <c r="W30" i="8"/>
  <c r="T30" i="8"/>
  <c r="U30" i="8" s="1"/>
  <c r="R30" i="8"/>
  <c r="Q30" i="8"/>
  <c r="O30" i="8"/>
  <c r="N30" i="8"/>
  <c r="L30" i="8"/>
  <c r="K30" i="8"/>
  <c r="I30" i="8"/>
  <c r="H30" i="8"/>
  <c r="E30" i="8" s="1"/>
  <c r="F30" i="8" s="1"/>
  <c r="D30" i="8"/>
  <c r="AO47" i="13"/>
  <c r="AP47" i="13" s="1"/>
  <c r="AL47" i="13"/>
  <c r="AM47" i="13" s="1"/>
  <c r="AI47" i="13"/>
  <c r="AJ47" i="13" s="1"/>
  <c r="AF47" i="13"/>
  <c r="AG47" i="13" s="1"/>
  <c r="AC47" i="13"/>
  <c r="AD47" i="13" s="1"/>
  <c r="Z47" i="13"/>
  <c r="AA47" i="13" s="1"/>
  <c r="W47" i="13"/>
  <c r="X47" i="13" s="1"/>
  <c r="T47" i="13"/>
  <c r="U47" i="13" s="1"/>
  <c r="Q47" i="13"/>
  <c r="R47" i="13" s="1"/>
  <c r="N47" i="13"/>
  <c r="O47" i="13" s="1"/>
  <c r="K47" i="13"/>
  <c r="L47" i="13" s="1"/>
  <c r="H47" i="13"/>
  <c r="E47" i="13" s="1"/>
  <c r="D47" i="13"/>
  <c r="AP46" i="13"/>
  <c r="AO46" i="13"/>
  <c r="AM46" i="13"/>
  <c r="AL46" i="13"/>
  <c r="AJ46" i="13"/>
  <c r="AI46" i="13"/>
  <c r="AG46" i="13"/>
  <c r="AF46" i="13"/>
  <c r="AD46" i="13"/>
  <c r="AC46" i="13"/>
  <c r="AA46" i="13"/>
  <c r="Z46" i="13"/>
  <c r="X46" i="13"/>
  <c r="W46" i="13"/>
  <c r="U46" i="13"/>
  <c r="T46" i="13"/>
  <c r="R46" i="13"/>
  <c r="Q46" i="13"/>
  <c r="O46" i="13"/>
  <c r="N46" i="13"/>
  <c r="L46" i="13"/>
  <c r="K46" i="13"/>
  <c r="I46" i="13"/>
  <c r="H46" i="13"/>
  <c r="E46" i="13" s="1"/>
  <c r="F46" i="13" s="1"/>
  <c r="D46" i="13"/>
  <c r="AO45" i="13"/>
  <c r="AP45" i="13" s="1"/>
  <c r="AL45" i="13"/>
  <c r="AM45" i="13" s="1"/>
  <c r="AI45" i="13"/>
  <c r="AJ45" i="13" s="1"/>
  <c r="AF45" i="13"/>
  <c r="AG45" i="13" s="1"/>
  <c r="AC45" i="13"/>
  <c r="AD45" i="13" s="1"/>
  <c r="Z45" i="13"/>
  <c r="AA45" i="13" s="1"/>
  <c r="W45" i="13"/>
  <c r="X45" i="13" s="1"/>
  <c r="T45" i="13"/>
  <c r="U45" i="13" s="1"/>
  <c r="Q45" i="13"/>
  <c r="R45" i="13" s="1"/>
  <c r="N45" i="13"/>
  <c r="O45" i="13" s="1"/>
  <c r="K45" i="13"/>
  <c r="L45" i="13" s="1"/>
  <c r="H45" i="13"/>
  <c r="I45" i="13" s="1"/>
  <c r="E45" i="13"/>
  <c r="F45" i="13" s="1"/>
  <c r="D45" i="13"/>
  <c r="AP44" i="13"/>
  <c r="AO44" i="13"/>
  <c r="AM44" i="13"/>
  <c r="AL44" i="13"/>
  <c r="AJ44" i="13"/>
  <c r="AI44" i="13"/>
  <c r="AG44" i="13"/>
  <c r="AF44" i="13"/>
  <c r="AD44" i="13"/>
  <c r="AC44" i="13"/>
  <c r="AA44" i="13"/>
  <c r="Z44" i="13"/>
  <c r="X44" i="13"/>
  <c r="W44" i="13"/>
  <c r="U44" i="13"/>
  <c r="T44" i="13"/>
  <c r="R44" i="13"/>
  <c r="Q44" i="13"/>
  <c r="O44" i="13"/>
  <c r="N44" i="13"/>
  <c r="L44" i="13"/>
  <c r="K44" i="13"/>
  <c r="I44" i="13"/>
  <c r="H44" i="13"/>
  <c r="E44" i="13" s="1"/>
  <c r="D44" i="13"/>
  <c r="AO43" i="13"/>
  <c r="AP43" i="13" s="1"/>
  <c r="AL43" i="13"/>
  <c r="AM43" i="13" s="1"/>
  <c r="AI43" i="13"/>
  <c r="AJ43" i="13" s="1"/>
  <c r="AF43" i="13"/>
  <c r="AG43" i="13" s="1"/>
  <c r="AC43" i="13"/>
  <c r="AD43" i="13" s="1"/>
  <c r="Z43" i="13"/>
  <c r="AA43" i="13" s="1"/>
  <c r="W43" i="13"/>
  <c r="X43" i="13" s="1"/>
  <c r="T43" i="13"/>
  <c r="U43" i="13" s="1"/>
  <c r="Q43" i="13"/>
  <c r="R43" i="13" s="1"/>
  <c r="N43" i="13"/>
  <c r="O43" i="13" s="1"/>
  <c r="K43" i="13"/>
  <c r="L43" i="13" s="1"/>
  <c r="H43" i="13"/>
  <c r="E43" i="13" s="1"/>
  <c r="D43" i="13"/>
  <c r="AP42" i="13"/>
  <c r="AO42" i="13"/>
  <c r="AM42" i="13"/>
  <c r="AL42" i="13"/>
  <c r="AJ42" i="13"/>
  <c r="AI42" i="13"/>
  <c r="AG42" i="13"/>
  <c r="AF42" i="13"/>
  <c r="AD42" i="13"/>
  <c r="AC42" i="13"/>
  <c r="AA42" i="13"/>
  <c r="Z42" i="13"/>
  <c r="X42" i="13"/>
  <c r="W42" i="13"/>
  <c r="U42" i="13"/>
  <c r="T42" i="13"/>
  <c r="R42" i="13"/>
  <c r="Q42" i="13"/>
  <c r="O42" i="13"/>
  <c r="N42" i="13"/>
  <c r="L42" i="13"/>
  <c r="K42" i="13"/>
  <c r="I42" i="13"/>
  <c r="H42" i="13"/>
  <c r="F42" i="13"/>
  <c r="E42" i="13"/>
  <c r="D42" i="13"/>
  <c r="AO41" i="13"/>
  <c r="AP41" i="13" s="1"/>
  <c r="AL41" i="13"/>
  <c r="AM41" i="13" s="1"/>
  <c r="AI41" i="13"/>
  <c r="AJ41" i="13" s="1"/>
  <c r="AF41" i="13"/>
  <c r="AG41" i="13" s="1"/>
  <c r="AC41" i="13"/>
  <c r="AD41" i="13" s="1"/>
  <c r="Z41" i="13"/>
  <c r="AA41" i="13" s="1"/>
  <c r="W41" i="13"/>
  <c r="X41" i="13" s="1"/>
  <c r="T41" i="13"/>
  <c r="U41" i="13" s="1"/>
  <c r="Q41" i="13"/>
  <c r="R41" i="13" s="1"/>
  <c r="N41" i="13"/>
  <c r="O41" i="13" s="1"/>
  <c r="K41" i="13"/>
  <c r="L41" i="13" s="1"/>
  <c r="H41" i="13"/>
  <c r="I41" i="13" s="1"/>
  <c r="E41" i="13"/>
  <c r="F41" i="13" s="1"/>
  <c r="D41" i="13"/>
  <c r="AP40" i="13"/>
  <c r="AO40" i="13"/>
  <c r="AM40" i="13"/>
  <c r="AL40" i="13"/>
  <c r="AJ40" i="13"/>
  <c r="AI40" i="13"/>
  <c r="AG40" i="13"/>
  <c r="AF40" i="13"/>
  <c r="AD40" i="13"/>
  <c r="AC40" i="13"/>
  <c r="AA40" i="13"/>
  <c r="Z40" i="13"/>
  <c r="X40" i="13"/>
  <c r="W40" i="13"/>
  <c r="U40" i="13"/>
  <c r="T40" i="13"/>
  <c r="R40" i="13"/>
  <c r="Q40" i="13"/>
  <c r="O40" i="13"/>
  <c r="N40" i="13"/>
  <c r="L40" i="13"/>
  <c r="K40" i="13"/>
  <c r="I40" i="13"/>
  <c r="H40" i="13"/>
  <c r="E40" i="13"/>
  <c r="D40" i="13"/>
  <c r="F40" i="13" s="1"/>
  <c r="AO39" i="13"/>
  <c r="AP39" i="13" s="1"/>
  <c r="AL39" i="13"/>
  <c r="AM39" i="13" s="1"/>
  <c r="AI39" i="13"/>
  <c r="AJ39" i="13" s="1"/>
  <c r="AF39" i="13"/>
  <c r="AG39" i="13" s="1"/>
  <c r="AC39" i="13"/>
  <c r="AD39" i="13" s="1"/>
  <c r="Z39" i="13"/>
  <c r="AA39" i="13" s="1"/>
  <c r="W39" i="13"/>
  <c r="X39" i="13" s="1"/>
  <c r="T39" i="13"/>
  <c r="U39" i="13" s="1"/>
  <c r="Q39" i="13"/>
  <c r="R39" i="13" s="1"/>
  <c r="N39" i="13"/>
  <c r="O39" i="13" s="1"/>
  <c r="K39" i="13"/>
  <c r="L39" i="13" s="1"/>
  <c r="H39" i="13"/>
  <c r="E39" i="13" s="1"/>
  <c r="D39" i="13"/>
  <c r="AP38" i="13"/>
  <c r="AO38" i="13"/>
  <c r="AM38" i="13"/>
  <c r="AL38" i="13"/>
  <c r="AJ38" i="13"/>
  <c r="AI38" i="13"/>
  <c r="AG38" i="13"/>
  <c r="AF38" i="13"/>
  <c r="AD38" i="13"/>
  <c r="AC38" i="13"/>
  <c r="AA38" i="13"/>
  <c r="Z38" i="13"/>
  <c r="X38" i="13"/>
  <c r="W38" i="13"/>
  <c r="U38" i="13"/>
  <c r="T38" i="13"/>
  <c r="R38" i="13"/>
  <c r="Q38" i="13"/>
  <c r="O38" i="13"/>
  <c r="N38" i="13"/>
  <c r="L38" i="13"/>
  <c r="K38" i="13"/>
  <c r="I38" i="13"/>
  <c r="H38" i="13"/>
  <c r="F38" i="13"/>
  <c r="E38" i="13"/>
  <c r="D38" i="13"/>
  <c r="AO37" i="13"/>
  <c r="AP37" i="13" s="1"/>
  <c r="AL37" i="13"/>
  <c r="AM37" i="13" s="1"/>
  <c r="AI37" i="13"/>
  <c r="AJ37" i="13" s="1"/>
  <c r="AF37" i="13"/>
  <c r="AG37" i="13" s="1"/>
  <c r="AC37" i="13"/>
  <c r="AD37" i="13" s="1"/>
  <c r="Z37" i="13"/>
  <c r="AA37" i="13" s="1"/>
  <c r="W37" i="13"/>
  <c r="X37" i="13" s="1"/>
  <c r="T37" i="13"/>
  <c r="U37" i="13" s="1"/>
  <c r="Q37" i="13"/>
  <c r="R37" i="13" s="1"/>
  <c r="N37" i="13"/>
  <c r="O37" i="13" s="1"/>
  <c r="K37" i="13"/>
  <c r="L37" i="13" s="1"/>
  <c r="H37" i="13"/>
  <c r="I37" i="13" s="1"/>
  <c r="E37" i="13"/>
  <c r="F37" i="13" s="1"/>
  <c r="D37" i="13"/>
  <c r="AP36" i="13"/>
  <c r="AO36" i="13"/>
  <c r="AM36" i="13"/>
  <c r="AL36" i="13"/>
  <c r="AJ36" i="13"/>
  <c r="AI36" i="13"/>
  <c r="AG36" i="13"/>
  <c r="AF36" i="13"/>
  <c r="AC36" i="13"/>
  <c r="AD36" i="13" s="1"/>
  <c r="AA36" i="13"/>
  <c r="Z36" i="13"/>
  <c r="X36" i="13"/>
  <c r="W36" i="13"/>
  <c r="U36" i="13"/>
  <c r="T36" i="13"/>
  <c r="R36" i="13"/>
  <c r="Q36" i="13"/>
  <c r="O36" i="13"/>
  <c r="N36" i="13"/>
  <c r="K36" i="13"/>
  <c r="L36" i="13" s="1"/>
  <c r="I36" i="13"/>
  <c r="H36" i="13"/>
  <c r="E36" i="13"/>
  <c r="D36" i="13"/>
  <c r="F36" i="13" s="1"/>
  <c r="AO35" i="13"/>
  <c r="AP35" i="13" s="1"/>
  <c r="AL35" i="13"/>
  <c r="AM35" i="13" s="1"/>
  <c r="AI35" i="13"/>
  <c r="AJ35" i="13" s="1"/>
  <c r="AG35" i="13"/>
  <c r="AF35" i="13"/>
  <c r="AC35" i="13"/>
  <c r="AD35" i="13" s="1"/>
  <c r="Z35" i="13"/>
  <c r="AA35" i="13" s="1"/>
  <c r="W35" i="13"/>
  <c r="X35" i="13" s="1"/>
  <c r="T35" i="13"/>
  <c r="U35" i="13" s="1"/>
  <c r="Q35" i="13"/>
  <c r="R35" i="13" s="1"/>
  <c r="O35" i="13"/>
  <c r="N35" i="13"/>
  <c r="K35" i="13"/>
  <c r="L35" i="13" s="1"/>
  <c r="H35" i="13"/>
  <c r="E35" i="13" s="1"/>
  <c r="D35" i="13"/>
  <c r="AP34" i="13"/>
  <c r="AO34" i="13"/>
  <c r="AL34" i="13"/>
  <c r="AM34" i="13" s="1"/>
  <c r="AJ34" i="13"/>
  <c r="AI34" i="13"/>
  <c r="AG34" i="13"/>
  <c r="AF34" i="13"/>
  <c r="AD34" i="13"/>
  <c r="AC34" i="13"/>
  <c r="AA34" i="13"/>
  <c r="Z34" i="13"/>
  <c r="X34" i="13"/>
  <c r="W34" i="13"/>
  <c r="T34" i="13"/>
  <c r="U34" i="13" s="1"/>
  <c r="R34" i="13"/>
  <c r="Q34" i="13"/>
  <c r="O34" i="13"/>
  <c r="N34" i="13"/>
  <c r="L34" i="13"/>
  <c r="K34" i="13"/>
  <c r="I34" i="13"/>
  <c r="H34" i="13"/>
  <c r="E34" i="13" s="1"/>
  <c r="F34" i="13" s="1"/>
  <c r="D34" i="13"/>
  <c r="AP33" i="13"/>
  <c r="AO33" i="13"/>
  <c r="AL33" i="13"/>
  <c r="AM33" i="13" s="1"/>
  <c r="AI33" i="13"/>
  <c r="AJ33" i="13" s="1"/>
  <c r="AF33" i="13"/>
  <c r="AG33" i="13" s="1"/>
  <c r="AC33" i="13"/>
  <c r="AD33" i="13" s="1"/>
  <c r="Z33" i="13"/>
  <c r="AA33" i="13" s="1"/>
  <c r="X33" i="13"/>
  <c r="W33" i="13"/>
  <c r="T33" i="13"/>
  <c r="U33" i="13" s="1"/>
  <c r="Q33" i="13"/>
  <c r="R33" i="13" s="1"/>
  <c r="N33" i="13"/>
  <c r="O33" i="13" s="1"/>
  <c r="K33" i="13"/>
  <c r="L33" i="13" s="1"/>
  <c r="H33" i="13"/>
  <c r="I33" i="13" s="1"/>
  <c r="F33" i="13"/>
  <c r="E33" i="13"/>
  <c r="D33" i="13"/>
  <c r="AP32" i="13"/>
  <c r="AO32" i="13"/>
  <c r="AM32" i="13"/>
  <c r="AL32" i="13"/>
  <c r="AJ32" i="13"/>
  <c r="AI32" i="13"/>
  <c r="AG32" i="13"/>
  <c r="AF32" i="13"/>
  <c r="AC32" i="13"/>
  <c r="AD32" i="13" s="1"/>
  <c r="AA32" i="13"/>
  <c r="Z32" i="13"/>
  <c r="X32" i="13"/>
  <c r="W32" i="13"/>
  <c r="U32" i="13"/>
  <c r="T32" i="13"/>
  <c r="R32" i="13"/>
  <c r="Q32" i="13"/>
  <c r="O32" i="13"/>
  <c r="N32" i="13"/>
  <c r="K32" i="13"/>
  <c r="L32" i="13" s="1"/>
  <c r="I32" i="13"/>
  <c r="H32" i="13"/>
  <c r="E32" i="13"/>
  <c r="D32" i="13"/>
  <c r="F32" i="13" s="1"/>
  <c r="AO31" i="13"/>
  <c r="AP31" i="13" s="1"/>
  <c r="AL31" i="13"/>
  <c r="AM31" i="13" s="1"/>
  <c r="AI31" i="13"/>
  <c r="AJ31" i="13" s="1"/>
  <c r="AG31" i="13"/>
  <c r="AF31" i="13"/>
  <c r="AC31" i="13"/>
  <c r="AD31" i="13" s="1"/>
  <c r="Z31" i="13"/>
  <c r="AA31" i="13" s="1"/>
  <c r="W31" i="13"/>
  <c r="X31" i="13" s="1"/>
  <c r="T31" i="13"/>
  <c r="U31" i="13" s="1"/>
  <c r="Q31" i="13"/>
  <c r="R31" i="13" s="1"/>
  <c r="O31" i="13"/>
  <c r="N31" i="13"/>
  <c r="K31" i="13"/>
  <c r="L31" i="13" s="1"/>
  <c r="H31" i="13"/>
  <c r="E31" i="13" s="1"/>
  <c r="F31" i="13" s="1"/>
  <c r="D31" i="13"/>
  <c r="AO47" i="12"/>
  <c r="AP47" i="12" s="1"/>
  <c r="AL47" i="12"/>
  <c r="AM47" i="12" s="1"/>
  <c r="AI47" i="12"/>
  <c r="AJ47" i="12" s="1"/>
  <c r="AF47" i="12"/>
  <c r="AG47" i="12" s="1"/>
  <c r="AC47" i="12"/>
  <c r="AD47" i="12" s="1"/>
  <c r="Z47" i="12"/>
  <c r="AA47" i="12" s="1"/>
  <c r="W47" i="12"/>
  <c r="X47" i="12" s="1"/>
  <c r="T47" i="12"/>
  <c r="U47" i="12" s="1"/>
  <c r="Q47" i="12"/>
  <c r="R47" i="12" s="1"/>
  <c r="N47" i="12"/>
  <c r="O47" i="12" s="1"/>
  <c r="K47" i="12"/>
  <c r="L47" i="12" s="1"/>
  <c r="H47" i="12"/>
  <c r="E47" i="12" s="1"/>
  <c r="D47" i="12"/>
  <c r="AP46" i="12"/>
  <c r="AO46" i="12"/>
  <c r="AM46" i="12"/>
  <c r="AL46" i="12"/>
  <c r="AJ46" i="12"/>
  <c r="AI46" i="12"/>
  <c r="AG46" i="12"/>
  <c r="AF46" i="12"/>
  <c r="AD46" i="12"/>
  <c r="AC46" i="12"/>
  <c r="AA46" i="12"/>
  <c r="Z46" i="12"/>
  <c r="X46" i="12"/>
  <c r="W46" i="12"/>
  <c r="U46" i="12"/>
  <c r="T46" i="12"/>
  <c r="R46" i="12"/>
  <c r="Q46" i="12"/>
  <c r="O46" i="12"/>
  <c r="N46" i="12"/>
  <c r="L46" i="12"/>
  <c r="K46" i="12"/>
  <c r="I46" i="12"/>
  <c r="H46" i="12"/>
  <c r="E46" i="12"/>
  <c r="D46" i="12"/>
  <c r="F46" i="12" s="1"/>
  <c r="AO45" i="12"/>
  <c r="AP45" i="12" s="1"/>
  <c r="AL45" i="12"/>
  <c r="AM45" i="12" s="1"/>
  <c r="AI45" i="12"/>
  <c r="AJ45" i="12" s="1"/>
  <c r="AF45" i="12"/>
  <c r="AG45" i="12" s="1"/>
  <c r="AC45" i="12"/>
  <c r="AD45" i="12" s="1"/>
  <c r="Z45" i="12"/>
  <c r="AA45" i="12" s="1"/>
  <c r="W45" i="12"/>
  <c r="X45" i="12" s="1"/>
  <c r="T45" i="12"/>
  <c r="U45" i="12" s="1"/>
  <c r="Q45" i="12"/>
  <c r="R45" i="12" s="1"/>
  <c r="N45" i="12"/>
  <c r="O45" i="12" s="1"/>
  <c r="K45" i="12"/>
  <c r="L45" i="12" s="1"/>
  <c r="H45" i="12"/>
  <c r="I45" i="12" s="1"/>
  <c r="D45" i="12"/>
  <c r="AP44" i="12"/>
  <c r="AO44" i="12"/>
  <c r="AM44" i="12"/>
  <c r="AL44" i="12"/>
  <c r="AI44" i="12"/>
  <c r="AJ44" i="12" s="1"/>
  <c r="AG44" i="12"/>
  <c r="AF44" i="12"/>
  <c r="AD44" i="12"/>
  <c r="AC44" i="12"/>
  <c r="AA44" i="12"/>
  <c r="Z44" i="12"/>
  <c r="X44" i="12"/>
  <c r="W44" i="12"/>
  <c r="U44" i="12"/>
  <c r="T44" i="12"/>
  <c r="Q44" i="12"/>
  <c r="R44" i="12" s="1"/>
  <c r="O44" i="12"/>
  <c r="N44" i="12"/>
  <c r="L44" i="12"/>
  <c r="K44" i="12"/>
  <c r="I44" i="12"/>
  <c r="H44" i="12"/>
  <c r="E44" i="12" s="1"/>
  <c r="D44" i="12"/>
  <c r="F44" i="12" s="1"/>
  <c r="AO43" i="12"/>
  <c r="AP43" i="12" s="1"/>
  <c r="AM43" i="12"/>
  <c r="AL43" i="12"/>
  <c r="AI43" i="12"/>
  <c r="AJ43" i="12" s="1"/>
  <c r="AF43" i="12"/>
  <c r="AG43" i="12" s="1"/>
  <c r="AC43" i="12"/>
  <c r="AD43" i="12" s="1"/>
  <c r="Z43" i="12"/>
  <c r="AA43" i="12" s="1"/>
  <c r="W43" i="12"/>
  <c r="X43" i="12" s="1"/>
  <c r="U43" i="12"/>
  <c r="T43" i="12"/>
  <c r="Q43" i="12"/>
  <c r="R43" i="12" s="1"/>
  <c r="N43" i="12"/>
  <c r="O43" i="12" s="1"/>
  <c r="K43" i="12"/>
  <c r="L43" i="12" s="1"/>
  <c r="H43" i="12"/>
  <c r="E43" i="12" s="1"/>
  <c r="D43" i="12"/>
  <c r="AP42" i="12"/>
  <c r="AO42" i="12"/>
  <c r="AM42" i="12"/>
  <c r="AL42" i="12"/>
  <c r="AJ42" i="12"/>
  <c r="AI42" i="12"/>
  <c r="AG42" i="12"/>
  <c r="AF42" i="12"/>
  <c r="AD42" i="12"/>
  <c r="AC42" i="12"/>
  <c r="Z42" i="12"/>
  <c r="AA42" i="12" s="1"/>
  <c r="X42" i="12"/>
  <c r="W42" i="12"/>
  <c r="U42" i="12"/>
  <c r="T42" i="12"/>
  <c r="R42" i="12"/>
  <c r="Q42" i="12"/>
  <c r="O42" i="12"/>
  <c r="N42" i="12"/>
  <c r="L42" i="12"/>
  <c r="K42" i="12"/>
  <c r="H42" i="12"/>
  <c r="I42" i="12" s="1"/>
  <c r="D42" i="12"/>
  <c r="AO41" i="12"/>
  <c r="AP41" i="12" s="1"/>
  <c r="AL41" i="12"/>
  <c r="AM41" i="12" s="1"/>
  <c r="AI41" i="12"/>
  <c r="AJ41" i="12" s="1"/>
  <c r="AF41" i="12"/>
  <c r="AG41" i="12" s="1"/>
  <c r="AD41" i="12"/>
  <c r="AC41" i="12"/>
  <c r="Z41" i="12"/>
  <c r="AA41" i="12" s="1"/>
  <c r="W41" i="12"/>
  <c r="X41" i="12" s="1"/>
  <c r="T41" i="12"/>
  <c r="U41" i="12" s="1"/>
  <c r="Q41" i="12"/>
  <c r="R41" i="12" s="1"/>
  <c r="N41" i="12"/>
  <c r="O41" i="12" s="1"/>
  <c r="L41" i="12"/>
  <c r="K41" i="12"/>
  <c r="H41" i="12"/>
  <c r="I41" i="12" s="1"/>
  <c r="D41" i="12"/>
  <c r="AP40" i="12"/>
  <c r="AO40" i="12"/>
  <c r="AM40" i="12"/>
  <c r="AL40" i="12"/>
  <c r="AI40" i="12"/>
  <c r="AJ40" i="12" s="1"/>
  <c r="AG40" i="12"/>
  <c r="AF40" i="12"/>
  <c r="AD40" i="12"/>
  <c r="AC40" i="12"/>
  <c r="AA40" i="12"/>
  <c r="Z40" i="12"/>
  <c r="X40" i="12"/>
  <c r="W40" i="12"/>
  <c r="U40" i="12"/>
  <c r="T40" i="12"/>
  <c r="Q40" i="12"/>
  <c r="R40" i="12" s="1"/>
  <c r="O40" i="12"/>
  <c r="N40" i="12"/>
  <c r="L40" i="12"/>
  <c r="K40" i="12"/>
  <c r="I40" i="12"/>
  <c r="H40" i="12"/>
  <c r="E40" i="12"/>
  <c r="D40" i="12"/>
  <c r="F40" i="12" s="1"/>
  <c r="AO39" i="12"/>
  <c r="AP39" i="12" s="1"/>
  <c r="AM39" i="12"/>
  <c r="AL39" i="12"/>
  <c r="AI39" i="12"/>
  <c r="AJ39" i="12" s="1"/>
  <c r="AF39" i="12"/>
  <c r="AG39" i="12" s="1"/>
  <c r="AC39" i="12"/>
  <c r="AD39" i="12" s="1"/>
  <c r="Z39" i="12"/>
  <c r="AA39" i="12" s="1"/>
  <c r="W39" i="12"/>
  <c r="X39" i="12" s="1"/>
  <c r="U39" i="12"/>
  <c r="T39" i="12"/>
  <c r="Q39" i="12"/>
  <c r="R39" i="12" s="1"/>
  <c r="N39" i="12"/>
  <c r="O39" i="12" s="1"/>
  <c r="K39" i="12"/>
  <c r="L39" i="12" s="1"/>
  <c r="H39" i="12"/>
  <c r="E39" i="12" s="1"/>
  <c r="D39" i="12"/>
  <c r="F39" i="12" s="1"/>
  <c r="AP38" i="12"/>
  <c r="AO38" i="12"/>
  <c r="AM38" i="12"/>
  <c r="AL38" i="12"/>
  <c r="AJ38" i="12"/>
  <c r="AI38" i="12"/>
  <c r="AG38" i="12"/>
  <c r="AF38" i="12"/>
  <c r="AD38" i="12"/>
  <c r="AC38" i="12"/>
  <c r="Z38" i="12"/>
  <c r="AA38" i="12" s="1"/>
  <c r="X38" i="12"/>
  <c r="W38" i="12"/>
  <c r="U38" i="12"/>
  <c r="T38" i="12"/>
  <c r="R38" i="12"/>
  <c r="Q38" i="12"/>
  <c r="O38" i="12"/>
  <c r="N38" i="12"/>
  <c r="L38" i="12"/>
  <c r="K38" i="12"/>
  <c r="H38" i="12"/>
  <c r="I38" i="12" s="1"/>
  <c r="D38" i="12"/>
  <c r="AO37" i="12"/>
  <c r="AP37" i="12" s="1"/>
  <c r="AL37" i="12"/>
  <c r="AM37" i="12" s="1"/>
  <c r="AI37" i="12"/>
  <c r="AJ37" i="12" s="1"/>
  <c r="AF37" i="12"/>
  <c r="AG37" i="12" s="1"/>
  <c r="AD37" i="12"/>
  <c r="AC37" i="12"/>
  <c r="Z37" i="12"/>
  <c r="AA37" i="12" s="1"/>
  <c r="W37" i="12"/>
  <c r="X37" i="12" s="1"/>
  <c r="T37" i="12"/>
  <c r="U37" i="12" s="1"/>
  <c r="Q37" i="12"/>
  <c r="R37" i="12" s="1"/>
  <c r="N37" i="12"/>
  <c r="O37" i="12" s="1"/>
  <c r="L37" i="12"/>
  <c r="K37" i="12"/>
  <c r="H37" i="12"/>
  <c r="I37" i="12" s="1"/>
  <c r="D37" i="12"/>
  <c r="AP36" i="12"/>
  <c r="AO36" i="12"/>
  <c r="AM36" i="12"/>
  <c r="AL36" i="12"/>
  <c r="AI36" i="12"/>
  <c r="AJ36" i="12" s="1"/>
  <c r="AG36" i="12"/>
  <c r="AF36" i="12"/>
  <c r="AD36" i="12"/>
  <c r="AC36" i="12"/>
  <c r="AA36" i="12"/>
  <c r="Z36" i="12"/>
  <c r="X36" i="12"/>
  <c r="W36" i="12"/>
  <c r="U36" i="12"/>
  <c r="T36" i="12"/>
  <c r="Q36" i="12"/>
  <c r="R36" i="12" s="1"/>
  <c r="O36" i="12"/>
  <c r="N36" i="12"/>
  <c r="L36" i="12"/>
  <c r="K36" i="12"/>
  <c r="I36" i="12"/>
  <c r="H36" i="12"/>
  <c r="E36" i="12" s="1"/>
  <c r="D36" i="12"/>
  <c r="F36" i="12" s="1"/>
  <c r="AO35" i="12"/>
  <c r="AP35" i="12" s="1"/>
  <c r="AM35" i="12"/>
  <c r="AL35" i="12"/>
  <c r="AI35" i="12"/>
  <c r="AJ35" i="12" s="1"/>
  <c r="AF35" i="12"/>
  <c r="AG35" i="12" s="1"/>
  <c r="AC35" i="12"/>
  <c r="AD35" i="12" s="1"/>
  <c r="Z35" i="12"/>
  <c r="AA35" i="12" s="1"/>
  <c r="W35" i="12"/>
  <c r="X35" i="12" s="1"/>
  <c r="U35" i="12"/>
  <c r="T35" i="12"/>
  <c r="Q35" i="12"/>
  <c r="R35" i="12" s="1"/>
  <c r="N35" i="12"/>
  <c r="O35" i="12" s="1"/>
  <c r="K35" i="12"/>
  <c r="L35" i="12" s="1"/>
  <c r="H35" i="12"/>
  <c r="E35" i="12" s="1"/>
  <c r="D35" i="12"/>
  <c r="F35" i="12" s="1"/>
  <c r="AP34" i="12"/>
  <c r="AO34" i="12"/>
  <c r="AM34" i="12"/>
  <c r="AL34" i="12"/>
  <c r="AJ34" i="12"/>
  <c r="AI34" i="12"/>
  <c r="AG34" i="12"/>
  <c r="AF34" i="12"/>
  <c r="AD34" i="12"/>
  <c r="AC34" i="12"/>
  <c r="Z34" i="12"/>
  <c r="AA34" i="12" s="1"/>
  <c r="X34" i="12"/>
  <c r="W34" i="12"/>
  <c r="U34" i="12"/>
  <c r="T34" i="12"/>
  <c r="R34" i="12"/>
  <c r="Q34" i="12"/>
  <c r="O34" i="12"/>
  <c r="N34" i="12"/>
  <c r="L34" i="12"/>
  <c r="K34" i="12"/>
  <c r="H34" i="12"/>
  <c r="I34" i="12" s="1"/>
  <c r="D34" i="12"/>
  <c r="AO33" i="12"/>
  <c r="AP33" i="12" s="1"/>
  <c r="AL33" i="12"/>
  <c r="AM33" i="12" s="1"/>
  <c r="AI33" i="12"/>
  <c r="AJ33" i="12" s="1"/>
  <c r="AF33" i="12"/>
  <c r="AG33" i="12" s="1"/>
  <c r="AD33" i="12"/>
  <c r="AC33" i="12"/>
  <c r="Z33" i="12"/>
  <c r="AA33" i="12" s="1"/>
  <c r="W33" i="12"/>
  <c r="X33" i="12" s="1"/>
  <c r="T33" i="12"/>
  <c r="U33" i="12" s="1"/>
  <c r="Q33" i="12"/>
  <c r="R33" i="12" s="1"/>
  <c r="N33" i="12"/>
  <c r="O33" i="12" s="1"/>
  <c r="L33" i="12"/>
  <c r="K33" i="12"/>
  <c r="H33" i="12"/>
  <c r="I33" i="12" s="1"/>
  <c r="D33" i="12"/>
  <c r="AP32" i="12"/>
  <c r="AO32" i="12"/>
  <c r="AM32" i="12"/>
  <c r="AL32" i="12"/>
  <c r="AI32" i="12"/>
  <c r="AJ32" i="12" s="1"/>
  <c r="AG32" i="12"/>
  <c r="AF32" i="12"/>
  <c r="AD32" i="12"/>
  <c r="AC32" i="12"/>
  <c r="AA32" i="12"/>
  <c r="Z32" i="12"/>
  <c r="X32" i="12"/>
  <c r="W32" i="12"/>
  <c r="U32" i="12"/>
  <c r="T32" i="12"/>
  <c r="Q32" i="12"/>
  <c r="R32" i="12" s="1"/>
  <c r="O32" i="12"/>
  <c r="N32" i="12"/>
  <c r="L32" i="12"/>
  <c r="K32" i="12"/>
  <c r="I32" i="12"/>
  <c r="H32" i="12"/>
  <c r="E32" i="12" s="1"/>
  <c r="D32" i="12"/>
  <c r="AO31" i="12"/>
  <c r="AP31" i="12" s="1"/>
  <c r="AM31" i="12"/>
  <c r="AL31" i="12"/>
  <c r="AI31" i="12"/>
  <c r="AJ31" i="12" s="1"/>
  <c r="AF31" i="12"/>
  <c r="AG31" i="12" s="1"/>
  <c r="AC31" i="12"/>
  <c r="AD31" i="12" s="1"/>
  <c r="Z31" i="12"/>
  <c r="AA31" i="12" s="1"/>
  <c r="W31" i="12"/>
  <c r="X31" i="12" s="1"/>
  <c r="U31" i="12"/>
  <c r="T31" i="12"/>
  <c r="Q31" i="12"/>
  <c r="R31" i="12" s="1"/>
  <c r="N31" i="12"/>
  <c r="O31" i="12" s="1"/>
  <c r="K31" i="12"/>
  <c r="L31" i="12" s="1"/>
  <c r="H31" i="12"/>
  <c r="E31" i="12" s="1"/>
  <c r="D31" i="12"/>
  <c r="AP30" i="12"/>
  <c r="AO30" i="12"/>
  <c r="AM30" i="12"/>
  <c r="AL30" i="12"/>
  <c r="AJ30" i="12"/>
  <c r="AI30" i="12"/>
  <c r="AG30" i="12"/>
  <c r="AF30" i="12"/>
  <c r="AD30" i="12"/>
  <c r="AC30" i="12"/>
  <c r="Z30" i="12"/>
  <c r="AA30" i="12" s="1"/>
  <c r="X30" i="12"/>
  <c r="W30" i="12"/>
  <c r="U30" i="12"/>
  <c r="T30" i="12"/>
  <c r="R30" i="12"/>
  <c r="Q30" i="12"/>
  <c r="O30" i="12"/>
  <c r="N30" i="12"/>
  <c r="L30" i="12"/>
  <c r="K30" i="12"/>
  <c r="H30" i="12"/>
  <c r="I30" i="12" s="1"/>
  <c r="D30" i="12"/>
  <c r="AO29" i="12"/>
  <c r="AP29" i="12" s="1"/>
  <c r="AL29" i="12"/>
  <c r="AM29" i="12" s="1"/>
  <c r="AI29" i="12"/>
  <c r="AJ29" i="12" s="1"/>
  <c r="AF29" i="12"/>
  <c r="AG29" i="12" s="1"/>
  <c r="AD29" i="12"/>
  <c r="AC29" i="12"/>
  <c r="Z29" i="12"/>
  <c r="AA29" i="12" s="1"/>
  <c r="W29" i="12"/>
  <c r="X29" i="12" s="1"/>
  <c r="T29" i="12"/>
  <c r="U29" i="12" s="1"/>
  <c r="Q29" i="12"/>
  <c r="R29" i="12" s="1"/>
  <c r="N29" i="12"/>
  <c r="O29" i="12" s="1"/>
  <c r="L29" i="12"/>
  <c r="K29" i="12"/>
  <c r="H29" i="12"/>
  <c r="I29" i="12" s="1"/>
  <c r="D29" i="12"/>
  <c r="AP28" i="12"/>
  <c r="AO28" i="12"/>
  <c r="AM28" i="12"/>
  <c r="AL28" i="12"/>
  <c r="AI28" i="12"/>
  <c r="AJ28" i="12" s="1"/>
  <c r="AG28" i="12"/>
  <c r="AF28" i="12"/>
  <c r="AD28" i="12"/>
  <c r="AC28" i="12"/>
  <c r="AA28" i="12"/>
  <c r="Z28" i="12"/>
  <c r="X28" i="12"/>
  <c r="W28" i="12"/>
  <c r="U28" i="12"/>
  <c r="T28" i="12"/>
  <c r="Q28" i="12"/>
  <c r="R28" i="12" s="1"/>
  <c r="O28" i="12"/>
  <c r="N28" i="12"/>
  <c r="L28" i="12"/>
  <c r="K28" i="12"/>
  <c r="I28" i="12"/>
  <c r="H28" i="12"/>
  <c r="E28" i="12" s="1"/>
  <c r="D28" i="12"/>
  <c r="F28" i="12" s="1"/>
  <c r="AO27" i="12"/>
  <c r="AP27" i="12" s="1"/>
  <c r="AM27" i="12"/>
  <c r="AL27" i="12"/>
  <c r="AI27" i="12"/>
  <c r="AJ27" i="12" s="1"/>
  <c r="AF27" i="12"/>
  <c r="AG27" i="12" s="1"/>
  <c r="AC27" i="12"/>
  <c r="AD27" i="12" s="1"/>
  <c r="Z27" i="12"/>
  <c r="AA27" i="12" s="1"/>
  <c r="W27" i="12"/>
  <c r="X27" i="12" s="1"/>
  <c r="U27" i="12"/>
  <c r="T27" i="12"/>
  <c r="Q27" i="12"/>
  <c r="R27" i="12" s="1"/>
  <c r="N27" i="12"/>
  <c r="O27" i="12" s="1"/>
  <c r="K27" i="12"/>
  <c r="L27" i="12" s="1"/>
  <c r="H27" i="12"/>
  <c r="E27" i="12" s="1"/>
  <c r="D27" i="12"/>
  <c r="F27" i="12" s="1"/>
  <c r="AP26" i="12"/>
  <c r="AO26" i="12"/>
  <c r="AM26" i="12"/>
  <c r="AL26" i="12"/>
  <c r="AJ26" i="12"/>
  <c r="AI26" i="12"/>
  <c r="AG26" i="12"/>
  <c r="AF26" i="12"/>
  <c r="AD26" i="12"/>
  <c r="AC26" i="12"/>
  <c r="Z26" i="12"/>
  <c r="AA26" i="12" s="1"/>
  <c r="X26" i="12"/>
  <c r="W26" i="12"/>
  <c r="U26" i="12"/>
  <c r="T26" i="12"/>
  <c r="R26" i="12"/>
  <c r="Q26" i="12"/>
  <c r="O26" i="12"/>
  <c r="N26" i="12"/>
  <c r="L26" i="12"/>
  <c r="K26" i="12"/>
  <c r="H26" i="12"/>
  <c r="I26" i="12" s="1"/>
  <c r="D26" i="12"/>
  <c r="AO25" i="12"/>
  <c r="AP25" i="12" s="1"/>
  <c r="AL25" i="12"/>
  <c r="AM25" i="12" s="1"/>
  <c r="AI25" i="12"/>
  <c r="AJ25" i="12" s="1"/>
  <c r="AF25" i="12"/>
  <c r="AG25" i="12" s="1"/>
  <c r="AD25" i="12"/>
  <c r="AC25" i="12"/>
  <c r="Z25" i="12"/>
  <c r="AA25" i="12" s="1"/>
  <c r="W25" i="12"/>
  <c r="X25" i="12" s="1"/>
  <c r="T25" i="12"/>
  <c r="U25" i="12" s="1"/>
  <c r="Q25" i="12"/>
  <c r="R25" i="12" s="1"/>
  <c r="N25" i="12"/>
  <c r="O25" i="12" s="1"/>
  <c r="L25" i="12"/>
  <c r="K25" i="12"/>
  <c r="H25" i="12"/>
  <c r="I25" i="12" s="1"/>
  <c r="D25" i="12"/>
  <c r="AP24" i="12"/>
  <c r="AO24" i="12"/>
  <c r="AM24" i="12"/>
  <c r="AL24" i="12"/>
  <c r="AI24" i="12"/>
  <c r="AJ24" i="12" s="1"/>
  <c r="AG24" i="12"/>
  <c r="AF24" i="12"/>
  <c r="AD24" i="12"/>
  <c r="AC24" i="12"/>
  <c r="AA24" i="12"/>
  <c r="Z24" i="12"/>
  <c r="X24" i="12"/>
  <c r="W24" i="12"/>
  <c r="U24" i="12"/>
  <c r="T24" i="12"/>
  <c r="Q24" i="12"/>
  <c r="R24" i="12" s="1"/>
  <c r="O24" i="12"/>
  <c r="N24" i="12"/>
  <c r="L24" i="12"/>
  <c r="K24" i="12"/>
  <c r="I24" i="12"/>
  <c r="H24" i="12"/>
  <c r="E24" i="12"/>
  <c r="D24" i="12"/>
  <c r="F24" i="12" s="1"/>
  <c r="AO23" i="12"/>
  <c r="AP23" i="12" s="1"/>
  <c r="AM23" i="12"/>
  <c r="AL23" i="12"/>
  <c r="AI23" i="12"/>
  <c r="AJ23" i="12" s="1"/>
  <c r="AF23" i="12"/>
  <c r="AG23" i="12" s="1"/>
  <c r="AC23" i="12"/>
  <c r="AD23" i="12" s="1"/>
  <c r="Z23" i="12"/>
  <c r="AA23" i="12" s="1"/>
  <c r="W23" i="12"/>
  <c r="X23" i="12" s="1"/>
  <c r="U23" i="12"/>
  <c r="T23" i="12"/>
  <c r="Q23" i="12"/>
  <c r="R23" i="12" s="1"/>
  <c r="N23" i="12"/>
  <c r="O23" i="12" s="1"/>
  <c r="K23" i="12"/>
  <c r="L23" i="12" s="1"/>
  <c r="H23" i="12"/>
  <c r="E23" i="12" s="1"/>
  <c r="D23" i="12"/>
  <c r="F23" i="12" s="1"/>
  <c r="AP22" i="12"/>
  <c r="AO22" i="12"/>
  <c r="AM22" i="12"/>
  <c r="AL22" i="12"/>
  <c r="AJ22" i="12"/>
  <c r="AI22" i="12"/>
  <c r="AG22" i="12"/>
  <c r="AF22" i="12"/>
  <c r="AD22" i="12"/>
  <c r="AC22" i="12"/>
  <c r="Z22" i="12"/>
  <c r="AA22" i="12" s="1"/>
  <c r="X22" i="12"/>
  <c r="W22" i="12"/>
  <c r="U22" i="12"/>
  <c r="T22" i="12"/>
  <c r="R22" i="12"/>
  <c r="Q22" i="12"/>
  <c r="O22" i="12"/>
  <c r="N22" i="12"/>
  <c r="L22" i="12"/>
  <c r="K22" i="12"/>
  <c r="H22" i="12"/>
  <c r="I22" i="12" s="1"/>
  <c r="D22" i="12"/>
  <c r="AO21" i="12"/>
  <c r="AP21" i="12" s="1"/>
  <c r="AL21" i="12"/>
  <c r="AM21" i="12" s="1"/>
  <c r="AI21" i="12"/>
  <c r="AJ21" i="12" s="1"/>
  <c r="AF21" i="12"/>
  <c r="AG21" i="12" s="1"/>
  <c r="AD21" i="12"/>
  <c r="AC21" i="12"/>
  <c r="Z21" i="12"/>
  <c r="AA21" i="12" s="1"/>
  <c r="W21" i="12"/>
  <c r="X21" i="12" s="1"/>
  <c r="T21" i="12"/>
  <c r="U21" i="12" s="1"/>
  <c r="Q21" i="12"/>
  <c r="R21" i="12" s="1"/>
  <c r="N21" i="12"/>
  <c r="O21" i="12" s="1"/>
  <c r="L21" i="12"/>
  <c r="K21" i="12"/>
  <c r="H21" i="12"/>
  <c r="I21" i="12" s="1"/>
  <c r="D21" i="12"/>
  <c r="AP20" i="12"/>
  <c r="AO20" i="12"/>
  <c r="AM20" i="12"/>
  <c r="AL20" i="12"/>
  <c r="AI20" i="12"/>
  <c r="AJ20" i="12" s="1"/>
  <c r="AG20" i="12"/>
  <c r="AF20" i="12"/>
  <c r="AD20" i="12"/>
  <c r="AC20" i="12"/>
  <c r="AA20" i="12"/>
  <c r="Z20" i="12"/>
  <c r="X20" i="12"/>
  <c r="W20" i="12"/>
  <c r="U20" i="12"/>
  <c r="T20" i="12"/>
  <c r="Q20" i="12"/>
  <c r="R20" i="12" s="1"/>
  <c r="O20" i="12"/>
  <c r="N20" i="12"/>
  <c r="L20" i="12"/>
  <c r="K20" i="12"/>
  <c r="I20" i="12"/>
  <c r="H20" i="12"/>
  <c r="E20" i="12"/>
  <c r="D20" i="12"/>
  <c r="F20" i="12" s="1"/>
  <c r="AO19" i="12"/>
  <c r="AP19" i="12" s="1"/>
  <c r="AM19" i="12"/>
  <c r="AL19" i="12"/>
  <c r="AI19" i="12"/>
  <c r="AJ19" i="12" s="1"/>
  <c r="AF19" i="12"/>
  <c r="AG19" i="12" s="1"/>
  <c r="AC19" i="12"/>
  <c r="AD19" i="12" s="1"/>
  <c r="Z19" i="12"/>
  <c r="AA19" i="12" s="1"/>
  <c r="W19" i="12"/>
  <c r="X19" i="12" s="1"/>
  <c r="U19" i="12"/>
  <c r="T19" i="12"/>
  <c r="Q19" i="12"/>
  <c r="R19" i="12" s="1"/>
  <c r="N19" i="12"/>
  <c r="O19" i="12" s="1"/>
  <c r="K19" i="12"/>
  <c r="L19" i="12" s="1"/>
  <c r="H19" i="12"/>
  <c r="E19" i="12" s="1"/>
  <c r="D19" i="12"/>
  <c r="F19" i="12" s="1"/>
  <c r="AP18" i="12"/>
  <c r="AO18" i="12"/>
  <c r="AM18" i="12"/>
  <c r="AL18" i="12"/>
  <c r="AJ18" i="12"/>
  <c r="AI18" i="12"/>
  <c r="AG18" i="12"/>
  <c r="AF18" i="12"/>
  <c r="AD18" i="12"/>
  <c r="AC18" i="12"/>
  <c r="Z18" i="12"/>
  <c r="AA18" i="12" s="1"/>
  <c r="X18" i="12"/>
  <c r="W18" i="12"/>
  <c r="U18" i="12"/>
  <c r="T18" i="12"/>
  <c r="R18" i="12"/>
  <c r="Q18" i="12"/>
  <c r="O18" i="12"/>
  <c r="N18" i="12"/>
  <c r="L18" i="12"/>
  <c r="K18" i="12"/>
  <c r="H18" i="12"/>
  <c r="I18" i="12" s="1"/>
  <c r="D18" i="12"/>
  <c r="AO17" i="12"/>
  <c r="AP17" i="12" s="1"/>
  <c r="AL17" i="12"/>
  <c r="AM17" i="12" s="1"/>
  <c r="AI17" i="12"/>
  <c r="AJ17" i="12" s="1"/>
  <c r="AF17" i="12"/>
  <c r="AG17" i="12" s="1"/>
  <c r="AD17" i="12"/>
  <c r="AC17" i="12"/>
  <c r="Z17" i="12"/>
  <c r="AA17" i="12" s="1"/>
  <c r="W17" i="12"/>
  <c r="X17" i="12" s="1"/>
  <c r="T17" i="12"/>
  <c r="U17" i="12" s="1"/>
  <c r="Q17" i="12"/>
  <c r="R17" i="12" s="1"/>
  <c r="N17" i="12"/>
  <c r="O17" i="12" s="1"/>
  <c r="L17" i="12"/>
  <c r="K17" i="12"/>
  <c r="H17" i="12"/>
  <c r="I17" i="12" s="1"/>
  <c r="D17" i="12"/>
  <c r="AP16" i="12"/>
  <c r="AO16" i="12"/>
  <c r="AM16" i="12"/>
  <c r="AL16" i="12"/>
  <c r="AI16" i="12"/>
  <c r="AJ16" i="12" s="1"/>
  <c r="AG16" i="12"/>
  <c r="AF16" i="12"/>
  <c r="AD16" i="12"/>
  <c r="AC16" i="12"/>
  <c r="AA16" i="12"/>
  <c r="Z16" i="12"/>
  <c r="X16" i="12"/>
  <c r="W16" i="12"/>
  <c r="U16" i="12"/>
  <c r="T16" i="12"/>
  <c r="Q16" i="12"/>
  <c r="R16" i="12" s="1"/>
  <c r="O16" i="12"/>
  <c r="N16" i="12"/>
  <c r="L16" i="12"/>
  <c r="K16" i="12"/>
  <c r="I16" i="12"/>
  <c r="H16" i="12"/>
  <c r="E16" i="12"/>
  <c r="D16" i="12"/>
  <c r="F16" i="12" s="1"/>
  <c r="AO15" i="12"/>
  <c r="AP15" i="12" s="1"/>
  <c r="AM15" i="12"/>
  <c r="AL15" i="12"/>
  <c r="AI15" i="12"/>
  <c r="AJ15" i="12" s="1"/>
  <c r="AF15" i="12"/>
  <c r="AG15" i="12" s="1"/>
  <c r="AC15" i="12"/>
  <c r="AD15" i="12" s="1"/>
  <c r="Z15" i="12"/>
  <c r="AA15" i="12" s="1"/>
  <c r="W15" i="12"/>
  <c r="X15" i="12" s="1"/>
  <c r="U15" i="12"/>
  <c r="T15" i="12"/>
  <c r="Q15" i="12"/>
  <c r="R15" i="12" s="1"/>
  <c r="N15" i="12"/>
  <c r="O15" i="12" s="1"/>
  <c r="K15" i="12"/>
  <c r="L15" i="12" s="1"/>
  <c r="H15" i="12"/>
  <c r="E15" i="12" s="1"/>
  <c r="D15" i="12"/>
  <c r="AP14" i="12"/>
  <c r="AO14" i="12"/>
  <c r="AM14" i="12"/>
  <c r="AL14" i="12"/>
  <c r="AJ14" i="12"/>
  <c r="AI14" i="12"/>
  <c r="AG14" i="12"/>
  <c r="AF14" i="12"/>
  <c r="AD14" i="12"/>
  <c r="AC14" i="12"/>
  <c r="Z14" i="12"/>
  <c r="AA14" i="12" s="1"/>
  <c r="X14" i="12"/>
  <c r="W14" i="12"/>
  <c r="U14" i="12"/>
  <c r="T14" i="12"/>
  <c r="R14" i="12"/>
  <c r="Q14" i="12"/>
  <c r="O14" i="12"/>
  <c r="N14" i="12"/>
  <c r="L14" i="12"/>
  <c r="K14" i="12"/>
  <c r="H14" i="12"/>
  <c r="I14" i="12" s="1"/>
  <c r="D14" i="12"/>
  <c r="AO13" i="12"/>
  <c r="AP13" i="12" s="1"/>
  <c r="AL13" i="12"/>
  <c r="AM13" i="12" s="1"/>
  <c r="AI13" i="12"/>
  <c r="AJ13" i="12" s="1"/>
  <c r="AF13" i="12"/>
  <c r="AG13" i="12" s="1"/>
  <c r="AC13" i="12"/>
  <c r="AD13" i="12" s="1"/>
  <c r="Z13" i="12"/>
  <c r="AA13" i="12" s="1"/>
  <c r="W13" i="12"/>
  <c r="X13" i="12" s="1"/>
  <c r="T13" i="12"/>
  <c r="U13" i="12" s="1"/>
  <c r="Q13" i="12"/>
  <c r="R13" i="12" s="1"/>
  <c r="N13" i="12"/>
  <c r="O13" i="12" s="1"/>
  <c r="K13" i="12"/>
  <c r="L13" i="12" s="1"/>
  <c r="H13" i="12"/>
  <c r="I13" i="12" s="1"/>
  <c r="D13" i="12"/>
  <c r="AP12" i="12"/>
  <c r="AO12" i="12"/>
  <c r="AM12" i="12"/>
  <c r="AL12" i="12"/>
  <c r="AI12" i="12"/>
  <c r="AJ12" i="12" s="1"/>
  <c r="AG12" i="12"/>
  <c r="AF12" i="12"/>
  <c r="AD12" i="12"/>
  <c r="AC12" i="12"/>
  <c r="AA12" i="12"/>
  <c r="Z12" i="12"/>
  <c r="X12" i="12"/>
  <c r="W12" i="12"/>
  <c r="U12" i="12"/>
  <c r="T12" i="12"/>
  <c r="Q12" i="12"/>
  <c r="R12" i="12" s="1"/>
  <c r="O12" i="12"/>
  <c r="N12" i="12"/>
  <c r="L12" i="12"/>
  <c r="K12" i="12"/>
  <c r="I12" i="12"/>
  <c r="H12" i="12"/>
  <c r="E12" i="12"/>
  <c r="D12" i="12"/>
  <c r="F12" i="12" s="1"/>
  <c r="AO11" i="12"/>
  <c r="AP11" i="12" s="1"/>
  <c r="AL11" i="12"/>
  <c r="AM11" i="12" s="1"/>
  <c r="AI11" i="12"/>
  <c r="AJ11" i="12" s="1"/>
  <c r="AF11" i="12"/>
  <c r="AG11" i="12" s="1"/>
  <c r="AC11" i="12"/>
  <c r="AD11" i="12" s="1"/>
  <c r="Z11" i="12"/>
  <c r="AA11" i="12" s="1"/>
  <c r="W11" i="12"/>
  <c r="X11" i="12" s="1"/>
  <c r="T11" i="12"/>
  <c r="U11" i="12" s="1"/>
  <c r="Q11" i="12"/>
  <c r="R11" i="12" s="1"/>
  <c r="N11" i="12"/>
  <c r="O11" i="12" s="1"/>
  <c r="K11" i="12"/>
  <c r="L11" i="12" s="1"/>
  <c r="H11" i="12"/>
  <c r="E11" i="12" s="1"/>
  <c r="D11" i="12"/>
  <c r="F11" i="12" s="1"/>
  <c r="AP10" i="12"/>
  <c r="AO10" i="12"/>
  <c r="AM10" i="12"/>
  <c r="AL10" i="12"/>
  <c r="AJ10" i="12"/>
  <c r="AI10" i="12"/>
  <c r="AG10" i="12"/>
  <c r="AF10" i="12"/>
  <c r="AD10" i="12"/>
  <c r="AC10" i="12"/>
  <c r="Z10" i="12"/>
  <c r="AA10" i="12" s="1"/>
  <c r="X10" i="12"/>
  <c r="W10" i="12"/>
  <c r="U10" i="12"/>
  <c r="T10" i="12"/>
  <c r="R10" i="12"/>
  <c r="Q10" i="12"/>
  <c r="O10" i="12"/>
  <c r="N10" i="12"/>
  <c r="L10" i="12"/>
  <c r="K10" i="12"/>
  <c r="H10" i="12"/>
  <c r="I10" i="12" s="1"/>
  <c r="D10" i="12"/>
  <c r="AO9" i="12"/>
  <c r="AP9" i="12" s="1"/>
  <c r="AL9" i="12"/>
  <c r="AM9" i="12" s="1"/>
  <c r="AI9" i="12"/>
  <c r="AJ9" i="12" s="1"/>
  <c r="AF9" i="12"/>
  <c r="AG9" i="12" s="1"/>
  <c r="AC9" i="12"/>
  <c r="AD9" i="12" s="1"/>
  <c r="Z9" i="12"/>
  <c r="AA9" i="12" s="1"/>
  <c r="W9" i="12"/>
  <c r="X9" i="12" s="1"/>
  <c r="T9" i="12"/>
  <c r="U9" i="12" s="1"/>
  <c r="Q9" i="12"/>
  <c r="R9" i="12" s="1"/>
  <c r="N9" i="12"/>
  <c r="O9" i="12" s="1"/>
  <c r="K9" i="12"/>
  <c r="L9" i="12" s="1"/>
  <c r="H9" i="12"/>
  <c r="I9" i="12" s="1"/>
  <c r="D9" i="12"/>
  <c r="AP8" i="12"/>
  <c r="AO8" i="12"/>
  <c r="AM8" i="12"/>
  <c r="AL8" i="12"/>
  <c r="AI8" i="12"/>
  <c r="AJ8" i="12" s="1"/>
  <c r="AG8" i="12"/>
  <c r="AF8" i="12"/>
  <c r="AD8" i="12"/>
  <c r="AC8" i="12"/>
  <c r="AA8" i="12"/>
  <c r="Z8" i="12"/>
  <c r="X8" i="12"/>
  <c r="W8" i="12"/>
  <c r="U8" i="12"/>
  <c r="T8" i="12"/>
  <c r="Q8" i="12"/>
  <c r="R8" i="12" s="1"/>
  <c r="O8" i="12"/>
  <c r="N8" i="12"/>
  <c r="L8" i="12"/>
  <c r="K8" i="12"/>
  <c r="I8" i="12"/>
  <c r="H8" i="12"/>
  <c r="E8" i="12"/>
  <c r="D8" i="12"/>
  <c r="F8" i="12" s="1"/>
  <c r="AO7" i="12"/>
  <c r="AP7" i="12" s="1"/>
  <c r="AL7" i="12"/>
  <c r="AM7" i="12" s="1"/>
  <c r="AI7" i="12"/>
  <c r="AJ7" i="12" s="1"/>
  <c r="AF7" i="12"/>
  <c r="AG7" i="12" s="1"/>
  <c r="AC7" i="12"/>
  <c r="AD7" i="12" s="1"/>
  <c r="Z7" i="12"/>
  <c r="AA7" i="12" s="1"/>
  <c r="W7" i="12"/>
  <c r="X7" i="12" s="1"/>
  <c r="T7" i="12"/>
  <c r="U7" i="12" s="1"/>
  <c r="Q7" i="12"/>
  <c r="R7" i="12" s="1"/>
  <c r="N7" i="12"/>
  <c r="O7" i="12" s="1"/>
  <c r="K7" i="12"/>
  <c r="L7" i="12" s="1"/>
  <c r="H7" i="12"/>
  <c r="E7" i="12" s="1"/>
  <c r="D7" i="12"/>
  <c r="F7" i="12" s="1"/>
  <c r="AP6" i="12"/>
  <c r="AO6" i="12"/>
  <c r="AM6" i="12"/>
  <c r="AL6" i="12"/>
  <c r="AJ6" i="12"/>
  <c r="AI6" i="12"/>
  <c r="AG6" i="12"/>
  <c r="AF6" i="12"/>
  <c r="AD6" i="12"/>
  <c r="AC6" i="12"/>
  <c r="Z6" i="12"/>
  <c r="AA6" i="12" s="1"/>
  <c r="X6" i="12"/>
  <c r="W6" i="12"/>
  <c r="U6" i="12"/>
  <c r="T6" i="12"/>
  <c r="R6" i="12"/>
  <c r="Q6" i="12"/>
  <c r="O6" i="12"/>
  <c r="N6" i="12"/>
  <c r="L6" i="12"/>
  <c r="K6" i="12"/>
  <c r="H6" i="12"/>
  <c r="I6" i="12" s="1"/>
  <c r="D6" i="12"/>
  <c r="AO5" i="12"/>
  <c r="AP5" i="12" s="1"/>
  <c r="AL5" i="12"/>
  <c r="AM5" i="12" s="1"/>
  <c r="AI5" i="12"/>
  <c r="AJ5" i="12" s="1"/>
  <c r="AF5" i="12"/>
  <c r="AG5" i="12" s="1"/>
  <c r="AC5" i="12"/>
  <c r="AD5" i="12" s="1"/>
  <c r="Z5" i="12"/>
  <c r="AA5" i="12" s="1"/>
  <c r="W5" i="12"/>
  <c r="X5" i="12" s="1"/>
  <c r="T5" i="12"/>
  <c r="U5" i="12" s="1"/>
  <c r="Q5" i="12"/>
  <c r="R5" i="12" s="1"/>
  <c r="N5" i="12"/>
  <c r="O5" i="12" s="1"/>
  <c r="K5" i="12"/>
  <c r="L5" i="12" s="1"/>
  <c r="H5" i="12"/>
  <c r="I5" i="12" s="1"/>
  <c r="D5" i="12"/>
  <c r="AO47" i="9"/>
  <c r="AP47" i="9" s="1"/>
  <c r="AL47" i="9"/>
  <c r="AM47" i="9" s="1"/>
  <c r="AI47" i="9"/>
  <c r="AJ47" i="9" s="1"/>
  <c r="AF47" i="9"/>
  <c r="AG47" i="9" s="1"/>
  <c r="AC47" i="9"/>
  <c r="AD47" i="9" s="1"/>
  <c r="Z47" i="9"/>
  <c r="AA47" i="9" s="1"/>
  <c r="W47" i="9"/>
  <c r="X47" i="9" s="1"/>
  <c r="T47" i="9"/>
  <c r="U47" i="9" s="1"/>
  <c r="Q47" i="9"/>
  <c r="R47" i="9" s="1"/>
  <c r="N47" i="9"/>
  <c r="O47" i="9" s="1"/>
  <c r="K47" i="9"/>
  <c r="L47" i="9" s="1"/>
  <c r="H47" i="9"/>
  <c r="E47" i="9" s="1"/>
  <c r="D47" i="9"/>
  <c r="AP46" i="9"/>
  <c r="AO46" i="9"/>
  <c r="AM46" i="9"/>
  <c r="AL46" i="9"/>
  <c r="AJ46" i="9"/>
  <c r="AI46" i="9"/>
  <c r="AG46" i="9"/>
  <c r="AF46" i="9"/>
  <c r="AD46" i="9"/>
  <c r="AC46" i="9"/>
  <c r="AA46" i="9"/>
  <c r="Z46" i="9"/>
  <c r="X46" i="9"/>
  <c r="W46" i="9"/>
  <c r="U46" i="9"/>
  <c r="T46" i="9"/>
  <c r="R46" i="9"/>
  <c r="Q46" i="9"/>
  <c r="O46" i="9"/>
  <c r="N46" i="9"/>
  <c r="L46" i="9"/>
  <c r="K46" i="9"/>
  <c r="I46" i="9"/>
  <c r="H46" i="9"/>
  <c r="E46" i="9"/>
  <c r="D46" i="9"/>
  <c r="F46" i="9" s="1"/>
  <c r="AO45" i="9"/>
  <c r="AP45" i="9" s="1"/>
  <c r="AL45" i="9"/>
  <c r="AM45" i="9" s="1"/>
  <c r="AI45" i="9"/>
  <c r="AJ45" i="9" s="1"/>
  <c r="AF45" i="9"/>
  <c r="AG45" i="9" s="1"/>
  <c r="AC45" i="9"/>
  <c r="AD45" i="9" s="1"/>
  <c r="Z45" i="9"/>
  <c r="AA45" i="9" s="1"/>
  <c r="W45" i="9"/>
  <c r="X45" i="9" s="1"/>
  <c r="T45" i="9"/>
  <c r="U45" i="9" s="1"/>
  <c r="Q45" i="9"/>
  <c r="R45" i="9" s="1"/>
  <c r="N45" i="9"/>
  <c r="O45" i="9" s="1"/>
  <c r="K45" i="9"/>
  <c r="L45" i="9" s="1"/>
  <c r="H45" i="9"/>
  <c r="I45" i="9" s="1"/>
  <c r="E45" i="9"/>
  <c r="D45" i="9"/>
  <c r="F45" i="9" s="1"/>
  <c r="AP44" i="9"/>
  <c r="AO44" i="9"/>
  <c r="AM44" i="9"/>
  <c r="AL44" i="9"/>
  <c r="AJ44" i="9"/>
  <c r="AI44" i="9"/>
  <c r="AG44" i="9"/>
  <c r="AF44" i="9"/>
  <c r="AD44" i="9"/>
  <c r="AC44" i="9"/>
  <c r="AA44" i="9"/>
  <c r="Z44" i="9"/>
  <c r="X44" i="9"/>
  <c r="W44" i="9"/>
  <c r="U44" i="9"/>
  <c r="T44" i="9"/>
  <c r="R44" i="9"/>
  <c r="Q44" i="9"/>
  <c r="O44" i="9"/>
  <c r="N44" i="9"/>
  <c r="L44" i="9"/>
  <c r="K44" i="9"/>
  <c r="I44" i="9"/>
  <c r="H44" i="9"/>
  <c r="E44" i="9" s="1"/>
  <c r="D44" i="9"/>
  <c r="AO43" i="9"/>
  <c r="AP43" i="9" s="1"/>
  <c r="AL43" i="9"/>
  <c r="AM43" i="9" s="1"/>
  <c r="AI43" i="9"/>
  <c r="AJ43" i="9" s="1"/>
  <c r="AF43" i="9"/>
  <c r="AG43" i="9" s="1"/>
  <c r="AC43" i="9"/>
  <c r="AD43" i="9" s="1"/>
  <c r="Z43" i="9"/>
  <c r="AA43" i="9" s="1"/>
  <c r="W43" i="9"/>
  <c r="X43" i="9" s="1"/>
  <c r="T43" i="9"/>
  <c r="U43" i="9" s="1"/>
  <c r="Q43" i="9"/>
  <c r="R43" i="9" s="1"/>
  <c r="N43" i="9"/>
  <c r="O43" i="9" s="1"/>
  <c r="K43" i="9"/>
  <c r="L43" i="9" s="1"/>
  <c r="H43" i="9"/>
  <c r="E43" i="9" s="1"/>
  <c r="D43" i="9"/>
  <c r="F43" i="9" s="1"/>
  <c r="AP42" i="9"/>
  <c r="AO42" i="9"/>
  <c r="AM42" i="9"/>
  <c r="AL42" i="9"/>
  <c r="AJ42" i="9"/>
  <c r="AI42" i="9"/>
  <c r="AG42" i="9"/>
  <c r="AF42" i="9"/>
  <c r="AD42" i="9"/>
  <c r="AC42" i="9"/>
  <c r="AA42" i="9"/>
  <c r="Z42" i="9"/>
  <c r="X42" i="9"/>
  <c r="W42" i="9"/>
  <c r="U42" i="9"/>
  <c r="T42" i="9"/>
  <c r="R42" i="9"/>
  <c r="Q42" i="9"/>
  <c r="O42" i="9"/>
  <c r="N42" i="9"/>
  <c r="L42" i="9"/>
  <c r="K42" i="9"/>
  <c r="I42" i="9"/>
  <c r="H42" i="9"/>
  <c r="F42" i="9"/>
  <c r="E42" i="9"/>
  <c r="D42" i="9"/>
  <c r="AO41" i="9"/>
  <c r="AP41" i="9" s="1"/>
  <c r="AL41" i="9"/>
  <c r="AM41" i="9" s="1"/>
  <c r="AI41" i="9"/>
  <c r="AJ41" i="9" s="1"/>
  <c r="AF41" i="9"/>
  <c r="AG41" i="9" s="1"/>
  <c r="AC41" i="9"/>
  <c r="AD41" i="9" s="1"/>
  <c r="Z41" i="9"/>
  <c r="AA41" i="9" s="1"/>
  <c r="W41" i="9"/>
  <c r="X41" i="9" s="1"/>
  <c r="T41" i="9"/>
  <c r="U41" i="9" s="1"/>
  <c r="Q41" i="9"/>
  <c r="R41" i="9" s="1"/>
  <c r="N41" i="9"/>
  <c r="O41" i="9" s="1"/>
  <c r="K41" i="9"/>
  <c r="L41" i="9" s="1"/>
  <c r="H41" i="9"/>
  <c r="I41" i="9" s="1"/>
  <c r="E41" i="9"/>
  <c r="F41" i="9" s="1"/>
  <c r="D41" i="9"/>
  <c r="AP40" i="9"/>
  <c r="AO40" i="9"/>
  <c r="AM40" i="9"/>
  <c r="AL40" i="9"/>
  <c r="AJ40" i="9"/>
  <c r="AI40" i="9"/>
  <c r="AG40" i="9"/>
  <c r="AF40" i="9"/>
  <c r="AD40" i="9"/>
  <c r="AC40" i="9"/>
  <c r="AA40" i="9"/>
  <c r="Z40" i="9"/>
  <c r="X40" i="9"/>
  <c r="W40" i="9"/>
  <c r="U40" i="9"/>
  <c r="T40" i="9"/>
  <c r="R40" i="9"/>
  <c r="Q40" i="9"/>
  <c r="O40" i="9"/>
  <c r="N40" i="9"/>
  <c r="L40" i="9"/>
  <c r="K40" i="9"/>
  <c r="I40" i="9"/>
  <c r="H40" i="9"/>
  <c r="E40" i="9"/>
  <c r="D40" i="9"/>
  <c r="F40" i="9" s="1"/>
  <c r="AO39" i="9"/>
  <c r="AP39" i="9" s="1"/>
  <c r="AL39" i="9"/>
  <c r="AM39" i="9" s="1"/>
  <c r="AI39" i="9"/>
  <c r="AJ39" i="9" s="1"/>
  <c r="AF39" i="9"/>
  <c r="AG39" i="9" s="1"/>
  <c r="AC39" i="9"/>
  <c r="AD39" i="9" s="1"/>
  <c r="Z39" i="9"/>
  <c r="AA39" i="9" s="1"/>
  <c r="W39" i="9"/>
  <c r="X39" i="9" s="1"/>
  <c r="T39" i="9"/>
  <c r="U39" i="9" s="1"/>
  <c r="Q39" i="9"/>
  <c r="R39" i="9" s="1"/>
  <c r="N39" i="9"/>
  <c r="O39" i="9" s="1"/>
  <c r="K39" i="9"/>
  <c r="L39" i="9" s="1"/>
  <c r="H39" i="9"/>
  <c r="E39" i="9" s="1"/>
  <c r="D39" i="9"/>
  <c r="AP38" i="9"/>
  <c r="AO38" i="9"/>
  <c r="AM38" i="9"/>
  <c r="AL38" i="9"/>
  <c r="AJ38" i="9"/>
  <c r="AI38" i="9"/>
  <c r="AG38" i="9"/>
  <c r="AF38" i="9"/>
  <c r="AD38" i="9"/>
  <c r="AC38" i="9"/>
  <c r="AA38" i="9"/>
  <c r="Z38" i="9"/>
  <c r="X38" i="9"/>
  <c r="W38" i="9"/>
  <c r="U38" i="9"/>
  <c r="T38" i="9"/>
  <c r="R38" i="9"/>
  <c r="Q38" i="9"/>
  <c r="O38" i="9"/>
  <c r="N38" i="9"/>
  <c r="L38" i="9"/>
  <c r="K38" i="9"/>
  <c r="I38" i="9"/>
  <c r="H38" i="9"/>
  <c r="F38" i="9"/>
  <c r="E38" i="9"/>
  <c r="D38" i="9"/>
  <c r="AO37" i="9"/>
  <c r="AP37" i="9" s="1"/>
  <c r="AL37" i="9"/>
  <c r="AM37" i="9" s="1"/>
  <c r="AI37" i="9"/>
  <c r="AJ37" i="9" s="1"/>
  <c r="AF37" i="9"/>
  <c r="AG37" i="9" s="1"/>
  <c r="AC37" i="9"/>
  <c r="AD37" i="9" s="1"/>
  <c r="Z37" i="9"/>
  <c r="AA37" i="9" s="1"/>
  <c r="W37" i="9"/>
  <c r="X37" i="9" s="1"/>
  <c r="T37" i="9"/>
  <c r="U37" i="9" s="1"/>
  <c r="Q37" i="9"/>
  <c r="R37" i="9" s="1"/>
  <c r="N37" i="9"/>
  <c r="O37" i="9" s="1"/>
  <c r="K37" i="9"/>
  <c r="L37" i="9" s="1"/>
  <c r="H37" i="9"/>
  <c r="I37" i="9" s="1"/>
  <c r="E37" i="9"/>
  <c r="D37" i="9"/>
  <c r="F37" i="9" s="1"/>
  <c r="AP36" i="9"/>
  <c r="AO36" i="9"/>
  <c r="AM36" i="9"/>
  <c r="AL36" i="9"/>
  <c r="AJ36" i="9"/>
  <c r="AI36" i="9"/>
  <c r="AG36" i="9"/>
  <c r="AF36" i="9"/>
  <c r="AD36" i="9"/>
  <c r="AC36" i="9"/>
  <c r="AA36" i="9"/>
  <c r="Z36" i="9"/>
  <c r="X36" i="9"/>
  <c r="W36" i="9"/>
  <c r="U36" i="9"/>
  <c r="T36" i="9"/>
  <c r="R36" i="9"/>
  <c r="Q36" i="9"/>
  <c r="O36" i="9"/>
  <c r="N36" i="9"/>
  <c r="L36" i="9"/>
  <c r="K36" i="9"/>
  <c r="I36" i="9"/>
  <c r="H36" i="9"/>
  <c r="E36" i="9"/>
  <c r="D36" i="9"/>
  <c r="F36" i="9" s="1"/>
  <c r="AO35" i="9"/>
  <c r="AP35" i="9" s="1"/>
  <c r="AL35" i="9"/>
  <c r="AM35" i="9" s="1"/>
  <c r="AI35" i="9"/>
  <c r="AJ35" i="9" s="1"/>
  <c r="AF35" i="9"/>
  <c r="AG35" i="9" s="1"/>
  <c r="AC35" i="9"/>
  <c r="AD35" i="9" s="1"/>
  <c r="Z35" i="9"/>
  <c r="AA35" i="9" s="1"/>
  <c r="W35" i="9"/>
  <c r="X35" i="9" s="1"/>
  <c r="T35" i="9"/>
  <c r="U35" i="9" s="1"/>
  <c r="Q35" i="9"/>
  <c r="R35" i="9" s="1"/>
  <c r="N35" i="9"/>
  <c r="O35" i="9" s="1"/>
  <c r="K35" i="9"/>
  <c r="L35" i="9" s="1"/>
  <c r="H35" i="9"/>
  <c r="E35" i="9" s="1"/>
  <c r="D35" i="9"/>
  <c r="F35" i="9" s="1"/>
  <c r="AP34" i="9"/>
  <c r="AO34" i="9"/>
  <c r="AM34" i="9"/>
  <c r="AL34" i="9"/>
  <c r="AJ34" i="9"/>
  <c r="AI34" i="9"/>
  <c r="AG34" i="9"/>
  <c r="AF34" i="9"/>
  <c r="AD34" i="9"/>
  <c r="AC34" i="9"/>
  <c r="AA34" i="9"/>
  <c r="Z34" i="9"/>
  <c r="X34" i="9"/>
  <c r="W34" i="9"/>
  <c r="U34" i="9"/>
  <c r="T34" i="9"/>
  <c r="R34" i="9"/>
  <c r="Q34" i="9"/>
  <c r="O34" i="9"/>
  <c r="N34" i="9"/>
  <c r="L34" i="9"/>
  <c r="K34" i="9"/>
  <c r="I34" i="9"/>
  <c r="H34" i="9"/>
  <c r="E34" i="9" s="1"/>
  <c r="F34" i="9" s="1"/>
  <c r="D34" i="9"/>
  <c r="AO33" i="9"/>
  <c r="AP33" i="9" s="1"/>
  <c r="AL33" i="9"/>
  <c r="AM33" i="9" s="1"/>
  <c r="AI33" i="9"/>
  <c r="AJ33" i="9" s="1"/>
  <c r="AF33" i="9"/>
  <c r="AG33" i="9" s="1"/>
  <c r="AC33" i="9"/>
  <c r="AD33" i="9" s="1"/>
  <c r="Z33" i="9"/>
  <c r="AA33" i="9" s="1"/>
  <c r="W33" i="9"/>
  <c r="X33" i="9" s="1"/>
  <c r="T33" i="9"/>
  <c r="U33" i="9" s="1"/>
  <c r="Q33" i="9"/>
  <c r="R33" i="9" s="1"/>
  <c r="N33" i="9"/>
  <c r="O33" i="9" s="1"/>
  <c r="K33" i="9"/>
  <c r="L33" i="9" s="1"/>
  <c r="H33" i="9"/>
  <c r="I33" i="9" s="1"/>
  <c r="E33" i="9"/>
  <c r="D33" i="9"/>
  <c r="F33" i="9" s="1"/>
  <c r="AP32" i="9"/>
  <c r="AO32" i="9"/>
  <c r="AM32" i="9"/>
  <c r="AL32" i="9"/>
  <c r="AJ32" i="9"/>
  <c r="AI32" i="9"/>
  <c r="AG32" i="9"/>
  <c r="AF32" i="9"/>
  <c r="AD32" i="9"/>
  <c r="AC32" i="9"/>
  <c r="AA32" i="9"/>
  <c r="Z32" i="9"/>
  <c r="X32" i="9"/>
  <c r="W32" i="9"/>
  <c r="U32" i="9"/>
  <c r="T32" i="9"/>
  <c r="R32" i="9"/>
  <c r="Q32" i="9"/>
  <c r="O32" i="9"/>
  <c r="N32" i="9"/>
  <c r="L32" i="9"/>
  <c r="K32" i="9"/>
  <c r="I32" i="9"/>
  <c r="H32" i="9"/>
  <c r="E32" i="9"/>
  <c r="D32" i="9"/>
  <c r="F32" i="9" s="1"/>
  <c r="AO31" i="9"/>
  <c r="AP31" i="9" s="1"/>
  <c r="AL31" i="9"/>
  <c r="AM31" i="9" s="1"/>
  <c r="AI31" i="9"/>
  <c r="AJ31" i="9" s="1"/>
  <c r="AF31" i="9"/>
  <c r="AG31" i="9" s="1"/>
  <c r="AC31" i="9"/>
  <c r="AD31" i="9" s="1"/>
  <c r="Z31" i="9"/>
  <c r="AA31" i="9" s="1"/>
  <c r="W31" i="9"/>
  <c r="X31" i="9" s="1"/>
  <c r="T31" i="9"/>
  <c r="U31" i="9" s="1"/>
  <c r="Q31" i="9"/>
  <c r="R31" i="9" s="1"/>
  <c r="N31" i="9"/>
  <c r="O31" i="9" s="1"/>
  <c r="K31" i="9"/>
  <c r="L31" i="9" s="1"/>
  <c r="H31" i="9"/>
  <c r="E31" i="9" s="1"/>
  <c r="D31" i="9"/>
  <c r="F31" i="9" s="1"/>
  <c r="AP30" i="9"/>
  <c r="AO30" i="9"/>
  <c r="AM30" i="9"/>
  <c r="AL30" i="9"/>
  <c r="AJ30" i="9"/>
  <c r="AI30" i="9"/>
  <c r="AG30" i="9"/>
  <c r="AF30" i="9"/>
  <c r="AD30" i="9"/>
  <c r="AC30" i="9"/>
  <c r="AA30" i="9"/>
  <c r="Z30" i="9"/>
  <c r="X30" i="9"/>
  <c r="W30" i="9"/>
  <c r="U30" i="9"/>
  <c r="T30" i="9"/>
  <c r="R30" i="9"/>
  <c r="Q30" i="9"/>
  <c r="O30" i="9"/>
  <c r="N30" i="9"/>
  <c r="L30" i="9"/>
  <c r="K30" i="9"/>
  <c r="I30" i="9"/>
  <c r="H30" i="9"/>
  <c r="E30" i="9"/>
  <c r="D30" i="9"/>
  <c r="F30" i="9" s="1"/>
  <c r="AO29" i="9"/>
  <c r="AP29" i="9" s="1"/>
  <c r="AL29" i="9"/>
  <c r="AM29" i="9" s="1"/>
  <c r="AI29" i="9"/>
  <c r="AJ29" i="9" s="1"/>
  <c r="AF29" i="9"/>
  <c r="AG29" i="9" s="1"/>
  <c r="AC29" i="9"/>
  <c r="AD29" i="9" s="1"/>
  <c r="Z29" i="9"/>
  <c r="AA29" i="9" s="1"/>
  <c r="W29" i="9"/>
  <c r="X29" i="9" s="1"/>
  <c r="T29" i="9"/>
  <c r="U29" i="9" s="1"/>
  <c r="Q29" i="9"/>
  <c r="R29" i="9" s="1"/>
  <c r="N29" i="9"/>
  <c r="O29" i="9" s="1"/>
  <c r="K29" i="9"/>
  <c r="L29" i="9" s="1"/>
  <c r="H29" i="9"/>
  <c r="I29" i="9" s="1"/>
  <c r="E29" i="9"/>
  <c r="D29" i="9"/>
  <c r="F29" i="9" s="1"/>
  <c r="AP28" i="9"/>
  <c r="AO28" i="9"/>
  <c r="AM28" i="9"/>
  <c r="AL28" i="9"/>
  <c r="AJ28" i="9"/>
  <c r="AI28" i="9"/>
  <c r="AG28" i="9"/>
  <c r="AF28" i="9"/>
  <c r="AD28" i="9"/>
  <c r="AC28" i="9"/>
  <c r="AA28" i="9"/>
  <c r="Z28" i="9"/>
  <c r="X28" i="9"/>
  <c r="W28" i="9"/>
  <c r="U28" i="9"/>
  <c r="T28" i="9"/>
  <c r="R28" i="9"/>
  <c r="Q28" i="9"/>
  <c r="O28" i="9"/>
  <c r="N28" i="9"/>
  <c r="L28" i="9"/>
  <c r="K28" i="9"/>
  <c r="I28" i="9"/>
  <c r="H28" i="9"/>
  <c r="E28" i="9"/>
  <c r="D28" i="9"/>
  <c r="F28" i="9" s="1"/>
  <c r="AO27" i="9"/>
  <c r="AP27" i="9" s="1"/>
  <c r="AL27" i="9"/>
  <c r="AM27" i="9" s="1"/>
  <c r="AI27" i="9"/>
  <c r="AJ27" i="9" s="1"/>
  <c r="AF27" i="9"/>
  <c r="AG27" i="9" s="1"/>
  <c r="AC27" i="9"/>
  <c r="AD27" i="9" s="1"/>
  <c r="Z27" i="9"/>
  <c r="AA27" i="9" s="1"/>
  <c r="W27" i="9"/>
  <c r="X27" i="9" s="1"/>
  <c r="T27" i="9"/>
  <c r="U27" i="9" s="1"/>
  <c r="Q27" i="9"/>
  <c r="R27" i="9" s="1"/>
  <c r="N27" i="9"/>
  <c r="O27" i="9" s="1"/>
  <c r="K27" i="9"/>
  <c r="L27" i="9" s="1"/>
  <c r="H27" i="9"/>
  <c r="E27" i="9" s="1"/>
  <c r="F27" i="9" s="1"/>
  <c r="D27" i="9"/>
  <c r="AP26" i="9"/>
  <c r="AO26" i="9"/>
  <c r="AM26" i="9"/>
  <c r="AL26" i="9"/>
  <c r="AJ26" i="9"/>
  <c r="AI26" i="9"/>
  <c r="AG26" i="9"/>
  <c r="AF26" i="9"/>
  <c r="AD26" i="9"/>
  <c r="AC26" i="9"/>
  <c r="AA26" i="9"/>
  <c r="Z26" i="9"/>
  <c r="X26" i="9"/>
  <c r="W26" i="9"/>
  <c r="U26" i="9"/>
  <c r="T26" i="9"/>
  <c r="R26" i="9"/>
  <c r="Q26" i="9"/>
  <c r="O26" i="9"/>
  <c r="N26" i="9"/>
  <c r="L26" i="9"/>
  <c r="K26" i="9"/>
  <c r="I26" i="9"/>
  <c r="H26" i="9"/>
  <c r="E26" i="9" s="1"/>
  <c r="D26" i="9"/>
  <c r="AO25" i="9"/>
  <c r="AP25" i="9" s="1"/>
  <c r="AL25" i="9"/>
  <c r="AM25" i="9" s="1"/>
  <c r="AI25" i="9"/>
  <c r="AJ25" i="9" s="1"/>
  <c r="AF25" i="9"/>
  <c r="AG25" i="9" s="1"/>
  <c r="AC25" i="9"/>
  <c r="AD25" i="9" s="1"/>
  <c r="Z25" i="9"/>
  <c r="AA25" i="9" s="1"/>
  <c r="W25" i="9"/>
  <c r="X25" i="9" s="1"/>
  <c r="T25" i="9"/>
  <c r="U25" i="9" s="1"/>
  <c r="Q25" i="9"/>
  <c r="R25" i="9" s="1"/>
  <c r="N25" i="9"/>
  <c r="O25" i="9" s="1"/>
  <c r="K25" i="9"/>
  <c r="L25" i="9" s="1"/>
  <c r="H25" i="9"/>
  <c r="I25" i="9" s="1"/>
  <c r="E25" i="9"/>
  <c r="F25" i="9" s="1"/>
  <c r="D25" i="9"/>
  <c r="AP24" i="9"/>
  <c r="AO24" i="9"/>
  <c r="AM24" i="9"/>
  <c r="AL24" i="9"/>
  <c r="AJ24" i="9"/>
  <c r="AI24" i="9"/>
  <c r="AG24" i="9"/>
  <c r="AF24" i="9"/>
  <c r="AD24" i="9"/>
  <c r="AC24" i="9"/>
  <c r="AA24" i="9"/>
  <c r="Z24" i="9"/>
  <c r="X24" i="9"/>
  <c r="W24" i="9"/>
  <c r="U24" i="9"/>
  <c r="T24" i="9"/>
  <c r="R24" i="9"/>
  <c r="Q24" i="9"/>
  <c r="O24" i="9"/>
  <c r="N24" i="9"/>
  <c r="L24" i="9"/>
  <c r="K24" i="9"/>
  <c r="I24" i="9"/>
  <c r="H24" i="9"/>
  <c r="E24" i="9"/>
  <c r="D24" i="9"/>
  <c r="F24" i="9" s="1"/>
  <c r="AO23" i="9"/>
  <c r="AP23" i="9" s="1"/>
  <c r="AL23" i="9"/>
  <c r="AM23" i="9" s="1"/>
  <c r="AI23" i="9"/>
  <c r="AJ23" i="9" s="1"/>
  <c r="AF23" i="9"/>
  <c r="AG23" i="9" s="1"/>
  <c r="AC23" i="9"/>
  <c r="AD23" i="9" s="1"/>
  <c r="Z23" i="9"/>
  <c r="AA23" i="9" s="1"/>
  <c r="W23" i="9"/>
  <c r="X23" i="9" s="1"/>
  <c r="T23" i="9"/>
  <c r="U23" i="9" s="1"/>
  <c r="Q23" i="9"/>
  <c r="R23" i="9" s="1"/>
  <c r="N23" i="9"/>
  <c r="O23" i="9" s="1"/>
  <c r="K23" i="9"/>
  <c r="L23" i="9" s="1"/>
  <c r="H23" i="9"/>
  <c r="E23" i="9" s="1"/>
  <c r="D23" i="9"/>
  <c r="AP22" i="9"/>
  <c r="AO22" i="9"/>
  <c r="AM22" i="9"/>
  <c r="AL22" i="9"/>
  <c r="AJ22" i="9"/>
  <c r="AI22" i="9"/>
  <c r="AG22" i="9"/>
  <c r="AF22" i="9"/>
  <c r="AD22" i="9"/>
  <c r="AC22" i="9"/>
  <c r="AA22" i="9"/>
  <c r="Z22" i="9"/>
  <c r="X22" i="9"/>
  <c r="W22" i="9"/>
  <c r="U22" i="9"/>
  <c r="T22" i="9"/>
  <c r="R22" i="9"/>
  <c r="Q22" i="9"/>
  <c r="O22" i="9"/>
  <c r="N22" i="9"/>
  <c r="L22" i="9"/>
  <c r="K22" i="9"/>
  <c r="I22" i="9"/>
  <c r="H22" i="9"/>
  <c r="E22" i="9" s="1"/>
  <c r="D22" i="9"/>
  <c r="F22" i="9" s="1"/>
  <c r="BI37" i="2"/>
  <c r="BI40" i="2"/>
  <c r="EW47" i="1"/>
  <c r="EW46" i="1"/>
  <c r="EW45" i="1"/>
  <c r="EW44" i="1"/>
  <c r="EW43" i="1"/>
  <c r="EW42" i="1"/>
  <c r="EW41" i="1"/>
  <c r="EW40" i="1"/>
  <c r="EW39" i="1"/>
  <c r="EW38" i="1"/>
  <c r="EW37" i="1"/>
  <c r="EW36" i="1"/>
  <c r="EW35" i="1"/>
  <c r="EW34" i="1"/>
  <c r="EW33" i="1"/>
  <c r="EW32" i="1"/>
  <c r="EW31" i="1"/>
  <c r="EJ47" i="1"/>
  <c r="EJ46" i="1"/>
  <c r="EJ45" i="1"/>
  <c r="EJ44" i="1"/>
  <c r="EJ43" i="1"/>
  <c r="EJ42" i="1"/>
  <c r="EJ41" i="1"/>
  <c r="EJ40" i="1"/>
  <c r="EJ39" i="1"/>
  <c r="EJ38" i="1"/>
  <c r="EJ37" i="1"/>
  <c r="EJ36" i="1"/>
  <c r="EJ35" i="1"/>
  <c r="EJ34" i="1"/>
  <c r="EJ33" i="1"/>
  <c r="EJ32" i="1"/>
  <c r="EJ31" i="1"/>
  <c r="EJ30" i="1"/>
  <c r="EJ29" i="1"/>
  <c r="EJ28" i="1"/>
  <c r="EJ27" i="1"/>
  <c r="EJ26" i="1"/>
  <c r="EJ25" i="1"/>
  <c r="EJ24" i="1"/>
  <c r="EJ23" i="1"/>
  <c r="EJ22" i="1"/>
  <c r="EJ21" i="1"/>
  <c r="EJ20" i="1"/>
  <c r="EJ19" i="1"/>
  <c r="EJ18" i="1"/>
  <c r="EJ17" i="1"/>
  <c r="EJ16" i="1"/>
  <c r="EJ15" i="1"/>
  <c r="EJ14" i="1"/>
  <c r="EJ13" i="1"/>
  <c r="EJ12" i="1"/>
  <c r="EJ11" i="1"/>
  <c r="EJ10" i="1"/>
  <c r="EJ9" i="1"/>
  <c r="EJ8" i="1"/>
  <c r="EJ7" i="1"/>
  <c r="EJ6" i="1"/>
  <c r="EJ5" i="1"/>
  <c r="DK47" i="1"/>
  <c r="DK46" i="1"/>
  <c r="DK45" i="1"/>
  <c r="DK44" i="1"/>
  <c r="DK43" i="1"/>
  <c r="DK42" i="1"/>
  <c r="DK41" i="1"/>
  <c r="DK40" i="1"/>
  <c r="DK39" i="1"/>
  <c r="DK38" i="1"/>
  <c r="DK37" i="1"/>
  <c r="DK36" i="1"/>
  <c r="DK35" i="1"/>
  <c r="DK34" i="1"/>
  <c r="DK33" i="1"/>
  <c r="DK32" i="1"/>
  <c r="DK31" i="1"/>
  <c r="DK30" i="1"/>
  <c r="DK29" i="1"/>
  <c r="CK46" i="1"/>
  <c r="CK45" i="1"/>
  <c r="CK44" i="1"/>
  <c r="CK43" i="1"/>
  <c r="CK42" i="1"/>
  <c r="CK41" i="1"/>
  <c r="CK40" i="1"/>
  <c r="CK39" i="1"/>
  <c r="CK38" i="1"/>
  <c r="CK37" i="1"/>
  <c r="CK36" i="1"/>
  <c r="CK35" i="1"/>
  <c r="CK34" i="1"/>
  <c r="CK33" i="1"/>
  <c r="CK32" i="1"/>
  <c r="CK31" i="1"/>
  <c r="CK30" i="1"/>
  <c r="CK29" i="1"/>
  <c r="CK28" i="1"/>
  <c r="CK27" i="1"/>
  <c r="CK26" i="1"/>
  <c r="CK25" i="1"/>
  <c r="CK24" i="1"/>
  <c r="CK23" i="1"/>
  <c r="CK22" i="1"/>
  <c r="CK21" i="1"/>
  <c r="CK20" i="1"/>
  <c r="CK19" i="1"/>
  <c r="CK18" i="1"/>
  <c r="CK17" i="1"/>
  <c r="CK16" i="1"/>
  <c r="CK15" i="1"/>
  <c r="CK14" i="1"/>
  <c r="CK13" i="1"/>
  <c r="CK12" i="1"/>
  <c r="CK11" i="1"/>
  <c r="CK10" i="1"/>
  <c r="CK9" i="1"/>
  <c r="CK8" i="1"/>
  <c r="CK7" i="1"/>
  <c r="CK6" i="1"/>
  <c r="CK5" i="1"/>
  <c r="CK4" i="1"/>
  <c r="CX47" i="1"/>
  <c r="CX46" i="1"/>
  <c r="CX45" i="1"/>
  <c r="CX44" i="1"/>
  <c r="CX43" i="1"/>
  <c r="CX42" i="1"/>
  <c r="CX41" i="1"/>
  <c r="CX40" i="1"/>
  <c r="CX39" i="1"/>
  <c r="CX38" i="1"/>
  <c r="CX37" i="1"/>
  <c r="CX36" i="1"/>
  <c r="CX35" i="1"/>
  <c r="CX3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X9" i="1"/>
  <c r="CX8" i="1"/>
  <c r="CX7" i="1"/>
  <c r="CX6" i="1"/>
  <c r="CX5" i="1"/>
  <c r="CX4" i="1"/>
  <c r="BI40" i="1"/>
  <c r="BI37" i="1"/>
  <c r="F43" i="14" l="1"/>
  <c r="F35" i="14"/>
  <c r="F38" i="14"/>
  <c r="I31" i="14"/>
  <c r="I35" i="14"/>
  <c r="I39" i="14"/>
  <c r="I43" i="14"/>
  <c r="I47" i="14"/>
  <c r="E33" i="14"/>
  <c r="F33" i="14" s="1"/>
  <c r="E37" i="14"/>
  <c r="F37" i="14" s="1"/>
  <c r="E41" i="14"/>
  <c r="F41" i="14" s="1"/>
  <c r="F47" i="4"/>
  <c r="I44" i="4"/>
  <c r="E32" i="4"/>
  <c r="F32" i="4" s="1"/>
  <c r="I35" i="4"/>
  <c r="E36" i="4"/>
  <c r="F36" i="4" s="1"/>
  <c r="E40" i="4"/>
  <c r="F40" i="4" s="1"/>
  <c r="I47" i="4"/>
  <c r="F33" i="5"/>
  <c r="F23" i="5"/>
  <c r="F38" i="5"/>
  <c r="E33" i="5"/>
  <c r="E37" i="5"/>
  <c r="F37" i="5" s="1"/>
  <c r="E41" i="5"/>
  <c r="F41" i="5" s="1"/>
  <c r="E45" i="5"/>
  <c r="F45" i="5" s="1"/>
  <c r="E26" i="5"/>
  <c r="F26" i="5" s="1"/>
  <c r="E30" i="5"/>
  <c r="F30" i="5" s="1"/>
  <c r="E34" i="5"/>
  <c r="F34" i="5" s="1"/>
  <c r="E38" i="5"/>
  <c r="E42" i="5"/>
  <c r="F42" i="5" s="1"/>
  <c r="E46" i="5"/>
  <c r="F46" i="5" s="1"/>
  <c r="F43" i="7"/>
  <c r="F47" i="7"/>
  <c r="I31" i="7"/>
  <c r="I39" i="7"/>
  <c r="I47" i="7"/>
  <c r="E33" i="7"/>
  <c r="F33" i="7" s="1"/>
  <c r="E37" i="7"/>
  <c r="F37" i="7" s="1"/>
  <c r="E41" i="7"/>
  <c r="F41" i="7" s="1"/>
  <c r="I43" i="7"/>
  <c r="I35" i="7"/>
  <c r="F39" i="6"/>
  <c r="F31" i="6"/>
  <c r="F43" i="6"/>
  <c r="F44" i="6"/>
  <c r="F36" i="6"/>
  <c r="F37" i="6"/>
  <c r="F28" i="6"/>
  <c r="F47" i="6"/>
  <c r="I31" i="6"/>
  <c r="I35" i="6"/>
  <c r="I39" i="6"/>
  <c r="I43" i="6"/>
  <c r="I47" i="6"/>
  <c r="E29" i="6"/>
  <c r="F29" i="6" s="1"/>
  <c r="E33" i="6"/>
  <c r="F33" i="6" s="1"/>
  <c r="E37" i="6"/>
  <c r="E41" i="6"/>
  <c r="F41" i="6" s="1"/>
  <c r="F43" i="11"/>
  <c r="F35" i="11"/>
  <c r="F34" i="11"/>
  <c r="F37" i="11"/>
  <c r="F21" i="11"/>
  <c r="F29" i="11"/>
  <c r="F39" i="11"/>
  <c r="F41" i="11"/>
  <c r="F22" i="11"/>
  <c r="E21" i="11"/>
  <c r="E25" i="11"/>
  <c r="F25" i="11" s="1"/>
  <c r="E29" i="11"/>
  <c r="E33" i="11"/>
  <c r="F33" i="11" s="1"/>
  <c r="E37" i="11"/>
  <c r="E41" i="11"/>
  <c r="E45" i="11"/>
  <c r="F45" i="11" s="1"/>
  <c r="F33" i="10"/>
  <c r="F43" i="10"/>
  <c r="F47" i="10"/>
  <c r="I47" i="10"/>
  <c r="I43" i="10"/>
  <c r="E33" i="10"/>
  <c r="I31" i="10"/>
  <c r="I35" i="10"/>
  <c r="I39" i="10"/>
  <c r="F35" i="8"/>
  <c r="F47" i="8"/>
  <c r="I31" i="8"/>
  <c r="I35" i="8"/>
  <c r="I39" i="8"/>
  <c r="I43" i="8"/>
  <c r="I47" i="8"/>
  <c r="F35" i="13"/>
  <c r="F43" i="13"/>
  <c r="F44" i="13"/>
  <c r="F39" i="13"/>
  <c r="F47" i="13"/>
  <c r="I31" i="13"/>
  <c r="I35" i="13"/>
  <c r="I39" i="13"/>
  <c r="I43" i="13"/>
  <c r="I47" i="13"/>
  <c r="F41" i="12"/>
  <c r="F31" i="12"/>
  <c r="F30" i="12"/>
  <c r="F43" i="12"/>
  <c r="F32" i="12"/>
  <c r="F45" i="12"/>
  <c r="F6" i="12"/>
  <c r="F15" i="12"/>
  <c r="F34" i="12"/>
  <c r="F37" i="12"/>
  <c r="F47" i="12"/>
  <c r="I7" i="12"/>
  <c r="I11" i="12"/>
  <c r="I15" i="12"/>
  <c r="I19" i="12"/>
  <c r="I23" i="12"/>
  <c r="I27" i="12"/>
  <c r="I31" i="12"/>
  <c r="I35" i="12"/>
  <c r="I39" i="12"/>
  <c r="I43" i="12"/>
  <c r="I47" i="12"/>
  <c r="E9" i="12"/>
  <c r="F9" i="12" s="1"/>
  <c r="E17" i="12"/>
  <c r="F17" i="12" s="1"/>
  <c r="E25" i="12"/>
  <c r="F25" i="12" s="1"/>
  <c r="E29" i="12"/>
  <c r="F29" i="12" s="1"/>
  <c r="E33" i="12"/>
  <c r="F33" i="12" s="1"/>
  <c r="E37" i="12"/>
  <c r="E41" i="12"/>
  <c r="E45" i="12"/>
  <c r="E5" i="12"/>
  <c r="F5" i="12" s="1"/>
  <c r="E13" i="12"/>
  <c r="F13" i="12" s="1"/>
  <c r="E21" i="12"/>
  <c r="F21" i="12" s="1"/>
  <c r="E6" i="12"/>
  <c r="E10" i="12"/>
  <c r="F10" i="12" s="1"/>
  <c r="E14" i="12"/>
  <c r="F14" i="12" s="1"/>
  <c r="E18" i="12"/>
  <c r="F18" i="12" s="1"/>
  <c r="E22" i="12"/>
  <c r="F22" i="12" s="1"/>
  <c r="E26" i="12"/>
  <c r="F26" i="12" s="1"/>
  <c r="E30" i="12"/>
  <c r="E34" i="12"/>
  <c r="E38" i="12"/>
  <c r="F38" i="12" s="1"/>
  <c r="E42" i="12"/>
  <c r="F42" i="12" s="1"/>
  <c r="F23" i="9"/>
  <c r="F44" i="9"/>
  <c r="F39" i="9"/>
  <c r="F26" i="9"/>
  <c r="F47" i="9"/>
  <c r="I23" i="9"/>
  <c r="I27" i="9"/>
  <c r="I31" i="9"/>
  <c r="I35" i="9"/>
  <c r="I39" i="9"/>
  <c r="I43" i="9"/>
  <c r="I47" i="9"/>
  <c r="EJ4" i="1" l="1"/>
  <c r="CM32" i="1"/>
  <c r="P3" i="1" l="1"/>
  <c r="AO27" i="10"/>
  <c r="AP27" i="10" s="1"/>
  <c r="AL27" i="10"/>
  <c r="AM27" i="10" s="1"/>
  <c r="AI27" i="10"/>
  <c r="AJ27" i="10" s="1"/>
  <c r="AF27" i="10"/>
  <c r="AG27" i="10" s="1"/>
  <c r="AC27" i="10"/>
  <c r="AD27" i="10" s="1"/>
  <c r="Z27" i="10"/>
  <c r="AA27" i="10" s="1"/>
  <c r="W27" i="10"/>
  <c r="X27" i="10" s="1"/>
  <c r="T27" i="10"/>
  <c r="U27" i="10" s="1"/>
  <c r="Q27" i="10"/>
  <c r="R27" i="10" s="1"/>
  <c r="N27" i="10"/>
  <c r="O27" i="10" s="1"/>
  <c r="K27" i="10"/>
  <c r="L27" i="10" s="1"/>
  <c r="H27" i="10"/>
  <c r="I27" i="10" s="1"/>
  <c r="D27" i="10"/>
  <c r="AO26" i="10"/>
  <c r="AP26" i="10" s="1"/>
  <c r="AL26" i="10"/>
  <c r="AM26" i="10" s="1"/>
  <c r="AI26" i="10"/>
  <c r="AJ26" i="10" s="1"/>
  <c r="AF26" i="10"/>
  <c r="AG26" i="10" s="1"/>
  <c r="AC26" i="10"/>
  <c r="AD26" i="10" s="1"/>
  <c r="Z26" i="10"/>
  <c r="AA26" i="10" s="1"/>
  <c r="W26" i="10"/>
  <c r="X26" i="10" s="1"/>
  <c r="T26" i="10"/>
  <c r="U26" i="10" s="1"/>
  <c r="Q26" i="10"/>
  <c r="R26" i="10" s="1"/>
  <c r="N26" i="10"/>
  <c r="O26" i="10" s="1"/>
  <c r="K26" i="10"/>
  <c r="L26" i="10" s="1"/>
  <c r="H26" i="10"/>
  <c r="I26" i="10" s="1"/>
  <c r="D26" i="10"/>
  <c r="AO25" i="10"/>
  <c r="AP25" i="10" s="1"/>
  <c r="AL25" i="10"/>
  <c r="AM25" i="10" s="1"/>
  <c r="AI25" i="10"/>
  <c r="AJ25" i="10" s="1"/>
  <c r="AF25" i="10"/>
  <c r="AG25" i="10" s="1"/>
  <c r="AC25" i="10"/>
  <c r="AD25" i="10" s="1"/>
  <c r="Z25" i="10"/>
  <c r="AA25" i="10" s="1"/>
  <c r="W25" i="10"/>
  <c r="X25" i="10" s="1"/>
  <c r="T25" i="10"/>
  <c r="U25" i="10" s="1"/>
  <c r="Q25" i="10"/>
  <c r="R25" i="10" s="1"/>
  <c r="N25" i="10"/>
  <c r="O25" i="10" s="1"/>
  <c r="K25" i="10"/>
  <c r="L25" i="10" s="1"/>
  <c r="H25" i="10"/>
  <c r="I25" i="10" s="1"/>
  <c r="D25" i="10"/>
  <c r="AO29" i="8"/>
  <c r="AP29" i="8" s="1"/>
  <c r="AL29" i="8"/>
  <c r="AM29" i="8" s="1"/>
  <c r="AI29" i="8"/>
  <c r="AJ29" i="8" s="1"/>
  <c r="AF29" i="8"/>
  <c r="AG29" i="8" s="1"/>
  <c r="AC29" i="8"/>
  <c r="AD29" i="8" s="1"/>
  <c r="Z29" i="8"/>
  <c r="AA29" i="8" s="1"/>
  <c r="W29" i="8"/>
  <c r="X29" i="8" s="1"/>
  <c r="T29" i="8"/>
  <c r="U29" i="8" s="1"/>
  <c r="Q29" i="8"/>
  <c r="R29" i="8" s="1"/>
  <c r="N29" i="8"/>
  <c r="O29" i="8" s="1"/>
  <c r="K29" i="8"/>
  <c r="L29" i="8" s="1"/>
  <c r="H29" i="8"/>
  <c r="E29" i="8" s="1"/>
  <c r="D29" i="8"/>
  <c r="AO28" i="8"/>
  <c r="AP28" i="8" s="1"/>
  <c r="AL28" i="8"/>
  <c r="AM28" i="8" s="1"/>
  <c r="AI28" i="8"/>
  <c r="AJ28" i="8" s="1"/>
  <c r="AF28" i="8"/>
  <c r="AG28" i="8" s="1"/>
  <c r="AC28" i="8"/>
  <c r="AD28" i="8" s="1"/>
  <c r="Z28" i="8"/>
  <c r="AA28" i="8" s="1"/>
  <c r="W28" i="8"/>
  <c r="X28" i="8" s="1"/>
  <c r="T28" i="8"/>
  <c r="U28" i="8" s="1"/>
  <c r="Q28" i="8"/>
  <c r="R28" i="8" s="1"/>
  <c r="N28" i="8"/>
  <c r="O28" i="8" s="1"/>
  <c r="K28" i="8"/>
  <c r="L28" i="8" s="1"/>
  <c r="H28" i="8"/>
  <c r="I28" i="8" s="1"/>
  <c r="D28" i="8"/>
  <c r="AO27" i="8"/>
  <c r="AP27" i="8" s="1"/>
  <c r="AL27" i="8"/>
  <c r="AM27" i="8" s="1"/>
  <c r="AI27" i="8"/>
  <c r="AJ27" i="8" s="1"/>
  <c r="AF27" i="8"/>
  <c r="AG27" i="8" s="1"/>
  <c r="AC27" i="8"/>
  <c r="AD27" i="8" s="1"/>
  <c r="Z27" i="8"/>
  <c r="AA27" i="8" s="1"/>
  <c r="W27" i="8"/>
  <c r="X27" i="8" s="1"/>
  <c r="T27" i="8"/>
  <c r="U27" i="8" s="1"/>
  <c r="Q27" i="8"/>
  <c r="R27" i="8" s="1"/>
  <c r="N27" i="8"/>
  <c r="O27" i="8" s="1"/>
  <c r="K27" i="8"/>
  <c r="L27" i="8" s="1"/>
  <c r="H27" i="8"/>
  <c r="I27" i="8" s="1"/>
  <c r="D27" i="8"/>
  <c r="AO26" i="8"/>
  <c r="AP26" i="8" s="1"/>
  <c r="AL26" i="8"/>
  <c r="AM26" i="8" s="1"/>
  <c r="AI26" i="8"/>
  <c r="AJ26" i="8" s="1"/>
  <c r="AF26" i="8"/>
  <c r="AG26" i="8" s="1"/>
  <c r="AC26" i="8"/>
  <c r="AD26" i="8" s="1"/>
  <c r="Z26" i="8"/>
  <c r="AA26" i="8" s="1"/>
  <c r="W26" i="8"/>
  <c r="X26" i="8" s="1"/>
  <c r="T26" i="8"/>
  <c r="U26" i="8" s="1"/>
  <c r="Q26" i="8"/>
  <c r="R26" i="8" s="1"/>
  <c r="N26" i="8"/>
  <c r="O26" i="8" s="1"/>
  <c r="K26" i="8"/>
  <c r="L26" i="8" s="1"/>
  <c r="H26" i="8"/>
  <c r="I26" i="8" s="1"/>
  <c r="D26" i="8"/>
  <c r="AO25" i="8"/>
  <c r="AP25" i="8" s="1"/>
  <c r="AL25" i="8"/>
  <c r="AM25" i="8" s="1"/>
  <c r="AI25" i="8"/>
  <c r="AJ25" i="8" s="1"/>
  <c r="AF25" i="8"/>
  <c r="AG25" i="8" s="1"/>
  <c r="AC25" i="8"/>
  <c r="AD25" i="8" s="1"/>
  <c r="Z25" i="8"/>
  <c r="AA25" i="8" s="1"/>
  <c r="W25" i="8"/>
  <c r="X25" i="8" s="1"/>
  <c r="T25" i="8"/>
  <c r="U25" i="8" s="1"/>
  <c r="Q25" i="8"/>
  <c r="R25" i="8" s="1"/>
  <c r="N25" i="8"/>
  <c r="O25" i="8" s="1"/>
  <c r="K25" i="8"/>
  <c r="L25" i="8" s="1"/>
  <c r="H25" i="8"/>
  <c r="E25" i="8" s="1"/>
  <c r="D25" i="8"/>
  <c r="AO30" i="13"/>
  <c r="AP30" i="13" s="1"/>
  <c r="AL30" i="13"/>
  <c r="AM30" i="13" s="1"/>
  <c r="AI30" i="13"/>
  <c r="AJ30" i="13" s="1"/>
  <c r="AF30" i="13"/>
  <c r="AG30" i="13" s="1"/>
  <c r="AC30" i="13"/>
  <c r="AD30" i="13" s="1"/>
  <c r="Z30" i="13"/>
  <c r="AA30" i="13" s="1"/>
  <c r="W30" i="13"/>
  <c r="X30" i="13" s="1"/>
  <c r="T30" i="13"/>
  <c r="U30" i="13" s="1"/>
  <c r="Q30" i="13"/>
  <c r="R30" i="13" s="1"/>
  <c r="N30" i="13"/>
  <c r="O30" i="13" s="1"/>
  <c r="K30" i="13"/>
  <c r="L30" i="13" s="1"/>
  <c r="H30" i="13"/>
  <c r="I30" i="13" s="1"/>
  <c r="D30" i="13"/>
  <c r="AO29" i="13"/>
  <c r="AP29" i="13" s="1"/>
  <c r="AL29" i="13"/>
  <c r="AM29" i="13" s="1"/>
  <c r="AI29" i="13"/>
  <c r="AJ29" i="13" s="1"/>
  <c r="AF29" i="13"/>
  <c r="AG29" i="13" s="1"/>
  <c r="AC29" i="13"/>
  <c r="AD29" i="13" s="1"/>
  <c r="Z29" i="13"/>
  <c r="AA29" i="13" s="1"/>
  <c r="W29" i="13"/>
  <c r="X29" i="13" s="1"/>
  <c r="T29" i="13"/>
  <c r="U29" i="13" s="1"/>
  <c r="Q29" i="13"/>
  <c r="R29" i="13" s="1"/>
  <c r="N29" i="13"/>
  <c r="O29" i="13" s="1"/>
  <c r="K29" i="13"/>
  <c r="L29" i="13" s="1"/>
  <c r="H29" i="13"/>
  <c r="E29" i="13" s="1"/>
  <c r="D29" i="13"/>
  <c r="AO28" i="13"/>
  <c r="AP28" i="13" s="1"/>
  <c r="AL28" i="13"/>
  <c r="AM28" i="13" s="1"/>
  <c r="AI28" i="13"/>
  <c r="AJ28" i="13" s="1"/>
  <c r="AF28" i="13"/>
  <c r="AG28" i="13" s="1"/>
  <c r="AC28" i="13"/>
  <c r="AD28" i="13" s="1"/>
  <c r="Z28" i="13"/>
  <c r="AA28" i="13" s="1"/>
  <c r="W28" i="13"/>
  <c r="X28" i="13" s="1"/>
  <c r="T28" i="13"/>
  <c r="U28" i="13" s="1"/>
  <c r="Q28" i="13"/>
  <c r="R28" i="13" s="1"/>
  <c r="N28" i="13"/>
  <c r="O28" i="13" s="1"/>
  <c r="K28" i="13"/>
  <c r="L28" i="13" s="1"/>
  <c r="H28" i="13"/>
  <c r="E28" i="13" s="1"/>
  <c r="D28" i="13"/>
  <c r="AO27" i="13"/>
  <c r="AP27" i="13" s="1"/>
  <c r="AL27" i="13"/>
  <c r="AM27" i="13" s="1"/>
  <c r="AI27" i="13"/>
  <c r="AJ27" i="13" s="1"/>
  <c r="AF27" i="13"/>
  <c r="AG27" i="13" s="1"/>
  <c r="AC27" i="13"/>
  <c r="AD27" i="13" s="1"/>
  <c r="Z27" i="13"/>
  <c r="AA27" i="13" s="1"/>
  <c r="W27" i="13"/>
  <c r="X27" i="13" s="1"/>
  <c r="T27" i="13"/>
  <c r="U27" i="13" s="1"/>
  <c r="Q27" i="13"/>
  <c r="R27" i="13" s="1"/>
  <c r="N27" i="13"/>
  <c r="O27" i="13" s="1"/>
  <c r="K27" i="13"/>
  <c r="L27" i="13" s="1"/>
  <c r="H27" i="13"/>
  <c r="E27" i="13" s="1"/>
  <c r="D27" i="13"/>
  <c r="AO26" i="13"/>
  <c r="AP26" i="13" s="1"/>
  <c r="AL26" i="13"/>
  <c r="AM26" i="13" s="1"/>
  <c r="AI26" i="13"/>
  <c r="AJ26" i="13" s="1"/>
  <c r="AF26" i="13"/>
  <c r="AG26" i="13" s="1"/>
  <c r="AC26" i="13"/>
  <c r="AD26" i="13" s="1"/>
  <c r="Z26" i="13"/>
  <c r="AA26" i="13" s="1"/>
  <c r="W26" i="13"/>
  <c r="X26" i="13" s="1"/>
  <c r="T26" i="13"/>
  <c r="U26" i="13" s="1"/>
  <c r="Q26" i="13"/>
  <c r="R26" i="13" s="1"/>
  <c r="N26" i="13"/>
  <c r="O26" i="13" s="1"/>
  <c r="K26" i="13"/>
  <c r="L26" i="13" s="1"/>
  <c r="H26" i="13"/>
  <c r="I26" i="13" s="1"/>
  <c r="D26" i="13"/>
  <c r="AO25" i="13"/>
  <c r="AP25" i="13" s="1"/>
  <c r="AL25" i="13"/>
  <c r="AM25" i="13" s="1"/>
  <c r="AI25" i="13"/>
  <c r="AJ25" i="13" s="1"/>
  <c r="AF25" i="13"/>
  <c r="AG25" i="13" s="1"/>
  <c r="AC25" i="13"/>
  <c r="AD25" i="13" s="1"/>
  <c r="Z25" i="13"/>
  <c r="AA25" i="13" s="1"/>
  <c r="W25" i="13"/>
  <c r="X25" i="13" s="1"/>
  <c r="T25" i="13"/>
  <c r="U25" i="13" s="1"/>
  <c r="Q25" i="13"/>
  <c r="R25" i="13" s="1"/>
  <c r="N25" i="13"/>
  <c r="O25" i="13" s="1"/>
  <c r="K25" i="13"/>
  <c r="L25" i="13" s="1"/>
  <c r="H25" i="13"/>
  <c r="E25" i="13" s="1"/>
  <c r="D25" i="13"/>
  <c r="AO24" i="13"/>
  <c r="AP24" i="13" s="1"/>
  <c r="AL24" i="13"/>
  <c r="AM24" i="13" s="1"/>
  <c r="AI24" i="13"/>
  <c r="AJ24" i="13" s="1"/>
  <c r="AF24" i="13"/>
  <c r="AG24" i="13" s="1"/>
  <c r="AC24" i="13"/>
  <c r="AD24" i="13" s="1"/>
  <c r="Z24" i="13"/>
  <c r="AA24" i="13" s="1"/>
  <c r="W24" i="13"/>
  <c r="X24" i="13" s="1"/>
  <c r="T24" i="13"/>
  <c r="U24" i="13" s="1"/>
  <c r="Q24" i="13"/>
  <c r="R24" i="13" s="1"/>
  <c r="N24" i="13"/>
  <c r="O24" i="13" s="1"/>
  <c r="K24" i="13"/>
  <c r="L24" i="13" s="1"/>
  <c r="H24" i="13"/>
  <c r="E24" i="13" s="1"/>
  <c r="D24" i="13"/>
  <c r="AO23" i="13"/>
  <c r="AP23" i="13" s="1"/>
  <c r="AL23" i="13"/>
  <c r="AM23" i="13" s="1"/>
  <c r="AI23" i="13"/>
  <c r="AJ23" i="13" s="1"/>
  <c r="AF23" i="13"/>
  <c r="AG23" i="13" s="1"/>
  <c r="AC23" i="13"/>
  <c r="AD23" i="13" s="1"/>
  <c r="Z23" i="13"/>
  <c r="AA23" i="13" s="1"/>
  <c r="W23" i="13"/>
  <c r="X23" i="13" s="1"/>
  <c r="T23" i="13"/>
  <c r="U23" i="13" s="1"/>
  <c r="Q23" i="13"/>
  <c r="R23" i="13" s="1"/>
  <c r="N23" i="13"/>
  <c r="O23" i="13" s="1"/>
  <c r="K23" i="13"/>
  <c r="L23" i="13" s="1"/>
  <c r="H23" i="13"/>
  <c r="E23" i="13" s="1"/>
  <c r="D23" i="13"/>
  <c r="AO22" i="13"/>
  <c r="AP22" i="13" s="1"/>
  <c r="AL22" i="13"/>
  <c r="AM22" i="13" s="1"/>
  <c r="AI22" i="13"/>
  <c r="AJ22" i="13" s="1"/>
  <c r="AF22" i="13"/>
  <c r="AG22" i="13" s="1"/>
  <c r="AC22" i="13"/>
  <c r="AD22" i="13" s="1"/>
  <c r="Z22" i="13"/>
  <c r="AA22" i="13" s="1"/>
  <c r="W22" i="13"/>
  <c r="X22" i="13" s="1"/>
  <c r="T22" i="13"/>
  <c r="U22" i="13" s="1"/>
  <c r="Q22" i="13"/>
  <c r="R22" i="13" s="1"/>
  <c r="N22" i="13"/>
  <c r="O22" i="13" s="1"/>
  <c r="K22" i="13"/>
  <c r="L22" i="13" s="1"/>
  <c r="H22" i="13"/>
  <c r="I22" i="13" s="1"/>
  <c r="D22" i="13"/>
  <c r="AO21" i="13"/>
  <c r="AP21" i="13" s="1"/>
  <c r="AL21" i="13"/>
  <c r="AM21" i="13" s="1"/>
  <c r="AI21" i="13"/>
  <c r="AJ21" i="13" s="1"/>
  <c r="AF21" i="13"/>
  <c r="AG21" i="13" s="1"/>
  <c r="AC21" i="13"/>
  <c r="AD21" i="13" s="1"/>
  <c r="Z21" i="13"/>
  <c r="AA21" i="13" s="1"/>
  <c r="W21" i="13"/>
  <c r="X21" i="13" s="1"/>
  <c r="T21" i="13"/>
  <c r="U21" i="13" s="1"/>
  <c r="Q21" i="13"/>
  <c r="R21" i="13" s="1"/>
  <c r="N21" i="13"/>
  <c r="O21" i="13" s="1"/>
  <c r="K21" i="13"/>
  <c r="L21" i="13" s="1"/>
  <c r="H21" i="13"/>
  <c r="I21" i="13" s="1"/>
  <c r="D21" i="13"/>
  <c r="AO20" i="13"/>
  <c r="AP20" i="13" s="1"/>
  <c r="AL20" i="13"/>
  <c r="AM20" i="13" s="1"/>
  <c r="AI20" i="13"/>
  <c r="AJ20" i="13" s="1"/>
  <c r="AF20" i="13"/>
  <c r="AG20" i="13" s="1"/>
  <c r="AC20" i="13"/>
  <c r="AD20" i="13" s="1"/>
  <c r="Z20" i="13"/>
  <c r="AA20" i="13" s="1"/>
  <c r="W20" i="13"/>
  <c r="X20" i="13" s="1"/>
  <c r="T20" i="13"/>
  <c r="U20" i="13" s="1"/>
  <c r="Q20" i="13"/>
  <c r="R20" i="13" s="1"/>
  <c r="N20" i="13"/>
  <c r="O20" i="13" s="1"/>
  <c r="K20" i="13"/>
  <c r="L20" i="13" s="1"/>
  <c r="H20" i="13"/>
  <c r="E20" i="13" s="1"/>
  <c r="D20" i="13"/>
  <c r="AO19" i="13"/>
  <c r="AP19" i="13" s="1"/>
  <c r="AL19" i="13"/>
  <c r="AM19" i="13" s="1"/>
  <c r="AI19" i="13"/>
  <c r="AJ19" i="13" s="1"/>
  <c r="AF19" i="13"/>
  <c r="AG19" i="13" s="1"/>
  <c r="AC19" i="13"/>
  <c r="AD19" i="13" s="1"/>
  <c r="Z19" i="13"/>
  <c r="AA19" i="13" s="1"/>
  <c r="W19" i="13"/>
  <c r="X19" i="13" s="1"/>
  <c r="T19" i="13"/>
  <c r="U19" i="13" s="1"/>
  <c r="Q19" i="13"/>
  <c r="R19" i="13" s="1"/>
  <c r="N19" i="13"/>
  <c r="O19" i="13" s="1"/>
  <c r="K19" i="13"/>
  <c r="L19" i="13" s="1"/>
  <c r="H19" i="13"/>
  <c r="D19" i="13"/>
  <c r="AO18" i="13"/>
  <c r="AP18" i="13" s="1"/>
  <c r="AL18" i="13"/>
  <c r="AM18" i="13" s="1"/>
  <c r="AI18" i="13"/>
  <c r="AJ18" i="13" s="1"/>
  <c r="AF18" i="13"/>
  <c r="AG18" i="13" s="1"/>
  <c r="AC18" i="13"/>
  <c r="AD18" i="13" s="1"/>
  <c r="Z18" i="13"/>
  <c r="AA18" i="13" s="1"/>
  <c r="W18" i="13"/>
  <c r="X18" i="13" s="1"/>
  <c r="T18" i="13"/>
  <c r="U18" i="13" s="1"/>
  <c r="Q18" i="13"/>
  <c r="R18" i="13" s="1"/>
  <c r="N18" i="13"/>
  <c r="O18" i="13" s="1"/>
  <c r="K18" i="13"/>
  <c r="L18" i="13" s="1"/>
  <c r="H18" i="13"/>
  <c r="I18" i="13" s="1"/>
  <c r="D18" i="13"/>
  <c r="AO17" i="13"/>
  <c r="AP17" i="13" s="1"/>
  <c r="AL17" i="13"/>
  <c r="AM17" i="13" s="1"/>
  <c r="AI17" i="13"/>
  <c r="AJ17" i="13" s="1"/>
  <c r="AF17" i="13"/>
  <c r="AG17" i="13" s="1"/>
  <c r="AC17" i="13"/>
  <c r="AD17" i="13" s="1"/>
  <c r="Z17" i="13"/>
  <c r="AA17" i="13" s="1"/>
  <c r="W17" i="13"/>
  <c r="X17" i="13" s="1"/>
  <c r="T17" i="13"/>
  <c r="U17" i="13" s="1"/>
  <c r="Q17" i="13"/>
  <c r="R17" i="13" s="1"/>
  <c r="N17" i="13"/>
  <c r="O17" i="13" s="1"/>
  <c r="K17" i="13"/>
  <c r="L17" i="13" s="1"/>
  <c r="H17" i="13"/>
  <c r="E17" i="13" s="1"/>
  <c r="D17" i="13"/>
  <c r="AO16" i="13"/>
  <c r="AP16" i="13" s="1"/>
  <c r="AL16" i="13"/>
  <c r="AM16" i="13" s="1"/>
  <c r="AI16" i="13"/>
  <c r="AJ16" i="13" s="1"/>
  <c r="AF16" i="13"/>
  <c r="AG16" i="13" s="1"/>
  <c r="AC16" i="13"/>
  <c r="AD16" i="13" s="1"/>
  <c r="Z16" i="13"/>
  <c r="AA16" i="13" s="1"/>
  <c r="W16" i="13"/>
  <c r="X16" i="13" s="1"/>
  <c r="T16" i="13"/>
  <c r="U16" i="13" s="1"/>
  <c r="Q16" i="13"/>
  <c r="R16" i="13" s="1"/>
  <c r="N16" i="13"/>
  <c r="O16" i="13" s="1"/>
  <c r="K16" i="13"/>
  <c r="L16" i="13" s="1"/>
  <c r="H16" i="13"/>
  <c r="E16" i="13" s="1"/>
  <c r="D16" i="13"/>
  <c r="AO15" i="13"/>
  <c r="AP15" i="13" s="1"/>
  <c r="AL15" i="13"/>
  <c r="AM15" i="13" s="1"/>
  <c r="AI15" i="13"/>
  <c r="AJ15" i="13" s="1"/>
  <c r="AF15" i="13"/>
  <c r="AG15" i="13" s="1"/>
  <c r="AC15" i="13"/>
  <c r="AD15" i="13" s="1"/>
  <c r="Z15" i="13"/>
  <c r="AA15" i="13" s="1"/>
  <c r="W15" i="13"/>
  <c r="X15" i="13" s="1"/>
  <c r="T15" i="13"/>
  <c r="U15" i="13" s="1"/>
  <c r="Q15" i="13"/>
  <c r="R15" i="13" s="1"/>
  <c r="N15" i="13"/>
  <c r="O15" i="13" s="1"/>
  <c r="K15" i="13"/>
  <c r="L15" i="13" s="1"/>
  <c r="H15" i="13"/>
  <c r="E15" i="13" s="1"/>
  <c r="D15" i="13"/>
  <c r="AO14" i="13"/>
  <c r="AP14" i="13" s="1"/>
  <c r="AL14" i="13"/>
  <c r="AM14" i="13" s="1"/>
  <c r="AI14" i="13"/>
  <c r="AJ14" i="13" s="1"/>
  <c r="AF14" i="13"/>
  <c r="AG14" i="13" s="1"/>
  <c r="AC14" i="13"/>
  <c r="AD14" i="13" s="1"/>
  <c r="Z14" i="13"/>
  <c r="AA14" i="13" s="1"/>
  <c r="W14" i="13"/>
  <c r="X14" i="13" s="1"/>
  <c r="T14" i="13"/>
  <c r="U14" i="13" s="1"/>
  <c r="Q14" i="13"/>
  <c r="R14" i="13" s="1"/>
  <c r="N14" i="13"/>
  <c r="O14" i="13" s="1"/>
  <c r="K14" i="13"/>
  <c r="L14" i="13" s="1"/>
  <c r="H14" i="13"/>
  <c r="I14" i="13" s="1"/>
  <c r="D14" i="13"/>
  <c r="AO13" i="13"/>
  <c r="AP13" i="13" s="1"/>
  <c r="AL13" i="13"/>
  <c r="AM13" i="13" s="1"/>
  <c r="AI13" i="13"/>
  <c r="AJ13" i="13" s="1"/>
  <c r="AF13" i="13"/>
  <c r="AG13" i="13" s="1"/>
  <c r="AC13" i="13"/>
  <c r="AD13" i="13" s="1"/>
  <c r="Z13" i="13"/>
  <c r="AA13" i="13" s="1"/>
  <c r="W13" i="13"/>
  <c r="X13" i="13" s="1"/>
  <c r="T13" i="13"/>
  <c r="U13" i="13" s="1"/>
  <c r="Q13" i="13"/>
  <c r="R13" i="13" s="1"/>
  <c r="N13" i="13"/>
  <c r="O13" i="13" s="1"/>
  <c r="K13" i="13"/>
  <c r="L13" i="13" s="1"/>
  <c r="H13" i="13"/>
  <c r="E13" i="13" s="1"/>
  <c r="D13" i="13"/>
  <c r="AO12" i="13"/>
  <c r="AP12" i="13" s="1"/>
  <c r="AL12" i="13"/>
  <c r="AM12" i="13" s="1"/>
  <c r="AI12" i="13"/>
  <c r="AJ12" i="13" s="1"/>
  <c r="AF12" i="13"/>
  <c r="AG12" i="13" s="1"/>
  <c r="AC12" i="13"/>
  <c r="AD12" i="13" s="1"/>
  <c r="Z12" i="13"/>
  <c r="AA12" i="13" s="1"/>
  <c r="W12" i="13"/>
  <c r="X12" i="13" s="1"/>
  <c r="T12" i="13"/>
  <c r="U12" i="13" s="1"/>
  <c r="Q12" i="13"/>
  <c r="R12" i="13" s="1"/>
  <c r="N12" i="13"/>
  <c r="O12" i="13" s="1"/>
  <c r="K12" i="13"/>
  <c r="L12" i="13" s="1"/>
  <c r="H12" i="13"/>
  <c r="E12" i="13" s="1"/>
  <c r="D12" i="13"/>
  <c r="AO11" i="13"/>
  <c r="AP11" i="13" s="1"/>
  <c r="AL11" i="13"/>
  <c r="AM11" i="13" s="1"/>
  <c r="AI11" i="13"/>
  <c r="AJ11" i="13" s="1"/>
  <c r="AF11" i="13"/>
  <c r="AG11" i="13" s="1"/>
  <c r="AC11" i="13"/>
  <c r="AD11" i="13" s="1"/>
  <c r="Z11" i="13"/>
  <c r="AA11" i="13" s="1"/>
  <c r="W11" i="13"/>
  <c r="X11" i="13" s="1"/>
  <c r="T11" i="13"/>
  <c r="U11" i="13" s="1"/>
  <c r="Q11" i="13"/>
  <c r="R11" i="13" s="1"/>
  <c r="N11" i="13"/>
  <c r="O11" i="13" s="1"/>
  <c r="K11" i="13"/>
  <c r="L11" i="13" s="1"/>
  <c r="H11" i="13"/>
  <c r="I11" i="13" s="1"/>
  <c r="D11" i="13"/>
  <c r="AO10" i="13"/>
  <c r="AP10" i="13" s="1"/>
  <c r="AL10" i="13"/>
  <c r="AM10" i="13" s="1"/>
  <c r="AI10" i="13"/>
  <c r="AJ10" i="13" s="1"/>
  <c r="AF10" i="13"/>
  <c r="AG10" i="13" s="1"/>
  <c r="AC10" i="13"/>
  <c r="AD10" i="13" s="1"/>
  <c r="Z10" i="13"/>
  <c r="AA10" i="13" s="1"/>
  <c r="W10" i="13"/>
  <c r="X10" i="13" s="1"/>
  <c r="T10" i="13"/>
  <c r="U10" i="13" s="1"/>
  <c r="Q10" i="13"/>
  <c r="R10" i="13" s="1"/>
  <c r="N10" i="13"/>
  <c r="O10" i="13" s="1"/>
  <c r="K10" i="13"/>
  <c r="L10" i="13" s="1"/>
  <c r="H10" i="13"/>
  <c r="I10" i="13" s="1"/>
  <c r="D10" i="13"/>
  <c r="AO9" i="13"/>
  <c r="AP9" i="13" s="1"/>
  <c r="AL9" i="13"/>
  <c r="AM9" i="13" s="1"/>
  <c r="AI9" i="13"/>
  <c r="AJ9" i="13" s="1"/>
  <c r="AF9" i="13"/>
  <c r="AG9" i="13" s="1"/>
  <c r="AC9" i="13"/>
  <c r="AD9" i="13" s="1"/>
  <c r="Z9" i="13"/>
  <c r="AA9" i="13" s="1"/>
  <c r="W9" i="13"/>
  <c r="X9" i="13" s="1"/>
  <c r="T9" i="13"/>
  <c r="U9" i="13" s="1"/>
  <c r="Q9" i="13"/>
  <c r="R9" i="13" s="1"/>
  <c r="N9" i="13"/>
  <c r="O9" i="13" s="1"/>
  <c r="K9" i="13"/>
  <c r="L9" i="13" s="1"/>
  <c r="H9" i="13"/>
  <c r="E9" i="13" s="1"/>
  <c r="D9" i="13"/>
  <c r="AO8" i="13"/>
  <c r="AP8" i="13" s="1"/>
  <c r="AL8" i="13"/>
  <c r="AM8" i="13" s="1"/>
  <c r="AI8" i="13"/>
  <c r="AJ8" i="13" s="1"/>
  <c r="AF8" i="13"/>
  <c r="AG8" i="13" s="1"/>
  <c r="AC8" i="13"/>
  <c r="AD8" i="13" s="1"/>
  <c r="Z8" i="13"/>
  <c r="AA8" i="13" s="1"/>
  <c r="W8" i="13"/>
  <c r="X8" i="13" s="1"/>
  <c r="T8" i="13"/>
  <c r="U8" i="13" s="1"/>
  <c r="Q8" i="13"/>
  <c r="R8" i="13" s="1"/>
  <c r="N8" i="13"/>
  <c r="O8" i="13" s="1"/>
  <c r="K8" i="13"/>
  <c r="L8" i="13" s="1"/>
  <c r="H8" i="13"/>
  <c r="E8" i="13" s="1"/>
  <c r="D8" i="13"/>
  <c r="AO7" i="13"/>
  <c r="AP7" i="13" s="1"/>
  <c r="AL7" i="13"/>
  <c r="AM7" i="13" s="1"/>
  <c r="AI7" i="13"/>
  <c r="AJ7" i="13" s="1"/>
  <c r="AF7" i="13"/>
  <c r="AG7" i="13" s="1"/>
  <c r="AC7" i="13"/>
  <c r="AD7" i="13" s="1"/>
  <c r="Z7" i="13"/>
  <c r="AA7" i="13" s="1"/>
  <c r="W7" i="13"/>
  <c r="X7" i="13" s="1"/>
  <c r="T7" i="13"/>
  <c r="U7" i="13" s="1"/>
  <c r="Q7" i="13"/>
  <c r="R7" i="13" s="1"/>
  <c r="N7" i="13"/>
  <c r="O7" i="13" s="1"/>
  <c r="K7" i="13"/>
  <c r="L7" i="13" s="1"/>
  <c r="H7" i="13"/>
  <c r="E7" i="13" s="1"/>
  <c r="D7" i="13"/>
  <c r="AO6" i="13"/>
  <c r="AP6" i="13" s="1"/>
  <c r="AL6" i="13"/>
  <c r="AM6" i="13" s="1"/>
  <c r="AI6" i="13"/>
  <c r="AJ6" i="13" s="1"/>
  <c r="AF6" i="13"/>
  <c r="AG6" i="13" s="1"/>
  <c r="AC6" i="13"/>
  <c r="AD6" i="13" s="1"/>
  <c r="Z6" i="13"/>
  <c r="AA6" i="13" s="1"/>
  <c r="W6" i="13"/>
  <c r="X6" i="13" s="1"/>
  <c r="T6" i="13"/>
  <c r="U6" i="13" s="1"/>
  <c r="Q6" i="13"/>
  <c r="R6" i="13" s="1"/>
  <c r="N6" i="13"/>
  <c r="O6" i="13" s="1"/>
  <c r="K6" i="13"/>
  <c r="L6" i="13" s="1"/>
  <c r="H6" i="13"/>
  <c r="I6" i="13" s="1"/>
  <c r="D6" i="13"/>
  <c r="AO5" i="13"/>
  <c r="AP5" i="13" s="1"/>
  <c r="AL5" i="13"/>
  <c r="AM5" i="13" s="1"/>
  <c r="AI5" i="13"/>
  <c r="AJ5" i="13" s="1"/>
  <c r="AF5" i="13"/>
  <c r="AG5" i="13" s="1"/>
  <c r="AC5" i="13"/>
  <c r="AD5" i="13" s="1"/>
  <c r="Z5" i="13"/>
  <c r="AA5" i="13" s="1"/>
  <c r="W5" i="13"/>
  <c r="X5" i="13" s="1"/>
  <c r="T5" i="13"/>
  <c r="U5" i="13" s="1"/>
  <c r="Q5" i="13"/>
  <c r="R5" i="13" s="1"/>
  <c r="N5" i="13"/>
  <c r="O5" i="13" s="1"/>
  <c r="K5" i="13"/>
  <c r="L5" i="13" s="1"/>
  <c r="H5" i="13"/>
  <c r="E5" i="13" s="1"/>
  <c r="D5" i="13"/>
  <c r="AO4" i="13"/>
  <c r="AP4" i="13" s="1"/>
  <c r="AL4" i="13"/>
  <c r="AM4" i="13" s="1"/>
  <c r="AI4" i="13"/>
  <c r="AJ4" i="13" s="1"/>
  <c r="AF4" i="13"/>
  <c r="AG4" i="13" s="1"/>
  <c r="AC4" i="13"/>
  <c r="AD4" i="13" s="1"/>
  <c r="Z4" i="13"/>
  <c r="AA4" i="13" s="1"/>
  <c r="W4" i="13"/>
  <c r="X4" i="13" s="1"/>
  <c r="T4" i="13"/>
  <c r="U4" i="13" s="1"/>
  <c r="Q4" i="13"/>
  <c r="R4" i="13" s="1"/>
  <c r="N4" i="13"/>
  <c r="O4" i="13" s="1"/>
  <c r="K4" i="13"/>
  <c r="L4" i="13" s="1"/>
  <c r="H4" i="13"/>
  <c r="E4" i="13" s="1"/>
  <c r="D4" i="13"/>
  <c r="AO4" i="12"/>
  <c r="AP4" i="12" s="1"/>
  <c r="AL4" i="12"/>
  <c r="AM4" i="12" s="1"/>
  <c r="AI4" i="12"/>
  <c r="AJ4" i="12" s="1"/>
  <c r="AF4" i="12"/>
  <c r="AG4" i="12" s="1"/>
  <c r="AC4" i="12"/>
  <c r="AD4" i="12" s="1"/>
  <c r="Z4" i="12"/>
  <c r="AA4" i="12" s="1"/>
  <c r="W4" i="12"/>
  <c r="X4" i="12" s="1"/>
  <c r="T4" i="12"/>
  <c r="U4" i="12" s="1"/>
  <c r="Q4" i="12"/>
  <c r="R4" i="12" s="1"/>
  <c r="N4" i="12"/>
  <c r="O4" i="12" s="1"/>
  <c r="K4" i="12"/>
  <c r="L4" i="12" s="1"/>
  <c r="H4" i="12"/>
  <c r="E4" i="12" s="1"/>
  <c r="D4" i="12"/>
  <c r="EW47" i="2"/>
  <c r="EJ47" i="2"/>
  <c r="DK47" i="2"/>
  <c r="CX47" i="2"/>
  <c r="CK47" i="2"/>
  <c r="BV47" i="2"/>
  <c r="BX47" i="2" s="1"/>
  <c r="BI47" i="2"/>
  <c r="BG47" i="2"/>
  <c r="AT47" i="2"/>
  <c r="AF47" i="2"/>
  <c r="AG47" i="2" s="1"/>
  <c r="P47" i="2"/>
  <c r="EW46" i="2"/>
  <c r="EJ46" i="2"/>
  <c r="DK46" i="2"/>
  <c r="CX46" i="2"/>
  <c r="CK46" i="2"/>
  <c r="BV46" i="2"/>
  <c r="BX46" i="2" s="1"/>
  <c r="BI46" i="2"/>
  <c r="BG46" i="2"/>
  <c r="AT46" i="2"/>
  <c r="AF46" i="2"/>
  <c r="AG46" i="2" s="1"/>
  <c r="P46" i="2"/>
  <c r="EW45" i="2"/>
  <c r="EJ45" i="2"/>
  <c r="DK45" i="2"/>
  <c r="CX45" i="2"/>
  <c r="CK45" i="2"/>
  <c r="BV45" i="2"/>
  <c r="BX45" i="2" s="1"/>
  <c r="BI45" i="2"/>
  <c r="BG45" i="2"/>
  <c r="AT45" i="2"/>
  <c r="AF45" i="2"/>
  <c r="AG45" i="2" s="1"/>
  <c r="P45" i="2"/>
  <c r="EW44" i="2"/>
  <c r="EJ44" i="2"/>
  <c r="DK44" i="2"/>
  <c r="CX44" i="2"/>
  <c r="CK44" i="2"/>
  <c r="BV44" i="2"/>
  <c r="BX44" i="2" s="1"/>
  <c r="BI44" i="2"/>
  <c r="BG44" i="2"/>
  <c r="AT44" i="2"/>
  <c r="AF44" i="2"/>
  <c r="AG44" i="2" s="1"/>
  <c r="P44" i="2"/>
  <c r="EW43" i="2"/>
  <c r="EJ43" i="2"/>
  <c r="DK43" i="2"/>
  <c r="CX43" i="2"/>
  <c r="CK43" i="2"/>
  <c r="BV43" i="2"/>
  <c r="BX43" i="2" s="1"/>
  <c r="BI43" i="2"/>
  <c r="BG43" i="2"/>
  <c r="AT43" i="2"/>
  <c r="AF43" i="2"/>
  <c r="AG43" i="2" s="1"/>
  <c r="P43" i="2"/>
  <c r="EW42" i="2"/>
  <c r="EJ42" i="2"/>
  <c r="DK42" i="2"/>
  <c r="CX42" i="2"/>
  <c r="CK42" i="2"/>
  <c r="BW42" i="2"/>
  <c r="BV42" i="2"/>
  <c r="BX42" i="2" s="1"/>
  <c r="BI42" i="2"/>
  <c r="BG42" i="2"/>
  <c r="AT42" i="2"/>
  <c r="AF42" i="2"/>
  <c r="AG42" i="2" s="1"/>
  <c r="P42" i="2"/>
  <c r="EW41" i="2"/>
  <c r="EJ41" i="2"/>
  <c r="DK41" i="2"/>
  <c r="CX41" i="2"/>
  <c r="CK41" i="2"/>
  <c r="BV41" i="2"/>
  <c r="BX41" i="2" s="1"/>
  <c r="BI41" i="2"/>
  <c r="BG41" i="2"/>
  <c r="AT41" i="2"/>
  <c r="AF41" i="2"/>
  <c r="AG41" i="2" s="1"/>
  <c r="P41" i="2"/>
  <c r="EW39" i="2"/>
  <c r="EJ39" i="2"/>
  <c r="DK39" i="2"/>
  <c r="CX39" i="2"/>
  <c r="CK39" i="2"/>
  <c r="BV39" i="2"/>
  <c r="BX39" i="2" s="1"/>
  <c r="BI39" i="2"/>
  <c r="BG39" i="2"/>
  <c r="AT39" i="2"/>
  <c r="AF39" i="2"/>
  <c r="AG39" i="2" s="1"/>
  <c r="P39" i="2"/>
  <c r="EW38" i="2"/>
  <c r="EJ38" i="2"/>
  <c r="DK38" i="2"/>
  <c r="CX38" i="2"/>
  <c r="CK38" i="2"/>
  <c r="BV38" i="2"/>
  <c r="BX38" i="2" s="1"/>
  <c r="BI38" i="2"/>
  <c r="BG38" i="2"/>
  <c r="AT38" i="2"/>
  <c r="AF38" i="2"/>
  <c r="AG38" i="2" s="1"/>
  <c r="P38" i="2"/>
  <c r="EW36" i="2"/>
  <c r="EJ36" i="2"/>
  <c r="DK36" i="2"/>
  <c r="CX36" i="2"/>
  <c r="CK36" i="2"/>
  <c r="BV36" i="2"/>
  <c r="BX36" i="2" s="1"/>
  <c r="BI36" i="2"/>
  <c r="BG36" i="2"/>
  <c r="AT36" i="2"/>
  <c r="AF36" i="2"/>
  <c r="AG36" i="2" s="1"/>
  <c r="P36" i="2"/>
  <c r="EW35" i="2"/>
  <c r="EJ35" i="2"/>
  <c r="DK35" i="2"/>
  <c r="CX35" i="2"/>
  <c r="CK35" i="2"/>
  <c r="BV35" i="2"/>
  <c r="BW35" i="2" s="1"/>
  <c r="BI35" i="2"/>
  <c r="BG35" i="2"/>
  <c r="AT35" i="2"/>
  <c r="AF35" i="2"/>
  <c r="AG35" i="2" s="1"/>
  <c r="P35" i="2"/>
  <c r="EW34" i="2"/>
  <c r="EJ34" i="2"/>
  <c r="DK34" i="2"/>
  <c r="CX34" i="2"/>
  <c r="CK34" i="2"/>
  <c r="BV34" i="2"/>
  <c r="BW34" i="2" s="1"/>
  <c r="BI34" i="2"/>
  <c r="BG34" i="2"/>
  <c r="AT34" i="2"/>
  <c r="AF34" i="2"/>
  <c r="AG34" i="2" s="1"/>
  <c r="P34" i="2"/>
  <c r="EW33" i="2"/>
  <c r="EJ33" i="2"/>
  <c r="DK33" i="2"/>
  <c r="CX33" i="2"/>
  <c r="CK33" i="2"/>
  <c r="BV33" i="2"/>
  <c r="BX33" i="2" s="1"/>
  <c r="BI33" i="2"/>
  <c r="BG33" i="2"/>
  <c r="AT33" i="2"/>
  <c r="AF33" i="2"/>
  <c r="AG33" i="2" s="1"/>
  <c r="P33" i="2"/>
  <c r="EW32" i="2"/>
  <c r="EJ32" i="2"/>
  <c r="DK32" i="2"/>
  <c r="CX32" i="2"/>
  <c r="CK32" i="2"/>
  <c r="BV32" i="2"/>
  <c r="BX32" i="2" s="1"/>
  <c r="BI32" i="2"/>
  <c r="BG32" i="2"/>
  <c r="AT32" i="2"/>
  <c r="AG32" i="2"/>
  <c r="AF32" i="2"/>
  <c r="P32" i="2"/>
  <c r="EW30" i="2"/>
  <c r="EJ30" i="2"/>
  <c r="DK30" i="2"/>
  <c r="CX30" i="2"/>
  <c r="CK30" i="2"/>
  <c r="BV30" i="2"/>
  <c r="BX30" i="2" s="1"/>
  <c r="BI30" i="2"/>
  <c r="BG30" i="2"/>
  <c r="AT30" i="2"/>
  <c r="AF30" i="2"/>
  <c r="AG30" i="2" s="1"/>
  <c r="P30" i="2"/>
  <c r="EW29" i="2"/>
  <c r="EJ29" i="2"/>
  <c r="DK29" i="2"/>
  <c r="CX29" i="2"/>
  <c r="CK29" i="2"/>
  <c r="BV29" i="2"/>
  <c r="BX29" i="2" s="1"/>
  <c r="BI29" i="2"/>
  <c r="BG29" i="2"/>
  <c r="AT29" i="2"/>
  <c r="AF29" i="2"/>
  <c r="AG29" i="2" s="1"/>
  <c r="P29" i="2"/>
  <c r="EW28" i="2"/>
  <c r="EJ28" i="2"/>
  <c r="DK28" i="2"/>
  <c r="CX28" i="2"/>
  <c r="CK28" i="2"/>
  <c r="BV28" i="2"/>
  <c r="BW28" i="2" s="1"/>
  <c r="BI28" i="2"/>
  <c r="BG28" i="2"/>
  <c r="AT28" i="2"/>
  <c r="AF28" i="2"/>
  <c r="AG28" i="2" s="1"/>
  <c r="P28" i="2"/>
  <c r="EW27" i="2"/>
  <c r="EJ27" i="2"/>
  <c r="DK27" i="2"/>
  <c r="CX27" i="2"/>
  <c r="CK27" i="2"/>
  <c r="BV27" i="2"/>
  <c r="BX27" i="2" s="1"/>
  <c r="BI27" i="2"/>
  <c r="BG27" i="2"/>
  <c r="AT27" i="2"/>
  <c r="AF27" i="2"/>
  <c r="AG27" i="2" s="1"/>
  <c r="P27" i="2"/>
  <c r="EW26" i="2"/>
  <c r="EJ26" i="2"/>
  <c r="DK26" i="2"/>
  <c r="CX26" i="2"/>
  <c r="CK26" i="2"/>
  <c r="BV26" i="2"/>
  <c r="BX26" i="2" s="1"/>
  <c r="BI26" i="2"/>
  <c r="BG26" i="2"/>
  <c r="AT26" i="2"/>
  <c r="AF26" i="2"/>
  <c r="AG26" i="2" s="1"/>
  <c r="P26" i="2"/>
  <c r="EW25" i="2"/>
  <c r="EJ25" i="2"/>
  <c r="DK25" i="2"/>
  <c r="CX25" i="2"/>
  <c r="CK25" i="2"/>
  <c r="BV25" i="2"/>
  <c r="BX25" i="2" s="1"/>
  <c r="BI25" i="2"/>
  <c r="BG25" i="2"/>
  <c r="AT25" i="2"/>
  <c r="AF25" i="2"/>
  <c r="AG25" i="2" s="1"/>
  <c r="P25" i="2"/>
  <c r="EW24" i="2"/>
  <c r="EJ24" i="2"/>
  <c r="DK24" i="2"/>
  <c r="CX24" i="2"/>
  <c r="CK24" i="2"/>
  <c r="BV24" i="2"/>
  <c r="BX24" i="2" s="1"/>
  <c r="BI24" i="2"/>
  <c r="BG24" i="2"/>
  <c r="AT24" i="2"/>
  <c r="AF24" i="2"/>
  <c r="AG24" i="2" s="1"/>
  <c r="P24" i="2"/>
  <c r="EW23" i="2"/>
  <c r="EJ23" i="2"/>
  <c r="DK23" i="2"/>
  <c r="CX23" i="2"/>
  <c r="CK23" i="2"/>
  <c r="BV23" i="2"/>
  <c r="BX23" i="2" s="1"/>
  <c r="BI23" i="2"/>
  <c r="BG23" i="2"/>
  <c r="AT23" i="2"/>
  <c r="AF23" i="2"/>
  <c r="AG23" i="2" s="1"/>
  <c r="P23" i="2"/>
  <c r="EW22" i="2"/>
  <c r="EJ22" i="2"/>
  <c r="DK22" i="2"/>
  <c r="CX22" i="2"/>
  <c r="CK22" i="2"/>
  <c r="BV22" i="2"/>
  <c r="BW22" i="2" s="1"/>
  <c r="BI22" i="2"/>
  <c r="BG22" i="2"/>
  <c r="AT22" i="2"/>
  <c r="AF22" i="2"/>
  <c r="AG22" i="2" s="1"/>
  <c r="P22" i="2"/>
  <c r="EW21" i="2"/>
  <c r="EJ21" i="2"/>
  <c r="DK21" i="2"/>
  <c r="CX21" i="2"/>
  <c r="CK21" i="2"/>
  <c r="BV21" i="2"/>
  <c r="BX21" i="2" s="1"/>
  <c r="BI21" i="2"/>
  <c r="BG21" i="2"/>
  <c r="AT21" i="2"/>
  <c r="AF21" i="2"/>
  <c r="AG21" i="2" s="1"/>
  <c r="P21" i="2"/>
  <c r="EW20" i="2"/>
  <c r="EJ20" i="2"/>
  <c r="DK20" i="2"/>
  <c r="CX20" i="2"/>
  <c r="CK20" i="2"/>
  <c r="BV20" i="2"/>
  <c r="BX20" i="2" s="1"/>
  <c r="BI20" i="2"/>
  <c r="BG20" i="2"/>
  <c r="AT20" i="2"/>
  <c r="AF20" i="2"/>
  <c r="AG20" i="2" s="1"/>
  <c r="P20" i="2"/>
  <c r="EW19" i="2"/>
  <c r="EJ19" i="2"/>
  <c r="DK19" i="2"/>
  <c r="CX19" i="2"/>
  <c r="CK19" i="2"/>
  <c r="BV19" i="2"/>
  <c r="BX19" i="2" s="1"/>
  <c r="BI19" i="2"/>
  <c r="BG19" i="2"/>
  <c r="AT19" i="2"/>
  <c r="AF19" i="2"/>
  <c r="AG19" i="2" s="1"/>
  <c r="P19" i="2"/>
  <c r="EW18" i="2"/>
  <c r="EJ18" i="2"/>
  <c r="DK18" i="2"/>
  <c r="CX18" i="2"/>
  <c r="CK18" i="2"/>
  <c r="BV18" i="2"/>
  <c r="BX18" i="2" s="1"/>
  <c r="BI18" i="2"/>
  <c r="BG18" i="2"/>
  <c r="AT18" i="2"/>
  <c r="AF18" i="2"/>
  <c r="AG18" i="2" s="1"/>
  <c r="P18" i="2"/>
  <c r="EW17" i="2"/>
  <c r="EJ17" i="2"/>
  <c r="DK17" i="2"/>
  <c r="CX17" i="2"/>
  <c r="CK17" i="2"/>
  <c r="BV17" i="2"/>
  <c r="BX17" i="2" s="1"/>
  <c r="BI17" i="2"/>
  <c r="BG17" i="2"/>
  <c r="AT17" i="2"/>
  <c r="AF17" i="2"/>
  <c r="AG17" i="2" s="1"/>
  <c r="P17" i="2"/>
  <c r="EW16" i="2"/>
  <c r="EJ16" i="2"/>
  <c r="DK16" i="2"/>
  <c r="CX16" i="2"/>
  <c r="CK16" i="2"/>
  <c r="BV16" i="2"/>
  <c r="BW16" i="2" s="1"/>
  <c r="BI16" i="2"/>
  <c r="BG16" i="2"/>
  <c r="AT16" i="2"/>
  <c r="AF16" i="2"/>
  <c r="AG16" i="2" s="1"/>
  <c r="P16" i="2"/>
  <c r="EW15" i="2"/>
  <c r="EJ15" i="2"/>
  <c r="DK15" i="2"/>
  <c r="CX15" i="2"/>
  <c r="CK15" i="2"/>
  <c r="BV15" i="2"/>
  <c r="BX15" i="2" s="1"/>
  <c r="BI15" i="2"/>
  <c r="BG15" i="2"/>
  <c r="AT15" i="2"/>
  <c r="AF15" i="2"/>
  <c r="AG15" i="2" s="1"/>
  <c r="P15" i="2"/>
  <c r="EW14" i="2"/>
  <c r="EJ14" i="2"/>
  <c r="DK14" i="2"/>
  <c r="CX14" i="2"/>
  <c r="CK14" i="2"/>
  <c r="BV14" i="2"/>
  <c r="BX14" i="2" s="1"/>
  <c r="BI14" i="2"/>
  <c r="BG14" i="2"/>
  <c r="AT14" i="2"/>
  <c r="AF14" i="2"/>
  <c r="AG14" i="2" s="1"/>
  <c r="P14" i="2"/>
  <c r="EW13" i="2"/>
  <c r="EJ13" i="2"/>
  <c r="DK13" i="2"/>
  <c r="CX13" i="2"/>
  <c r="CK13" i="2"/>
  <c r="BV13" i="2"/>
  <c r="BX13" i="2" s="1"/>
  <c r="BI13" i="2"/>
  <c r="BG13" i="2"/>
  <c r="AT13" i="2"/>
  <c r="AF13" i="2"/>
  <c r="AG13" i="2" s="1"/>
  <c r="P13" i="2"/>
  <c r="EW12" i="2"/>
  <c r="EJ12" i="2"/>
  <c r="DK12" i="2"/>
  <c r="CX12" i="2"/>
  <c r="CK12" i="2"/>
  <c r="BV12" i="2"/>
  <c r="BX12" i="2" s="1"/>
  <c r="BI12" i="2"/>
  <c r="BG12" i="2"/>
  <c r="AT12" i="2"/>
  <c r="AF12" i="2"/>
  <c r="AG12" i="2" s="1"/>
  <c r="P12" i="2"/>
  <c r="EW11" i="2"/>
  <c r="EJ11" i="2"/>
  <c r="DK11" i="2"/>
  <c r="CX11" i="2"/>
  <c r="CK11" i="2"/>
  <c r="BW11" i="2"/>
  <c r="BV11" i="2"/>
  <c r="BX11" i="2" s="1"/>
  <c r="BI11" i="2"/>
  <c r="BG11" i="2"/>
  <c r="AT11" i="2"/>
  <c r="AF11" i="2"/>
  <c r="AG11" i="2" s="1"/>
  <c r="P11" i="2"/>
  <c r="EW10" i="2"/>
  <c r="EJ10" i="2"/>
  <c r="DK10" i="2"/>
  <c r="CX10" i="2"/>
  <c r="CK10" i="2"/>
  <c r="BX10" i="2"/>
  <c r="BV10" i="2"/>
  <c r="BW10" i="2" s="1"/>
  <c r="BI10" i="2"/>
  <c r="BG10" i="2"/>
  <c r="AT10" i="2"/>
  <c r="AF10" i="2"/>
  <c r="AG10" i="2" s="1"/>
  <c r="P10" i="2"/>
  <c r="EW9" i="2"/>
  <c r="EJ9" i="2"/>
  <c r="DK9" i="2"/>
  <c r="CX9" i="2"/>
  <c r="CK9" i="2"/>
  <c r="BV9" i="2"/>
  <c r="BX9" i="2" s="1"/>
  <c r="BI9" i="2"/>
  <c r="BG9" i="2"/>
  <c r="AT9" i="2"/>
  <c r="AF9" i="2"/>
  <c r="AG9" i="2" s="1"/>
  <c r="P9" i="2"/>
  <c r="EW8" i="2"/>
  <c r="EJ8" i="2"/>
  <c r="DK8" i="2"/>
  <c r="CX8" i="2"/>
  <c r="CK8" i="2"/>
  <c r="BV8" i="2"/>
  <c r="BX8" i="2" s="1"/>
  <c r="BI8" i="2"/>
  <c r="BG8" i="2"/>
  <c r="AT8" i="2"/>
  <c r="AF8" i="2"/>
  <c r="AG8" i="2" s="1"/>
  <c r="P8" i="2"/>
  <c r="EW7" i="2"/>
  <c r="EJ7" i="2"/>
  <c r="DK7" i="2"/>
  <c r="CX7" i="2"/>
  <c r="CK7" i="2"/>
  <c r="BV7" i="2"/>
  <c r="BX7" i="2" s="1"/>
  <c r="BI7" i="2"/>
  <c r="BG7" i="2"/>
  <c r="AT7" i="2"/>
  <c r="AF7" i="2"/>
  <c r="AG7" i="2" s="1"/>
  <c r="P7" i="2"/>
  <c r="EW6" i="2"/>
  <c r="EJ6" i="2"/>
  <c r="DK6" i="2"/>
  <c r="CX6" i="2"/>
  <c r="CK6" i="2"/>
  <c r="BV6" i="2"/>
  <c r="BX6" i="2" s="1"/>
  <c r="BI6" i="2"/>
  <c r="BG6" i="2"/>
  <c r="AT6" i="2"/>
  <c r="AF6" i="2"/>
  <c r="AG6" i="2" s="1"/>
  <c r="P6" i="2"/>
  <c r="EW5" i="2"/>
  <c r="EJ5" i="2"/>
  <c r="DK5" i="2"/>
  <c r="CX5" i="2"/>
  <c r="CK5" i="2"/>
  <c r="BV5" i="2"/>
  <c r="BX5" i="2" s="1"/>
  <c r="BI5" i="2"/>
  <c r="BG5" i="2"/>
  <c r="AT5" i="2"/>
  <c r="AF5" i="2"/>
  <c r="AG5" i="2" s="1"/>
  <c r="P5" i="2"/>
  <c r="EW4" i="2"/>
  <c r="EJ4" i="2"/>
  <c r="DK4" i="2"/>
  <c r="CX4" i="2"/>
  <c r="CK4" i="2"/>
  <c r="BV4" i="2"/>
  <c r="BX4" i="2" s="1"/>
  <c r="BI4" i="2"/>
  <c r="BG4" i="2"/>
  <c r="AT4" i="2"/>
  <c r="AF4" i="2"/>
  <c r="AG4" i="2" s="1"/>
  <c r="P4" i="2"/>
  <c r="CK47" i="1"/>
  <c r="BV47" i="1"/>
  <c r="BX47" i="1" s="1"/>
  <c r="BI47" i="1"/>
  <c r="BG47" i="1"/>
  <c r="AT47" i="1"/>
  <c r="AF47" i="1"/>
  <c r="AG47" i="1" s="1"/>
  <c r="P47" i="1"/>
  <c r="BV46" i="1"/>
  <c r="BX46" i="1" s="1"/>
  <c r="BI46" i="1"/>
  <c r="BG46" i="1"/>
  <c r="AT46" i="1"/>
  <c r="AF46" i="1"/>
  <c r="AG46" i="1" s="1"/>
  <c r="P46" i="1"/>
  <c r="BV45" i="1"/>
  <c r="BW45" i="1" s="1"/>
  <c r="BI45" i="1"/>
  <c r="BG45" i="1"/>
  <c r="AT45" i="1"/>
  <c r="AF45" i="1"/>
  <c r="AG45" i="1" s="1"/>
  <c r="P45" i="1"/>
  <c r="BV44" i="1"/>
  <c r="BW44" i="1" s="1"/>
  <c r="BI44" i="1"/>
  <c r="BG44" i="1"/>
  <c r="AT44" i="1"/>
  <c r="AF44" i="1"/>
  <c r="AG44" i="1" s="1"/>
  <c r="P44" i="1"/>
  <c r="BV43" i="1"/>
  <c r="BW43" i="1" s="1"/>
  <c r="BI43" i="1"/>
  <c r="BG43" i="1"/>
  <c r="AT43" i="1"/>
  <c r="AF43" i="1"/>
  <c r="AG43" i="1" s="1"/>
  <c r="P43" i="1"/>
  <c r="BV42" i="1"/>
  <c r="BX42" i="1" s="1"/>
  <c r="BI42" i="1"/>
  <c r="BG42" i="1"/>
  <c r="AT42" i="1"/>
  <c r="AF42" i="1"/>
  <c r="AG42" i="1" s="1"/>
  <c r="P42" i="1"/>
  <c r="BV41" i="1"/>
  <c r="BX41" i="1" s="1"/>
  <c r="BI41" i="1"/>
  <c r="BG41" i="1"/>
  <c r="AT41" i="1"/>
  <c r="AF41" i="1"/>
  <c r="AG41" i="1" s="1"/>
  <c r="P41" i="1"/>
  <c r="BV39" i="1"/>
  <c r="BX39" i="1" s="1"/>
  <c r="BI39" i="1"/>
  <c r="BG39" i="1"/>
  <c r="AT39" i="1"/>
  <c r="AF39" i="1"/>
  <c r="AG39" i="1" s="1"/>
  <c r="P39" i="1"/>
  <c r="BV38" i="1"/>
  <c r="BX38" i="1" s="1"/>
  <c r="BI38" i="1"/>
  <c r="BG38" i="1"/>
  <c r="AT38" i="1"/>
  <c r="AF38" i="1"/>
  <c r="AG38" i="1" s="1"/>
  <c r="P38" i="1"/>
  <c r="BV36" i="1"/>
  <c r="BW36" i="1" s="1"/>
  <c r="BI36" i="1"/>
  <c r="BG36" i="1"/>
  <c r="AT36" i="1"/>
  <c r="AF36" i="1"/>
  <c r="AG36" i="1" s="1"/>
  <c r="P36" i="1"/>
  <c r="BV35" i="1"/>
  <c r="BW35" i="1" s="1"/>
  <c r="BI35" i="1"/>
  <c r="BG35" i="1"/>
  <c r="AT35" i="1"/>
  <c r="AF35" i="1"/>
  <c r="AG35" i="1" s="1"/>
  <c r="P35" i="1"/>
  <c r="BV34" i="1"/>
  <c r="BX34" i="1" s="1"/>
  <c r="BI34" i="1"/>
  <c r="BG34" i="1"/>
  <c r="AT34" i="1"/>
  <c r="AF34" i="1"/>
  <c r="AG34" i="1" s="1"/>
  <c r="P34" i="1"/>
  <c r="BV33" i="1"/>
  <c r="BX33" i="1" s="1"/>
  <c r="BI33" i="1"/>
  <c r="BG33" i="1"/>
  <c r="AT33" i="1"/>
  <c r="AF33" i="1"/>
  <c r="AG33" i="1" s="1"/>
  <c r="P33" i="1"/>
  <c r="BV32" i="1"/>
  <c r="BX32" i="1" s="1"/>
  <c r="BI32" i="1"/>
  <c r="BG32" i="1"/>
  <c r="AT32" i="1"/>
  <c r="AF32" i="1"/>
  <c r="AG32" i="1" s="1"/>
  <c r="P32" i="1"/>
  <c r="EW30" i="1"/>
  <c r="BV30" i="1"/>
  <c r="BX30" i="1" s="1"/>
  <c r="BI30" i="1"/>
  <c r="BG30" i="1"/>
  <c r="AT30" i="1"/>
  <c r="AF30" i="1"/>
  <c r="AG30" i="1" s="1"/>
  <c r="P30" i="1"/>
  <c r="EW29" i="1"/>
  <c r="BV29" i="1"/>
  <c r="BX29" i="1" s="1"/>
  <c r="BI29" i="1"/>
  <c r="BG29" i="1"/>
  <c r="AT29" i="1"/>
  <c r="AF29" i="1"/>
  <c r="AG29" i="1" s="1"/>
  <c r="P29" i="1"/>
  <c r="EW28" i="1"/>
  <c r="DK28" i="1"/>
  <c r="BV28" i="1"/>
  <c r="BX28" i="1" s="1"/>
  <c r="BI28" i="1"/>
  <c r="BG28" i="1"/>
  <c r="AT28" i="1"/>
  <c r="AF28" i="1"/>
  <c r="AG28" i="1" s="1"/>
  <c r="P28" i="1"/>
  <c r="EW27" i="1"/>
  <c r="DK27" i="1"/>
  <c r="BV27" i="1"/>
  <c r="BX27" i="1" s="1"/>
  <c r="BI27" i="1"/>
  <c r="BG27" i="1"/>
  <c r="AT27" i="1"/>
  <c r="AF27" i="1"/>
  <c r="AG27" i="1" s="1"/>
  <c r="P27" i="1"/>
  <c r="EW26" i="1"/>
  <c r="DK26" i="1"/>
  <c r="BV26" i="1"/>
  <c r="BX26" i="1" s="1"/>
  <c r="BI26" i="1"/>
  <c r="BG26" i="1"/>
  <c r="AT26" i="1"/>
  <c r="AF26" i="1"/>
  <c r="AG26" i="1" s="1"/>
  <c r="P26" i="1"/>
  <c r="EW25" i="1"/>
  <c r="DK25" i="1"/>
  <c r="BV25" i="1"/>
  <c r="BX25" i="1" s="1"/>
  <c r="BI25" i="1"/>
  <c r="BG25" i="1"/>
  <c r="AT25" i="1"/>
  <c r="AF25" i="1"/>
  <c r="AG25" i="1" s="1"/>
  <c r="P25" i="1"/>
  <c r="EW24" i="1"/>
  <c r="DK24" i="1"/>
  <c r="BV24" i="1"/>
  <c r="BX24" i="1" s="1"/>
  <c r="BI24" i="1"/>
  <c r="BG24" i="1"/>
  <c r="AT24" i="1"/>
  <c r="AF24" i="1"/>
  <c r="AG24" i="1" s="1"/>
  <c r="P24" i="1"/>
  <c r="EW23" i="1"/>
  <c r="DK23" i="1"/>
  <c r="BV23" i="1"/>
  <c r="BX23" i="1" s="1"/>
  <c r="BI23" i="1"/>
  <c r="BG23" i="1"/>
  <c r="AT23" i="1"/>
  <c r="AF23" i="1"/>
  <c r="AG23" i="1" s="1"/>
  <c r="P23" i="1"/>
  <c r="EW22" i="1"/>
  <c r="DK22" i="1"/>
  <c r="BV22" i="1"/>
  <c r="BW22" i="1" s="1"/>
  <c r="BI22" i="1"/>
  <c r="BG22" i="1"/>
  <c r="AT22" i="1"/>
  <c r="AF22" i="1"/>
  <c r="AG22" i="1" s="1"/>
  <c r="P22" i="1"/>
  <c r="EW21" i="1"/>
  <c r="DK21" i="1"/>
  <c r="BV21" i="1"/>
  <c r="BX21" i="1" s="1"/>
  <c r="BI21" i="1"/>
  <c r="BG21" i="1"/>
  <c r="AT21" i="1"/>
  <c r="AF21" i="1"/>
  <c r="AG21" i="1" s="1"/>
  <c r="P21" i="1"/>
  <c r="EW20" i="1"/>
  <c r="DK20" i="1"/>
  <c r="BV20" i="1"/>
  <c r="BX20" i="1" s="1"/>
  <c r="BI20" i="1"/>
  <c r="BG20" i="1"/>
  <c r="AT20" i="1"/>
  <c r="AF20" i="1"/>
  <c r="AG20" i="1" s="1"/>
  <c r="P20" i="1"/>
  <c r="EW19" i="1"/>
  <c r="DK19" i="1"/>
  <c r="BV19" i="1"/>
  <c r="BX19" i="1" s="1"/>
  <c r="BI19" i="1"/>
  <c r="BG19" i="1"/>
  <c r="AT19" i="1"/>
  <c r="AF19" i="1"/>
  <c r="AG19" i="1" s="1"/>
  <c r="P19" i="1"/>
  <c r="EW18" i="1"/>
  <c r="DK18" i="1"/>
  <c r="BV18" i="1"/>
  <c r="BX18" i="1" s="1"/>
  <c r="BI18" i="1"/>
  <c r="BG18" i="1"/>
  <c r="AT18" i="1"/>
  <c r="AF18" i="1"/>
  <c r="AG18" i="1" s="1"/>
  <c r="P18" i="1"/>
  <c r="EW17" i="1"/>
  <c r="DK17" i="1"/>
  <c r="BV17" i="1"/>
  <c r="BX17" i="1" s="1"/>
  <c r="BI17" i="1"/>
  <c r="BG17" i="1"/>
  <c r="AT17" i="1"/>
  <c r="AF17" i="1"/>
  <c r="AG17" i="1" s="1"/>
  <c r="P17" i="1"/>
  <c r="EW16" i="1"/>
  <c r="DK16" i="1"/>
  <c r="BV16" i="1"/>
  <c r="BX16" i="1" s="1"/>
  <c r="BI16" i="1"/>
  <c r="BG16" i="1"/>
  <c r="AT16" i="1"/>
  <c r="AF16" i="1"/>
  <c r="AG16" i="1" s="1"/>
  <c r="P16" i="1"/>
  <c r="EW15" i="1"/>
  <c r="DK15" i="1"/>
  <c r="BV15" i="1"/>
  <c r="BX15" i="1" s="1"/>
  <c r="BI15" i="1"/>
  <c r="BG15" i="1"/>
  <c r="AT15" i="1"/>
  <c r="AF15" i="1"/>
  <c r="AG15" i="1" s="1"/>
  <c r="P15" i="1"/>
  <c r="EW14" i="1"/>
  <c r="DK14" i="1"/>
  <c r="BV14" i="1"/>
  <c r="BX14" i="1" s="1"/>
  <c r="BI14" i="1"/>
  <c r="BG14" i="1"/>
  <c r="AT14" i="1"/>
  <c r="AF14" i="1"/>
  <c r="AG14" i="1" s="1"/>
  <c r="P14" i="1"/>
  <c r="EW13" i="1"/>
  <c r="DK13" i="1"/>
  <c r="BV13" i="1"/>
  <c r="BX13" i="1" s="1"/>
  <c r="BI13" i="1"/>
  <c r="BG13" i="1"/>
  <c r="AT13" i="1"/>
  <c r="AF13" i="1"/>
  <c r="AG13" i="1" s="1"/>
  <c r="P13" i="1"/>
  <c r="EW12" i="1"/>
  <c r="DK12" i="1"/>
  <c r="BV12" i="1"/>
  <c r="BW12" i="1" s="1"/>
  <c r="BI12" i="1"/>
  <c r="BG12" i="1"/>
  <c r="AT12" i="1"/>
  <c r="AF12" i="1"/>
  <c r="AG12" i="1" s="1"/>
  <c r="P12" i="1"/>
  <c r="EW11" i="1"/>
  <c r="DK11" i="1"/>
  <c r="BV11" i="1"/>
  <c r="BX11" i="1" s="1"/>
  <c r="BI11" i="1"/>
  <c r="BG11" i="1"/>
  <c r="AT11" i="1"/>
  <c r="AF11" i="1"/>
  <c r="AG11" i="1" s="1"/>
  <c r="P11" i="1"/>
  <c r="EW10" i="1"/>
  <c r="DK10" i="1"/>
  <c r="BV10" i="1"/>
  <c r="BX10" i="1" s="1"/>
  <c r="BI10" i="1"/>
  <c r="BG10" i="1"/>
  <c r="AT10" i="1"/>
  <c r="AF10" i="1"/>
  <c r="AG10" i="1" s="1"/>
  <c r="P10" i="1"/>
  <c r="EW9" i="1"/>
  <c r="DK9" i="1"/>
  <c r="BV9" i="1"/>
  <c r="BX9" i="1" s="1"/>
  <c r="BI9" i="1"/>
  <c r="BG9" i="1"/>
  <c r="AT9" i="1"/>
  <c r="AF9" i="1"/>
  <c r="AG9" i="1" s="1"/>
  <c r="P9" i="1"/>
  <c r="EW8" i="1"/>
  <c r="DK8" i="1"/>
  <c r="BV8" i="1"/>
  <c r="BX8" i="1" s="1"/>
  <c r="BI8" i="1"/>
  <c r="BG8" i="1"/>
  <c r="AT8" i="1"/>
  <c r="AF8" i="1"/>
  <c r="AG8" i="1" s="1"/>
  <c r="P8" i="1"/>
  <c r="EW7" i="1"/>
  <c r="DK7" i="1"/>
  <c r="BV7" i="1"/>
  <c r="BX7" i="1" s="1"/>
  <c r="BI7" i="1"/>
  <c r="BG7" i="1"/>
  <c r="AT7" i="1"/>
  <c r="AF7" i="1"/>
  <c r="AG7" i="1" s="1"/>
  <c r="P7" i="1"/>
  <c r="EW6" i="1"/>
  <c r="DK6" i="1"/>
  <c r="BV6" i="1"/>
  <c r="BW6" i="1" s="1"/>
  <c r="BI6" i="1"/>
  <c r="BG6" i="1"/>
  <c r="AT6" i="1"/>
  <c r="AF6" i="1"/>
  <c r="AG6" i="1" s="1"/>
  <c r="P6" i="1"/>
  <c r="EW5" i="1"/>
  <c r="DK5" i="1"/>
  <c r="BV5" i="1"/>
  <c r="BX5" i="1" s="1"/>
  <c r="BI5" i="1"/>
  <c r="BG5" i="1"/>
  <c r="AT5" i="1"/>
  <c r="AF5" i="1"/>
  <c r="AG5" i="1" s="1"/>
  <c r="P5" i="1"/>
  <c r="EW4" i="1"/>
  <c r="DK4" i="1"/>
  <c r="BV4" i="1"/>
  <c r="BX4" i="1" s="1"/>
  <c r="BI4" i="1"/>
  <c r="BG4" i="1"/>
  <c r="AT4" i="1"/>
  <c r="AF4" i="1"/>
  <c r="AG4" i="1" s="1"/>
  <c r="P4" i="1"/>
  <c r="AO30" i="14"/>
  <c r="AP30" i="14" s="1"/>
  <c r="AL30" i="14"/>
  <c r="AM30" i="14" s="1"/>
  <c r="AI30" i="14"/>
  <c r="AJ30" i="14" s="1"/>
  <c r="AF30" i="14"/>
  <c r="AG30" i="14" s="1"/>
  <c r="AC30" i="14"/>
  <c r="AD30" i="14" s="1"/>
  <c r="Z30" i="14"/>
  <c r="AA30" i="14" s="1"/>
  <c r="W30" i="14"/>
  <c r="X30" i="14" s="1"/>
  <c r="T30" i="14"/>
  <c r="U30" i="14" s="1"/>
  <c r="Q30" i="14"/>
  <c r="R30" i="14" s="1"/>
  <c r="N30" i="14"/>
  <c r="O30" i="14" s="1"/>
  <c r="K30" i="14"/>
  <c r="L30" i="14" s="1"/>
  <c r="H30" i="14"/>
  <c r="E30" i="14" s="1"/>
  <c r="D30" i="14"/>
  <c r="AO29" i="14"/>
  <c r="AP29" i="14" s="1"/>
  <c r="AL29" i="14"/>
  <c r="AM29" i="14" s="1"/>
  <c r="AI29" i="14"/>
  <c r="AJ29" i="14" s="1"/>
  <c r="AF29" i="14"/>
  <c r="AG29" i="14" s="1"/>
  <c r="AC29" i="14"/>
  <c r="AD29" i="14" s="1"/>
  <c r="Z29" i="14"/>
  <c r="AA29" i="14" s="1"/>
  <c r="W29" i="14"/>
  <c r="X29" i="14" s="1"/>
  <c r="T29" i="14"/>
  <c r="U29" i="14" s="1"/>
  <c r="Q29" i="14"/>
  <c r="R29" i="14" s="1"/>
  <c r="N29" i="14"/>
  <c r="O29" i="14" s="1"/>
  <c r="K29" i="14"/>
  <c r="L29" i="14" s="1"/>
  <c r="H29" i="14"/>
  <c r="E29" i="14" s="1"/>
  <c r="D29" i="14"/>
  <c r="AO28" i="14"/>
  <c r="AP28" i="14" s="1"/>
  <c r="AL28" i="14"/>
  <c r="AM28" i="14" s="1"/>
  <c r="AI28" i="14"/>
  <c r="AJ28" i="14" s="1"/>
  <c r="AF28" i="14"/>
  <c r="AG28" i="14" s="1"/>
  <c r="AC28" i="14"/>
  <c r="AD28" i="14" s="1"/>
  <c r="Z28" i="14"/>
  <c r="AA28" i="14" s="1"/>
  <c r="W28" i="14"/>
  <c r="X28" i="14" s="1"/>
  <c r="T28" i="14"/>
  <c r="U28" i="14" s="1"/>
  <c r="Q28" i="14"/>
  <c r="R28" i="14" s="1"/>
  <c r="N28" i="14"/>
  <c r="O28" i="14" s="1"/>
  <c r="K28" i="14"/>
  <c r="L28" i="14" s="1"/>
  <c r="H28" i="14"/>
  <c r="I28" i="14" s="1"/>
  <c r="D28" i="14"/>
  <c r="AO27" i="14"/>
  <c r="AP27" i="14" s="1"/>
  <c r="AL27" i="14"/>
  <c r="AM27" i="14" s="1"/>
  <c r="AI27" i="14"/>
  <c r="AJ27" i="14" s="1"/>
  <c r="AF27" i="14"/>
  <c r="AG27" i="14" s="1"/>
  <c r="AC27" i="14"/>
  <c r="AD27" i="14" s="1"/>
  <c r="Z27" i="14"/>
  <c r="AA27" i="14" s="1"/>
  <c r="W27" i="14"/>
  <c r="X27" i="14" s="1"/>
  <c r="T27" i="14"/>
  <c r="U27" i="14" s="1"/>
  <c r="Q27" i="14"/>
  <c r="R27" i="14" s="1"/>
  <c r="N27" i="14"/>
  <c r="O27" i="14" s="1"/>
  <c r="K27" i="14"/>
  <c r="L27" i="14" s="1"/>
  <c r="H27" i="14"/>
  <c r="E27" i="14" s="1"/>
  <c r="D27" i="14"/>
  <c r="AO26" i="14"/>
  <c r="AP26" i="14" s="1"/>
  <c r="AL26" i="14"/>
  <c r="AM26" i="14" s="1"/>
  <c r="AI26" i="14"/>
  <c r="AJ26" i="14" s="1"/>
  <c r="AF26" i="14"/>
  <c r="AG26" i="14" s="1"/>
  <c r="AC26" i="14"/>
  <c r="AD26" i="14" s="1"/>
  <c r="Z26" i="14"/>
  <c r="AA26" i="14" s="1"/>
  <c r="W26" i="14"/>
  <c r="X26" i="14" s="1"/>
  <c r="T26" i="14"/>
  <c r="U26" i="14" s="1"/>
  <c r="Q26" i="14"/>
  <c r="R26" i="14" s="1"/>
  <c r="N26" i="14"/>
  <c r="O26" i="14" s="1"/>
  <c r="K26" i="14"/>
  <c r="L26" i="14" s="1"/>
  <c r="H26" i="14"/>
  <c r="E26" i="14" s="1"/>
  <c r="D26" i="14"/>
  <c r="AO25" i="14"/>
  <c r="AP25" i="14" s="1"/>
  <c r="AL25" i="14"/>
  <c r="AM25" i="14" s="1"/>
  <c r="AI25" i="14"/>
  <c r="AJ25" i="14" s="1"/>
  <c r="AF25" i="14"/>
  <c r="AG25" i="14" s="1"/>
  <c r="AC25" i="14"/>
  <c r="AD25" i="14" s="1"/>
  <c r="Z25" i="14"/>
  <c r="AA25" i="14" s="1"/>
  <c r="W25" i="14"/>
  <c r="X25" i="14" s="1"/>
  <c r="T25" i="14"/>
  <c r="U25" i="14" s="1"/>
  <c r="Q25" i="14"/>
  <c r="R25" i="14" s="1"/>
  <c r="N25" i="14"/>
  <c r="O25" i="14" s="1"/>
  <c r="K25" i="14"/>
  <c r="L25" i="14" s="1"/>
  <c r="H25" i="14"/>
  <c r="I25" i="14" s="1"/>
  <c r="D25" i="14"/>
  <c r="AO24" i="14"/>
  <c r="AP24" i="14" s="1"/>
  <c r="AL24" i="14"/>
  <c r="AM24" i="14" s="1"/>
  <c r="AI24" i="14"/>
  <c r="AJ24" i="14" s="1"/>
  <c r="AF24" i="14"/>
  <c r="AG24" i="14" s="1"/>
  <c r="AC24" i="14"/>
  <c r="AD24" i="14" s="1"/>
  <c r="Z24" i="14"/>
  <c r="AA24" i="14" s="1"/>
  <c r="W24" i="14"/>
  <c r="X24" i="14" s="1"/>
  <c r="T24" i="14"/>
  <c r="U24" i="14" s="1"/>
  <c r="Q24" i="14"/>
  <c r="R24" i="14" s="1"/>
  <c r="N24" i="14"/>
  <c r="O24" i="14" s="1"/>
  <c r="K24" i="14"/>
  <c r="L24" i="14" s="1"/>
  <c r="H24" i="14"/>
  <c r="I24" i="14" s="1"/>
  <c r="D24" i="14"/>
  <c r="AO23" i="14"/>
  <c r="AP23" i="14" s="1"/>
  <c r="AL23" i="14"/>
  <c r="AM23" i="14" s="1"/>
  <c r="AI23" i="14"/>
  <c r="AJ23" i="14" s="1"/>
  <c r="AF23" i="14"/>
  <c r="AG23" i="14" s="1"/>
  <c r="AC23" i="14"/>
  <c r="AD23" i="14" s="1"/>
  <c r="Z23" i="14"/>
  <c r="AA23" i="14" s="1"/>
  <c r="W23" i="14"/>
  <c r="X23" i="14" s="1"/>
  <c r="T23" i="14"/>
  <c r="U23" i="14" s="1"/>
  <c r="Q23" i="14"/>
  <c r="R23" i="14" s="1"/>
  <c r="N23" i="14"/>
  <c r="O23" i="14" s="1"/>
  <c r="K23" i="14"/>
  <c r="L23" i="14" s="1"/>
  <c r="H23" i="14"/>
  <c r="I23" i="14" s="1"/>
  <c r="D23" i="14"/>
  <c r="AO22" i="14"/>
  <c r="AP22" i="14" s="1"/>
  <c r="AL22" i="14"/>
  <c r="AM22" i="14" s="1"/>
  <c r="AI22" i="14"/>
  <c r="AJ22" i="14" s="1"/>
  <c r="AF22" i="14"/>
  <c r="AG22" i="14" s="1"/>
  <c r="AC22" i="14"/>
  <c r="AD22" i="14" s="1"/>
  <c r="Z22" i="14"/>
  <c r="AA22" i="14" s="1"/>
  <c r="W22" i="14"/>
  <c r="X22" i="14" s="1"/>
  <c r="T22" i="14"/>
  <c r="U22" i="14" s="1"/>
  <c r="Q22" i="14"/>
  <c r="R22" i="14" s="1"/>
  <c r="N22" i="14"/>
  <c r="O22" i="14" s="1"/>
  <c r="K22" i="14"/>
  <c r="L22" i="14" s="1"/>
  <c r="H22" i="14"/>
  <c r="E22" i="14" s="1"/>
  <c r="D22" i="14"/>
  <c r="AO21" i="14"/>
  <c r="AP21" i="14" s="1"/>
  <c r="AL21" i="14"/>
  <c r="AM21" i="14" s="1"/>
  <c r="AI21" i="14"/>
  <c r="AJ21" i="14" s="1"/>
  <c r="AF21" i="14"/>
  <c r="AG21" i="14" s="1"/>
  <c r="AC21" i="14"/>
  <c r="AD21" i="14" s="1"/>
  <c r="Z21" i="14"/>
  <c r="AA21" i="14" s="1"/>
  <c r="W21" i="14"/>
  <c r="X21" i="14" s="1"/>
  <c r="T21" i="14"/>
  <c r="U21" i="14" s="1"/>
  <c r="Q21" i="14"/>
  <c r="R21" i="14" s="1"/>
  <c r="N21" i="14"/>
  <c r="O21" i="14" s="1"/>
  <c r="K21" i="14"/>
  <c r="L21" i="14" s="1"/>
  <c r="H21" i="14"/>
  <c r="D21" i="14"/>
  <c r="AO20" i="14"/>
  <c r="AP20" i="14" s="1"/>
  <c r="AL20" i="14"/>
  <c r="AM20" i="14" s="1"/>
  <c r="AI20" i="14"/>
  <c r="AJ20" i="14" s="1"/>
  <c r="AF20" i="14"/>
  <c r="AG20" i="14" s="1"/>
  <c r="AC20" i="14"/>
  <c r="AD20" i="14" s="1"/>
  <c r="Z20" i="14"/>
  <c r="AA20" i="14" s="1"/>
  <c r="W20" i="14"/>
  <c r="X20" i="14" s="1"/>
  <c r="T20" i="14"/>
  <c r="U20" i="14" s="1"/>
  <c r="Q20" i="14"/>
  <c r="R20" i="14" s="1"/>
  <c r="N20" i="14"/>
  <c r="O20" i="14" s="1"/>
  <c r="K20" i="14"/>
  <c r="L20" i="14" s="1"/>
  <c r="H20" i="14"/>
  <c r="D20" i="14"/>
  <c r="AO19" i="14"/>
  <c r="AP19" i="14" s="1"/>
  <c r="AL19" i="14"/>
  <c r="AM19" i="14" s="1"/>
  <c r="AI19" i="14"/>
  <c r="AJ19" i="14" s="1"/>
  <c r="AF19" i="14"/>
  <c r="AG19" i="14" s="1"/>
  <c r="AC19" i="14"/>
  <c r="AD19" i="14" s="1"/>
  <c r="Z19" i="14"/>
  <c r="AA19" i="14" s="1"/>
  <c r="W19" i="14"/>
  <c r="X19" i="14" s="1"/>
  <c r="T19" i="14"/>
  <c r="U19" i="14" s="1"/>
  <c r="Q19" i="14"/>
  <c r="R19" i="14" s="1"/>
  <c r="N19" i="14"/>
  <c r="O19" i="14" s="1"/>
  <c r="K19" i="14"/>
  <c r="L19" i="14" s="1"/>
  <c r="H19" i="14"/>
  <c r="I19" i="14" s="1"/>
  <c r="D19" i="14"/>
  <c r="AO18" i="14"/>
  <c r="AP18" i="14" s="1"/>
  <c r="AL18" i="14"/>
  <c r="AM18" i="14" s="1"/>
  <c r="AI18" i="14"/>
  <c r="AJ18" i="14" s="1"/>
  <c r="AF18" i="14"/>
  <c r="AG18" i="14" s="1"/>
  <c r="AC18" i="14"/>
  <c r="AD18" i="14" s="1"/>
  <c r="Z18" i="14"/>
  <c r="AA18" i="14" s="1"/>
  <c r="W18" i="14"/>
  <c r="X18" i="14" s="1"/>
  <c r="T18" i="14"/>
  <c r="U18" i="14" s="1"/>
  <c r="Q18" i="14"/>
  <c r="R18" i="14" s="1"/>
  <c r="N18" i="14"/>
  <c r="O18" i="14" s="1"/>
  <c r="K18" i="14"/>
  <c r="L18" i="14" s="1"/>
  <c r="H18" i="14"/>
  <c r="E18" i="14" s="1"/>
  <c r="D18" i="14"/>
  <c r="AO17" i="14"/>
  <c r="AP17" i="14" s="1"/>
  <c r="AL17" i="14"/>
  <c r="AM17" i="14" s="1"/>
  <c r="AI17" i="14"/>
  <c r="AJ17" i="14" s="1"/>
  <c r="AF17" i="14"/>
  <c r="AG17" i="14" s="1"/>
  <c r="AC17" i="14"/>
  <c r="AD17" i="14" s="1"/>
  <c r="Z17" i="14"/>
  <c r="AA17" i="14" s="1"/>
  <c r="W17" i="14"/>
  <c r="X17" i="14" s="1"/>
  <c r="T17" i="14"/>
  <c r="U17" i="14" s="1"/>
  <c r="Q17" i="14"/>
  <c r="R17" i="14" s="1"/>
  <c r="N17" i="14"/>
  <c r="O17" i="14" s="1"/>
  <c r="K17" i="14"/>
  <c r="L17" i="14" s="1"/>
  <c r="H17" i="14"/>
  <c r="E17" i="14" s="1"/>
  <c r="D17" i="14"/>
  <c r="AO16" i="14"/>
  <c r="AP16" i="14" s="1"/>
  <c r="AL16" i="14"/>
  <c r="AM16" i="14" s="1"/>
  <c r="AI16" i="14"/>
  <c r="AJ16" i="14" s="1"/>
  <c r="AF16" i="14"/>
  <c r="AG16" i="14" s="1"/>
  <c r="AC16" i="14"/>
  <c r="AD16" i="14" s="1"/>
  <c r="Z16" i="14"/>
  <c r="AA16" i="14" s="1"/>
  <c r="W16" i="14"/>
  <c r="X16" i="14" s="1"/>
  <c r="T16" i="14"/>
  <c r="U16" i="14" s="1"/>
  <c r="Q16" i="14"/>
  <c r="R16" i="14" s="1"/>
  <c r="N16" i="14"/>
  <c r="O16" i="14" s="1"/>
  <c r="K16" i="14"/>
  <c r="L16" i="14" s="1"/>
  <c r="H16" i="14"/>
  <c r="I16" i="14" s="1"/>
  <c r="D16" i="14"/>
  <c r="AO15" i="14"/>
  <c r="AP15" i="14" s="1"/>
  <c r="AL15" i="14"/>
  <c r="AM15" i="14" s="1"/>
  <c r="AI15" i="14"/>
  <c r="AJ15" i="14" s="1"/>
  <c r="AF15" i="14"/>
  <c r="AG15" i="14" s="1"/>
  <c r="AC15" i="14"/>
  <c r="AD15" i="14" s="1"/>
  <c r="Z15" i="14"/>
  <c r="AA15" i="14" s="1"/>
  <c r="W15" i="14"/>
  <c r="X15" i="14" s="1"/>
  <c r="T15" i="14"/>
  <c r="U15" i="14" s="1"/>
  <c r="Q15" i="14"/>
  <c r="R15" i="14" s="1"/>
  <c r="N15" i="14"/>
  <c r="O15" i="14" s="1"/>
  <c r="K15" i="14"/>
  <c r="L15" i="14" s="1"/>
  <c r="H15" i="14"/>
  <c r="I15" i="14" s="1"/>
  <c r="D15" i="14"/>
  <c r="AO14" i="14"/>
  <c r="AP14" i="14" s="1"/>
  <c r="AL14" i="14"/>
  <c r="AM14" i="14" s="1"/>
  <c r="AI14" i="14"/>
  <c r="AJ14" i="14" s="1"/>
  <c r="AF14" i="14"/>
  <c r="AG14" i="14" s="1"/>
  <c r="AC14" i="14"/>
  <c r="AD14" i="14" s="1"/>
  <c r="Z14" i="14"/>
  <c r="AA14" i="14" s="1"/>
  <c r="W14" i="14"/>
  <c r="X14" i="14" s="1"/>
  <c r="T14" i="14"/>
  <c r="U14" i="14" s="1"/>
  <c r="Q14" i="14"/>
  <c r="R14" i="14" s="1"/>
  <c r="N14" i="14"/>
  <c r="O14" i="14" s="1"/>
  <c r="K14" i="14"/>
  <c r="L14" i="14" s="1"/>
  <c r="H14" i="14"/>
  <c r="E14" i="14" s="1"/>
  <c r="D14" i="14"/>
  <c r="AO13" i="14"/>
  <c r="AP13" i="14" s="1"/>
  <c r="AL13" i="14"/>
  <c r="AM13" i="14" s="1"/>
  <c r="AI13" i="14"/>
  <c r="AJ13" i="14" s="1"/>
  <c r="AF13" i="14"/>
  <c r="AG13" i="14" s="1"/>
  <c r="AC13" i="14"/>
  <c r="AD13" i="14" s="1"/>
  <c r="Z13" i="14"/>
  <c r="AA13" i="14" s="1"/>
  <c r="W13" i="14"/>
  <c r="X13" i="14" s="1"/>
  <c r="T13" i="14"/>
  <c r="U13" i="14" s="1"/>
  <c r="Q13" i="14"/>
  <c r="R13" i="14" s="1"/>
  <c r="N13" i="14"/>
  <c r="O13" i="14" s="1"/>
  <c r="K13" i="14"/>
  <c r="L13" i="14" s="1"/>
  <c r="H13" i="14"/>
  <c r="D13" i="14"/>
  <c r="AO12" i="14"/>
  <c r="AP12" i="14" s="1"/>
  <c r="AL12" i="14"/>
  <c r="AM12" i="14" s="1"/>
  <c r="AI12" i="14"/>
  <c r="AJ12" i="14" s="1"/>
  <c r="AF12" i="14"/>
  <c r="AG12" i="14" s="1"/>
  <c r="AC12" i="14"/>
  <c r="AD12" i="14" s="1"/>
  <c r="Z12" i="14"/>
  <c r="AA12" i="14" s="1"/>
  <c r="W12" i="14"/>
  <c r="X12" i="14" s="1"/>
  <c r="T12" i="14"/>
  <c r="U12" i="14" s="1"/>
  <c r="Q12" i="14"/>
  <c r="R12" i="14" s="1"/>
  <c r="N12" i="14"/>
  <c r="O12" i="14" s="1"/>
  <c r="K12" i="14"/>
  <c r="L12" i="14" s="1"/>
  <c r="H12" i="14"/>
  <c r="D12" i="14"/>
  <c r="AO11" i="14"/>
  <c r="AP11" i="14" s="1"/>
  <c r="AL11" i="14"/>
  <c r="AM11" i="14" s="1"/>
  <c r="AI11" i="14"/>
  <c r="AJ11" i="14" s="1"/>
  <c r="AF11" i="14"/>
  <c r="AG11" i="14" s="1"/>
  <c r="AC11" i="14"/>
  <c r="AD11" i="14" s="1"/>
  <c r="Z11" i="14"/>
  <c r="AA11" i="14" s="1"/>
  <c r="W11" i="14"/>
  <c r="X11" i="14" s="1"/>
  <c r="T11" i="14"/>
  <c r="U11" i="14" s="1"/>
  <c r="Q11" i="14"/>
  <c r="R11" i="14" s="1"/>
  <c r="N11" i="14"/>
  <c r="O11" i="14" s="1"/>
  <c r="K11" i="14"/>
  <c r="L11" i="14" s="1"/>
  <c r="H11" i="14"/>
  <c r="I11" i="14" s="1"/>
  <c r="D11" i="14"/>
  <c r="AO10" i="14"/>
  <c r="AP10" i="14" s="1"/>
  <c r="AL10" i="14"/>
  <c r="AM10" i="14" s="1"/>
  <c r="AI10" i="14"/>
  <c r="AJ10" i="14" s="1"/>
  <c r="AF10" i="14"/>
  <c r="AG10" i="14" s="1"/>
  <c r="AC10" i="14"/>
  <c r="AD10" i="14" s="1"/>
  <c r="Z10" i="14"/>
  <c r="AA10" i="14" s="1"/>
  <c r="W10" i="14"/>
  <c r="X10" i="14" s="1"/>
  <c r="T10" i="14"/>
  <c r="U10" i="14" s="1"/>
  <c r="Q10" i="14"/>
  <c r="R10" i="14" s="1"/>
  <c r="N10" i="14"/>
  <c r="O10" i="14" s="1"/>
  <c r="K10" i="14"/>
  <c r="L10" i="14" s="1"/>
  <c r="H10" i="14"/>
  <c r="E10" i="14" s="1"/>
  <c r="D10" i="14"/>
  <c r="AO9" i="14"/>
  <c r="AP9" i="14" s="1"/>
  <c r="AL9" i="14"/>
  <c r="AM9" i="14" s="1"/>
  <c r="AI9" i="14"/>
  <c r="AJ9" i="14" s="1"/>
  <c r="AF9" i="14"/>
  <c r="AG9" i="14" s="1"/>
  <c r="AC9" i="14"/>
  <c r="AD9" i="14" s="1"/>
  <c r="Z9" i="14"/>
  <c r="AA9" i="14" s="1"/>
  <c r="W9" i="14"/>
  <c r="X9" i="14" s="1"/>
  <c r="T9" i="14"/>
  <c r="U9" i="14" s="1"/>
  <c r="Q9" i="14"/>
  <c r="R9" i="14" s="1"/>
  <c r="N9" i="14"/>
  <c r="O9" i="14" s="1"/>
  <c r="K9" i="14"/>
  <c r="L9" i="14" s="1"/>
  <c r="H9" i="14"/>
  <c r="I9" i="14" s="1"/>
  <c r="D9" i="14"/>
  <c r="AO8" i="14"/>
  <c r="AP8" i="14" s="1"/>
  <c r="AL8" i="14"/>
  <c r="AM8" i="14" s="1"/>
  <c r="AI8" i="14"/>
  <c r="AJ8" i="14" s="1"/>
  <c r="AF8" i="14"/>
  <c r="AG8" i="14" s="1"/>
  <c r="AC8" i="14"/>
  <c r="AD8" i="14" s="1"/>
  <c r="Z8" i="14"/>
  <c r="AA8" i="14" s="1"/>
  <c r="W8" i="14"/>
  <c r="X8" i="14" s="1"/>
  <c r="T8" i="14"/>
  <c r="U8" i="14" s="1"/>
  <c r="Q8" i="14"/>
  <c r="R8" i="14" s="1"/>
  <c r="N8" i="14"/>
  <c r="O8" i="14" s="1"/>
  <c r="K8" i="14"/>
  <c r="L8" i="14" s="1"/>
  <c r="H8" i="14"/>
  <c r="I8" i="14" s="1"/>
  <c r="D8" i="14"/>
  <c r="AO7" i="14"/>
  <c r="AP7" i="14" s="1"/>
  <c r="AL7" i="14"/>
  <c r="AM7" i="14" s="1"/>
  <c r="AI7" i="14"/>
  <c r="AJ7" i="14" s="1"/>
  <c r="AF7" i="14"/>
  <c r="AG7" i="14" s="1"/>
  <c r="AC7" i="14"/>
  <c r="AD7" i="14" s="1"/>
  <c r="Z7" i="14"/>
  <c r="AA7" i="14" s="1"/>
  <c r="W7" i="14"/>
  <c r="X7" i="14" s="1"/>
  <c r="T7" i="14"/>
  <c r="U7" i="14" s="1"/>
  <c r="Q7" i="14"/>
  <c r="R7" i="14" s="1"/>
  <c r="N7" i="14"/>
  <c r="O7" i="14" s="1"/>
  <c r="K7" i="14"/>
  <c r="L7" i="14" s="1"/>
  <c r="H7" i="14"/>
  <c r="E7" i="14" s="1"/>
  <c r="D7" i="14"/>
  <c r="AO6" i="14"/>
  <c r="AP6" i="14" s="1"/>
  <c r="AL6" i="14"/>
  <c r="AM6" i="14" s="1"/>
  <c r="AI6" i="14"/>
  <c r="AJ6" i="14" s="1"/>
  <c r="AF6" i="14"/>
  <c r="AG6" i="14" s="1"/>
  <c r="AC6" i="14"/>
  <c r="AD6" i="14" s="1"/>
  <c r="Z6" i="14"/>
  <c r="AA6" i="14" s="1"/>
  <c r="W6" i="14"/>
  <c r="X6" i="14" s="1"/>
  <c r="T6" i="14"/>
  <c r="U6" i="14" s="1"/>
  <c r="Q6" i="14"/>
  <c r="R6" i="14" s="1"/>
  <c r="N6" i="14"/>
  <c r="O6" i="14" s="1"/>
  <c r="K6" i="14"/>
  <c r="L6" i="14" s="1"/>
  <c r="H6" i="14"/>
  <c r="E6" i="14" s="1"/>
  <c r="D6" i="14"/>
  <c r="AO5" i="14"/>
  <c r="AP5" i="14" s="1"/>
  <c r="AL5" i="14"/>
  <c r="AM5" i="14" s="1"/>
  <c r="AI5" i="14"/>
  <c r="AJ5" i="14" s="1"/>
  <c r="AF5" i="14"/>
  <c r="AG5" i="14" s="1"/>
  <c r="AC5" i="14"/>
  <c r="AD5" i="14" s="1"/>
  <c r="Z5" i="14"/>
  <c r="AA5" i="14" s="1"/>
  <c r="W5" i="14"/>
  <c r="X5" i="14" s="1"/>
  <c r="T5" i="14"/>
  <c r="U5" i="14" s="1"/>
  <c r="Q5" i="14"/>
  <c r="R5" i="14" s="1"/>
  <c r="N5" i="14"/>
  <c r="O5" i="14" s="1"/>
  <c r="K5" i="14"/>
  <c r="L5" i="14" s="1"/>
  <c r="H5" i="14"/>
  <c r="E5" i="14" s="1"/>
  <c r="D5" i="14"/>
  <c r="AO4" i="14"/>
  <c r="AP4" i="14" s="1"/>
  <c r="AL4" i="14"/>
  <c r="AM4" i="14" s="1"/>
  <c r="AI4" i="14"/>
  <c r="AJ4" i="14" s="1"/>
  <c r="AF4" i="14"/>
  <c r="AG4" i="14" s="1"/>
  <c r="AC4" i="14"/>
  <c r="AD4" i="14" s="1"/>
  <c r="Z4" i="14"/>
  <c r="AA4" i="14" s="1"/>
  <c r="W4" i="14"/>
  <c r="X4" i="14" s="1"/>
  <c r="T4" i="14"/>
  <c r="U4" i="14" s="1"/>
  <c r="Q4" i="14"/>
  <c r="R4" i="14" s="1"/>
  <c r="N4" i="14"/>
  <c r="O4" i="14" s="1"/>
  <c r="K4" i="14"/>
  <c r="L4" i="14" s="1"/>
  <c r="H4" i="14"/>
  <c r="I4" i="14" s="1"/>
  <c r="D4" i="14"/>
  <c r="D3" i="14"/>
  <c r="AN1" i="14"/>
  <c r="AK1" i="14"/>
  <c r="AH1" i="14"/>
  <c r="AE1" i="14"/>
  <c r="AB1" i="14"/>
  <c r="Y1" i="14"/>
  <c r="V1" i="14"/>
  <c r="S1" i="14"/>
  <c r="P1" i="14"/>
  <c r="M1" i="14"/>
  <c r="J1" i="14"/>
  <c r="G1" i="14"/>
  <c r="AO30" i="4"/>
  <c r="AP30" i="4" s="1"/>
  <c r="AL30" i="4"/>
  <c r="AM30" i="4" s="1"/>
  <c r="AI30" i="4"/>
  <c r="AJ30" i="4" s="1"/>
  <c r="AF30" i="4"/>
  <c r="AG30" i="4" s="1"/>
  <c r="AC30" i="4"/>
  <c r="AD30" i="4" s="1"/>
  <c r="Z30" i="4"/>
  <c r="AA30" i="4" s="1"/>
  <c r="W30" i="4"/>
  <c r="X30" i="4" s="1"/>
  <c r="T30" i="4"/>
  <c r="U30" i="4" s="1"/>
  <c r="Q30" i="4"/>
  <c r="R30" i="4" s="1"/>
  <c r="N30" i="4"/>
  <c r="O30" i="4" s="1"/>
  <c r="K30" i="4"/>
  <c r="L30" i="4" s="1"/>
  <c r="H30" i="4"/>
  <c r="D30" i="4"/>
  <c r="AO29" i="4"/>
  <c r="AP29" i="4" s="1"/>
  <c r="AL29" i="4"/>
  <c r="AM29" i="4" s="1"/>
  <c r="AI29" i="4"/>
  <c r="AJ29" i="4" s="1"/>
  <c r="AF29" i="4"/>
  <c r="AG29" i="4" s="1"/>
  <c r="AC29" i="4"/>
  <c r="AD29" i="4" s="1"/>
  <c r="Z29" i="4"/>
  <c r="AA29" i="4" s="1"/>
  <c r="W29" i="4"/>
  <c r="X29" i="4" s="1"/>
  <c r="T29" i="4"/>
  <c r="U29" i="4" s="1"/>
  <c r="Q29" i="4"/>
  <c r="R29" i="4" s="1"/>
  <c r="N29" i="4"/>
  <c r="O29" i="4" s="1"/>
  <c r="K29" i="4"/>
  <c r="L29" i="4" s="1"/>
  <c r="H29" i="4"/>
  <c r="I29" i="4" s="1"/>
  <c r="D29" i="4"/>
  <c r="AO28" i="4"/>
  <c r="AP28" i="4" s="1"/>
  <c r="AL28" i="4"/>
  <c r="AM28" i="4" s="1"/>
  <c r="AI28" i="4"/>
  <c r="AJ28" i="4" s="1"/>
  <c r="AF28" i="4"/>
  <c r="AG28" i="4" s="1"/>
  <c r="AC28" i="4"/>
  <c r="AD28" i="4" s="1"/>
  <c r="Z28" i="4"/>
  <c r="AA28" i="4" s="1"/>
  <c r="W28" i="4"/>
  <c r="X28" i="4" s="1"/>
  <c r="T28" i="4"/>
  <c r="U28" i="4" s="1"/>
  <c r="Q28" i="4"/>
  <c r="R28" i="4" s="1"/>
  <c r="N28" i="4"/>
  <c r="O28" i="4" s="1"/>
  <c r="K28" i="4"/>
  <c r="L28" i="4" s="1"/>
  <c r="H28" i="4"/>
  <c r="D28" i="4"/>
  <c r="AO27" i="4"/>
  <c r="AP27" i="4" s="1"/>
  <c r="AL27" i="4"/>
  <c r="AM27" i="4" s="1"/>
  <c r="AI27" i="4"/>
  <c r="AJ27" i="4" s="1"/>
  <c r="AF27" i="4"/>
  <c r="AG27" i="4" s="1"/>
  <c r="AC27" i="4"/>
  <c r="AD27" i="4" s="1"/>
  <c r="Z27" i="4"/>
  <c r="AA27" i="4" s="1"/>
  <c r="W27" i="4"/>
  <c r="X27" i="4" s="1"/>
  <c r="T27" i="4"/>
  <c r="U27" i="4" s="1"/>
  <c r="Q27" i="4"/>
  <c r="R27" i="4" s="1"/>
  <c r="N27" i="4"/>
  <c r="O27" i="4" s="1"/>
  <c r="K27" i="4"/>
  <c r="L27" i="4" s="1"/>
  <c r="H27" i="4"/>
  <c r="E27" i="4" s="1"/>
  <c r="D27" i="4"/>
  <c r="AO26" i="4"/>
  <c r="AP26" i="4" s="1"/>
  <c r="AL26" i="4"/>
  <c r="AM26" i="4" s="1"/>
  <c r="AI26" i="4"/>
  <c r="AJ26" i="4" s="1"/>
  <c r="AF26" i="4"/>
  <c r="AG26" i="4" s="1"/>
  <c r="AC26" i="4"/>
  <c r="AD26" i="4" s="1"/>
  <c r="Z26" i="4"/>
  <c r="AA26" i="4" s="1"/>
  <c r="W26" i="4"/>
  <c r="X26" i="4" s="1"/>
  <c r="T26" i="4"/>
  <c r="U26" i="4" s="1"/>
  <c r="Q26" i="4"/>
  <c r="R26" i="4" s="1"/>
  <c r="N26" i="4"/>
  <c r="O26" i="4" s="1"/>
  <c r="K26" i="4"/>
  <c r="L26" i="4" s="1"/>
  <c r="H26" i="4"/>
  <c r="D26" i="4"/>
  <c r="AO25" i="4"/>
  <c r="AP25" i="4" s="1"/>
  <c r="AL25" i="4"/>
  <c r="AM25" i="4" s="1"/>
  <c r="AI25" i="4"/>
  <c r="AJ25" i="4" s="1"/>
  <c r="AF25" i="4"/>
  <c r="AG25" i="4" s="1"/>
  <c r="AC25" i="4"/>
  <c r="AD25" i="4" s="1"/>
  <c r="Z25" i="4"/>
  <c r="AA25" i="4" s="1"/>
  <c r="W25" i="4"/>
  <c r="X25" i="4" s="1"/>
  <c r="T25" i="4"/>
  <c r="U25" i="4" s="1"/>
  <c r="Q25" i="4"/>
  <c r="R25" i="4" s="1"/>
  <c r="N25" i="4"/>
  <c r="O25" i="4" s="1"/>
  <c r="K25" i="4"/>
  <c r="L25" i="4" s="1"/>
  <c r="H25" i="4"/>
  <c r="I25" i="4" s="1"/>
  <c r="D25" i="4"/>
  <c r="AO24" i="4"/>
  <c r="AP24" i="4" s="1"/>
  <c r="AL24" i="4"/>
  <c r="AM24" i="4" s="1"/>
  <c r="AI24" i="4"/>
  <c r="AJ24" i="4" s="1"/>
  <c r="AF24" i="4"/>
  <c r="AG24" i="4" s="1"/>
  <c r="AC24" i="4"/>
  <c r="AD24" i="4" s="1"/>
  <c r="Z24" i="4"/>
  <c r="AA24" i="4" s="1"/>
  <c r="W24" i="4"/>
  <c r="X24" i="4" s="1"/>
  <c r="T24" i="4"/>
  <c r="U24" i="4" s="1"/>
  <c r="Q24" i="4"/>
  <c r="R24" i="4" s="1"/>
  <c r="N24" i="4"/>
  <c r="O24" i="4" s="1"/>
  <c r="K24" i="4"/>
  <c r="L24" i="4" s="1"/>
  <c r="H24" i="4"/>
  <c r="E24" i="4" s="1"/>
  <c r="D24" i="4"/>
  <c r="AO23" i="4"/>
  <c r="AP23" i="4" s="1"/>
  <c r="AL23" i="4"/>
  <c r="AM23" i="4" s="1"/>
  <c r="AI23" i="4"/>
  <c r="AJ23" i="4" s="1"/>
  <c r="AF23" i="4"/>
  <c r="AG23" i="4" s="1"/>
  <c r="AC23" i="4"/>
  <c r="AD23" i="4" s="1"/>
  <c r="Z23" i="4"/>
  <c r="AA23" i="4" s="1"/>
  <c r="W23" i="4"/>
  <c r="X23" i="4" s="1"/>
  <c r="T23" i="4"/>
  <c r="U23" i="4" s="1"/>
  <c r="Q23" i="4"/>
  <c r="R23" i="4" s="1"/>
  <c r="N23" i="4"/>
  <c r="O23" i="4" s="1"/>
  <c r="K23" i="4"/>
  <c r="L23" i="4" s="1"/>
  <c r="H23" i="4"/>
  <c r="E23" i="4" s="1"/>
  <c r="D23" i="4"/>
  <c r="AO22" i="4"/>
  <c r="AP22" i="4" s="1"/>
  <c r="AL22" i="4"/>
  <c r="AM22" i="4" s="1"/>
  <c r="AI22" i="4"/>
  <c r="AJ22" i="4" s="1"/>
  <c r="AF22" i="4"/>
  <c r="AG22" i="4" s="1"/>
  <c r="AC22" i="4"/>
  <c r="AD22" i="4" s="1"/>
  <c r="Z22" i="4"/>
  <c r="AA22" i="4" s="1"/>
  <c r="W22" i="4"/>
  <c r="X22" i="4" s="1"/>
  <c r="T22" i="4"/>
  <c r="U22" i="4" s="1"/>
  <c r="Q22" i="4"/>
  <c r="R22" i="4" s="1"/>
  <c r="N22" i="4"/>
  <c r="O22" i="4" s="1"/>
  <c r="K22" i="4"/>
  <c r="L22" i="4" s="1"/>
  <c r="H22" i="4"/>
  <c r="D22" i="4"/>
  <c r="AO21" i="4"/>
  <c r="AP21" i="4" s="1"/>
  <c r="AL21" i="4"/>
  <c r="AM21" i="4" s="1"/>
  <c r="AI21" i="4"/>
  <c r="AJ21" i="4" s="1"/>
  <c r="AF21" i="4"/>
  <c r="AG21" i="4" s="1"/>
  <c r="AC21" i="4"/>
  <c r="AD21" i="4" s="1"/>
  <c r="Z21" i="4"/>
  <c r="AA21" i="4" s="1"/>
  <c r="W21" i="4"/>
  <c r="X21" i="4" s="1"/>
  <c r="T21" i="4"/>
  <c r="U21" i="4" s="1"/>
  <c r="Q21" i="4"/>
  <c r="R21" i="4" s="1"/>
  <c r="N21" i="4"/>
  <c r="O21" i="4" s="1"/>
  <c r="K21" i="4"/>
  <c r="L21" i="4" s="1"/>
  <c r="H21" i="4"/>
  <c r="I21" i="4" s="1"/>
  <c r="D21" i="4"/>
  <c r="AO20" i="4"/>
  <c r="AP20" i="4" s="1"/>
  <c r="AL20" i="4"/>
  <c r="AM20" i="4" s="1"/>
  <c r="AI20" i="4"/>
  <c r="AJ20" i="4" s="1"/>
  <c r="AF20" i="4"/>
  <c r="AG20" i="4" s="1"/>
  <c r="AC20" i="4"/>
  <c r="AD20" i="4" s="1"/>
  <c r="Z20" i="4"/>
  <c r="AA20" i="4" s="1"/>
  <c r="W20" i="4"/>
  <c r="X20" i="4" s="1"/>
  <c r="T20" i="4"/>
  <c r="U20" i="4" s="1"/>
  <c r="Q20" i="4"/>
  <c r="R20" i="4" s="1"/>
  <c r="N20" i="4"/>
  <c r="O20" i="4" s="1"/>
  <c r="K20" i="4"/>
  <c r="L20" i="4" s="1"/>
  <c r="H20" i="4"/>
  <c r="E20" i="4" s="1"/>
  <c r="D20" i="4"/>
  <c r="AO19" i="4"/>
  <c r="AP19" i="4" s="1"/>
  <c r="AL19" i="4"/>
  <c r="AM19" i="4" s="1"/>
  <c r="AI19" i="4"/>
  <c r="AJ19" i="4" s="1"/>
  <c r="AF19" i="4"/>
  <c r="AG19" i="4" s="1"/>
  <c r="AC19" i="4"/>
  <c r="AD19" i="4" s="1"/>
  <c r="Z19" i="4"/>
  <c r="AA19" i="4" s="1"/>
  <c r="W19" i="4"/>
  <c r="X19" i="4" s="1"/>
  <c r="T19" i="4"/>
  <c r="U19" i="4" s="1"/>
  <c r="Q19" i="4"/>
  <c r="R19" i="4" s="1"/>
  <c r="N19" i="4"/>
  <c r="O19" i="4" s="1"/>
  <c r="K19" i="4"/>
  <c r="L19" i="4" s="1"/>
  <c r="H19" i="4"/>
  <c r="E19" i="4" s="1"/>
  <c r="D19" i="4"/>
  <c r="AO18" i="4"/>
  <c r="AP18" i="4" s="1"/>
  <c r="AL18" i="4"/>
  <c r="AM18" i="4" s="1"/>
  <c r="AI18" i="4"/>
  <c r="AJ18" i="4" s="1"/>
  <c r="AF18" i="4"/>
  <c r="AG18" i="4" s="1"/>
  <c r="AC18" i="4"/>
  <c r="AD18" i="4" s="1"/>
  <c r="Z18" i="4"/>
  <c r="AA18" i="4" s="1"/>
  <c r="W18" i="4"/>
  <c r="X18" i="4" s="1"/>
  <c r="T18" i="4"/>
  <c r="U18" i="4" s="1"/>
  <c r="Q18" i="4"/>
  <c r="R18" i="4" s="1"/>
  <c r="N18" i="4"/>
  <c r="O18" i="4" s="1"/>
  <c r="K18" i="4"/>
  <c r="L18" i="4" s="1"/>
  <c r="H18" i="4"/>
  <c r="D18" i="4"/>
  <c r="AO17" i="4"/>
  <c r="AP17" i="4" s="1"/>
  <c r="AL17" i="4"/>
  <c r="AM17" i="4" s="1"/>
  <c r="AI17" i="4"/>
  <c r="AJ17" i="4" s="1"/>
  <c r="AF17" i="4"/>
  <c r="AG17" i="4" s="1"/>
  <c r="AC17" i="4"/>
  <c r="AD17" i="4" s="1"/>
  <c r="Z17" i="4"/>
  <c r="AA17" i="4" s="1"/>
  <c r="W17" i="4"/>
  <c r="X17" i="4" s="1"/>
  <c r="T17" i="4"/>
  <c r="U17" i="4" s="1"/>
  <c r="Q17" i="4"/>
  <c r="R17" i="4" s="1"/>
  <c r="N17" i="4"/>
  <c r="O17" i="4" s="1"/>
  <c r="K17" i="4"/>
  <c r="L17" i="4" s="1"/>
  <c r="H17" i="4"/>
  <c r="I17" i="4" s="1"/>
  <c r="D17" i="4"/>
  <c r="AO16" i="4"/>
  <c r="AP16" i="4" s="1"/>
  <c r="AL16" i="4"/>
  <c r="AM16" i="4" s="1"/>
  <c r="AI16" i="4"/>
  <c r="AJ16" i="4" s="1"/>
  <c r="AF16" i="4"/>
  <c r="AG16" i="4" s="1"/>
  <c r="AC16" i="4"/>
  <c r="AD16" i="4" s="1"/>
  <c r="Z16" i="4"/>
  <c r="AA16" i="4" s="1"/>
  <c r="W16" i="4"/>
  <c r="X16" i="4" s="1"/>
  <c r="T16" i="4"/>
  <c r="U16" i="4" s="1"/>
  <c r="Q16" i="4"/>
  <c r="R16" i="4" s="1"/>
  <c r="N16" i="4"/>
  <c r="O16" i="4" s="1"/>
  <c r="K16" i="4"/>
  <c r="L16" i="4" s="1"/>
  <c r="H16" i="4"/>
  <c r="E16" i="4" s="1"/>
  <c r="D16" i="4"/>
  <c r="AO15" i="4"/>
  <c r="AP15" i="4" s="1"/>
  <c r="AL15" i="4"/>
  <c r="AM15" i="4" s="1"/>
  <c r="AI15" i="4"/>
  <c r="AJ15" i="4" s="1"/>
  <c r="AF15" i="4"/>
  <c r="AG15" i="4" s="1"/>
  <c r="AC15" i="4"/>
  <c r="AD15" i="4" s="1"/>
  <c r="Z15" i="4"/>
  <c r="AA15" i="4" s="1"/>
  <c r="W15" i="4"/>
  <c r="X15" i="4" s="1"/>
  <c r="T15" i="4"/>
  <c r="U15" i="4" s="1"/>
  <c r="Q15" i="4"/>
  <c r="R15" i="4" s="1"/>
  <c r="N15" i="4"/>
  <c r="O15" i="4" s="1"/>
  <c r="K15" i="4"/>
  <c r="L15" i="4" s="1"/>
  <c r="H15" i="4"/>
  <c r="E15" i="4" s="1"/>
  <c r="D15" i="4"/>
  <c r="AO14" i="4"/>
  <c r="AP14" i="4" s="1"/>
  <c r="AL14" i="4"/>
  <c r="AM14" i="4" s="1"/>
  <c r="AI14" i="4"/>
  <c r="AJ14" i="4" s="1"/>
  <c r="AF14" i="4"/>
  <c r="AG14" i="4" s="1"/>
  <c r="AC14" i="4"/>
  <c r="AD14" i="4" s="1"/>
  <c r="Z14" i="4"/>
  <c r="AA14" i="4" s="1"/>
  <c r="W14" i="4"/>
  <c r="X14" i="4" s="1"/>
  <c r="T14" i="4"/>
  <c r="U14" i="4" s="1"/>
  <c r="Q14" i="4"/>
  <c r="R14" i="4" s="1"/>
  <c r="N14" i="4"/>
  <c r="O14" i="4" s="1"/>
  <c r="K14" i="4"/>
  <c r="L14" i="4" s="1"/>
  <c r="H14" i="4"/>
  <c r="D14" i="4"/>
  <c r="AO13" i="4"/>
  <c r="AP13" i="4" s="1"/>
  <c r="AL13" i="4"/>
  <c r="AM13" i="4" s="1"/>
  <c r="AI13" i="4"/>
  <c r="AJ13" i="4" s="1"/>
  <c r="AF13" i="4"/>
  <c r="AG13" i="4" s="1"/>
  <c r="AC13" i="4"/>
  <c r="AD13" i="4" s="1"/>
  <c r="Z13" i="4"/>
  <c r="AA13" i="4" s="1"/>
  <c r="W13" i="4"/>
  <c r="X13" i="4" s="1"/>
  <c r="T13" i="4"/>
  <c r="U13" i="4" s="1"/>
  <c r="Q13" i="4"/>
  <c r="R13" i="4" s="1"/>
  <c r="N13" i="4"/>
  <c r="O13" i="4" s="1"/>
  <c r="K13" i="4"/>
  <c r="L13" i="4" s="1"/>
  <c r="H13" i="4"/>
  <c r="I13" i="4" s="1"/>
  <c r="D13" i="4"/>
  <c r="AO12" i="4"/>
  <c r="AP12" i="4" s="1"/>
  <c r="AL12" i="4"/>
  <c r="AM12" i="4" s="1"/>
  <c r="AI12" i="4"/>
  <c r="AJ12" i="4" s="1"/>
  <c r="AF12" i="4"/>
  <c r="AG12" i="4" s="1"/>
  <c r="AC12" i="4"/>
  <c r="AD12" i="4" s="1"/>
  <c r="Z12" i="4"/>
  <c r="AA12" i="4" s="1"/>
  <c r="W12" i="4"/>
  <c r="X12" i="4" s="1"/>
  <c r="T12" i="4"/>
  <c r="U12" i="4" s="1"/>
  <c r="Q12" i="4"/>
  <c r="R12" i="4" s="1"/>
  <c r="N12" i="4"/>
  <c r="O12" i="4" s="1"/>
  <c r="K12" i="4"/>
  <c r="L12" i="4" s="1"/>
  <c r="H12" i="4"/>
  <c r="E12" i="4" s="1"/>
  <c r="D12" i="4"/>
  <c r="AO11" i="4"/>
  <c r="AP11" i="4" s="1"/>
  <c r="AL11" i="4"/>
  <c r="AM11" i="4" s="1"/>
  <c r="AI11" i="4"/>
  <c r="AJ11" i="4" s="1"/>
  <c r="AF11" i="4"/>
  <c r="AG11" i="4" s="1"/>
  <c r="AC11" i="4"/>
  <c r="AD11" i="4" s="1"/>
  <c r="Z11" i="4"/>
  <c r="AA11" i="4" s="1"/>
  <c r="W11" i="4"/>
  <c r="X11" i="4" s="1"/>
  <c r="T11" i="4"/>
  <c r="U11" i="4" s="1"/>
  <c r="Q11" i="4"/>
  <c r="R11" i="4" s="1"/>
  <c r="N11" i="4"/>
  <c r="O11" i="4" s="1"/>
  <c r="K11" i="4"/>
  <c r="L11" i="4" s="1"/>
  <c r="H11" i="4"/>
  <c r="E11" i="4" s="1"/>
  <c r="D11" i="4"/>
  <c r="AO10" i="4"/>
  <c r="AP10" i="4" s="1"/>
  <c r="AL10" i="4"/>
  <c r="AM10" i="4" s="1"/>
  <c r="AI10" i="4"/>
  <c r="AJ10" i="4" s="1"/>
  <c r="AF10" i="4"/>
  <c r="AG10" i="4" s="1"/>
  <c r="AC10" i="4"/>
  <c r="AD10" i="4" s="1"/>
  <c r="Z10" i="4"/>
  <c r="AA10" i="4" s="1"/>
  <c r="W10" i="4"/>
  <c r="X10" i="4" s="1"/>
  <c r="T10" i="4"/>
  <c r="U10" i="4" s="1"/>
  <c r="Q10" i="4"/>
  <c r="R10" i="4" s="1"/>
  <c r="N10" i="4"/>
  <c r="O10" i="4" s="1"/>
  <c r="K10" i="4"/>
  <c r="L10" i="4" s="1"/>
  <c r="H10" i="4"/>
  <c r="D10" i="4"/>
  <c r="AO9" i="4"/>
  <c r="AP9" i="4" s="1"/>
  <c r="AL9" i="4"/>
  <c r="AM9" i="4" s="1"/>
  <c r="AI9" i="4"/>
  <c r="AJ9" i="4" s="1"/>
  <c r="AF9" i="4"/>
  <c r="AG9" i="4" s="1"/>
  <c r="AC9" i="4"/>
  <c r="AD9" i="4" s="1"/>
  <c r="Z9" i="4"/>
  <c r="AA9" i="4" s="1"/>
  <c r="W9" i="4"/>
  <c r="X9" i="4" s="1"/>
  <c r="T9" i="4"/>
  <c r="U9" i="4" s="1"/>
  <c r="Q9" i="4"/>
  <c r="R9" i="4" s="1"/>
  <c r="N9" i="4"/>
  <c r="O9" i="4" s="1"/>
  <c r="K9" i="4"/>
  <c r="L9" i="4" s="1"/>
  <c r="H9" i="4"/>
  <c r="I9" i="4" s="1"/>
  <c r="D9" i="4"/>
  <c r="AO8" i="4"/>
  <c r="AP8" i="4" s="1"/>
  <c r="AL8" i="4"/>
  <c r="AM8" i="4" s="1"/>
  <c r="AI8" i="4"/>
  <c r="AJ8" i="4" s="1"/>
  <c r="AF8" i="4"/>
  <c r="AG8" i="4" s="1"/>
  <c r="AC8" i="4"/>
  <c r="AD8" i="4" s="1"/>
  <c r="Z8" i="4"/>
  <c r="AA8" i="4" s="1"/>
  <c r="W8" i="4"/>
  <c r="X8" i="4" s="1"/>
  <c r="T8" i="4"/>
  <c r="U8" i="4" s="1"/>
  <c r="Q8" i="4"/>
  <c r="R8" i="4" s="1"/>
  <c r="N8" i="4"/>
  <c r="O8" i="4" s="1"/>
  <c r="K8" i="4"/>
  <c r="L8" i="4" s="1"/>
  <c r="H8" i="4"/>
  <c r="E8" i="4" s="1"/>
  <c r="D8" i="4"/>
  <c r="AO7" i="4"/>
  <c r="AP7" i="4" s="1"/>
  <c r="AL7" i="4"/>
  <c r="AM7" i="4" s="1"/>
  <c r="AI7" i="4"/>
  <c r="AJ7" i="4" s="1"/>
  <c r="AF7" i="4"/>
  <c r="AG7" i="4" s="1"/>
  <c r="AC7" i="4"/>
  <c r="AD7" i="4" s="1"/>
  <c r="Z7" i="4"/>
  <c r="AA7" i="4" s="1"/>
  <c r="W7" i="4"/>
  <c r="X7" i="4" s="1"/>
  <c r="T7" i="4"/>
  <c r="U7" i="4" s="1"/>
  <c r="Q7" i="4"/>
  <c r="R7" i="4" s="1"/>
  <c r="N7" i="4"/>
  <c r="O7" i="4" s="1"/>
  <c r="K7" i="4"/>
  <c r="L7" i="4" s="1"/>
  <c r="H7" i="4"/>
  <c r="E7" i="4" s="1"/>
  <c r="D7" i="4"/>
  <c r="AO6" i="4"/>
  <c r="AP6" i="4" s="1"/>
  <c r="AL6" i="4"/>
  <c r="AM6" i="4" s="1"/>
  <c r="AI6" i="4"/>
  <c r="AJ6" i="4" s="1"/>
  <c r="AF6" i="4"/>
  <c r="AG6" i="4" s="1"/>
  <c r="AC6" i="4"/>
  <c r="AD6" i="4" s="1"/>
  <c r="Z6" i="4"/>
  <c r="AA6" i="4" s="1"/>
  <c r="W6" i="4"/>
  <c r="X6" i="4" s="1"/>
  <c r="T6" i="4"/>
  <c r="U6" i="4" s="1"/>
  <c r="Q6" i="4"/>
  <c r="R6" i="4" s="1"/>
  <c r="N6" i="4"/>
  <c r="O6" i="4" s="1"/>
  <c r="K6" i="4"/>
  <c r="L6" i="4" s="1"/>
  <c r="H6" i="4"/>
  <c r="D6" i="4"/>
  <c r="AO5" i="4"/>
  <c r="AP5" i="4" s="1"/>
  <c r="AL5" i="4"/>
  <c r="AM5" i="4" s="1"/>
  <c r="AI5" i="4"/>
  <c r="AJ5" i="4" s="1"/>
  <c r="AF5" i="4"/>
  <c r="AG5" i="4" s="1"/>
  <c r="AC5" i="4"/>
  <c r="AD5" i="4" s="1"/>
  <c r="Z5" i="4"/>
  <c r="AA5" i="4" s="1"/>
  <c r="W5" i="4"/>
  <c r="X5" i="4" s="1"/>
  <c r="T5" i="4"/>
  <c r="U5" i="4" s="1"/>
  <c r="Q5" i="4"/>
  <c r="R5" i="4" s="1"/>
  <c r="N5" i="4"/>
  <c r="O5" i="4" s="1"/>
  <c r="K5" i="4"/>
  <c r="L5" i="4" s="1"/>
  <c r="H5" i="4"/>
  <c r="I5" i="4" s="1"/>
  <c r="D5" i="4"/>
  <c r="AO4" i="4"/>
  <c r="AP4" i="4" s="1"/>
  <c r="AL4" i="4"/>
  <c r="AM4" i="4" s="1"/>
  <c r="AI4" i="4"/>
  <c r="AJ4" i="4" s="1"/>
  <c r="AF4" i="4"/>
  <c r="AG4" i="4" s="1"/>
  <c r="AC4" i="4"/>
  <c r="AD4" i="4" s="1"/>
  <c r="Z4" i="4"/>
  <c r="AA4" i="4" s="1"/>
  <c r="W4" i="4"/>
  <c r="X4" i="4" s="1"/>
  <c r="T4" i="4"/>
  <c r="U4" i="4" s="1"/>
  <c r="Q4" i="4"/>
  <c r="R4" i="4" s="1"/>
  <c r="N4" i="4"/>
  <c r="O4" i="4" s="1"/>
  <c r="K4" i="4"/>
  <c r="L4" i="4" s="1"/>
  <c r="H4" i="4"/>
  <c r="E4" i="4" s="1"/>
  <c r="D4" i="4"/>
  <c r="D3" i="4"/>
  <c r="AN1" i="4"/>
  <c r="AK1" i="4"/>
  <c r="AH1" i="4"/>
  <c r="AE1" i="4"/>
  <c r="AB1" i="4"/>
  <c r="Y1" i="4"/>
  <c r="V1" i="4"/>
  <c r="S1" i="4"/>
  <c r="P1" i="4"/>
  <c r="M1" i="4"/>
  <c r="J1" i="4"/>
  <c r="G1" i="4"/>
  <c r="AO22" i="5"/>
  <c r="AP22" i="5" s="1"/>
  <c r="AL22" i="5"/>
  <c r="AM22" i="5" s="1"/>
  <c r="AI22" i="5"/>
  <c r="AJ22" i="5" s="1"/>
  <c r="AF22" i="5"/>
  <c r="AG22" i="5" s="1"/>
  <c r="AC22" i="5"/>
  <c r="AD22" i="5" s="1"/>
  <c r="Z22" i="5"/>
  <c r="AA22" i="5" s="1"/>
  <c r="W22" i="5"/>
  <c r="X22" i="5" s="1"/>
  <c r="T22" i="5"/>
  <c r="U22" i="5" s="1"/>
  <c r="Q22" i="5"/>
  <c r="R22" i="5" s="1"/>
  <c r="N22" i="5"/>
  <c r="O22" i="5" s="1"/>
  <c r="K22" i="5"/>
  <c r="L22" i="5" s="1"/>
  <c r="H22" i="5"/>
  <c r="D22" i="5"/>
  <c r="AO21" i="5"/>
  <c r="AP21" i="5" s="1"/>
  <c r="AL21" i="5"/>
  <c r="AM21" i="5" s="1"/>
  <c r="AI21" i="5"/>
  <c r="AJ21" i="5" s="1"/>
  <c r="AF21" i="5"/>
  <c r="AG21" i="5" s="1"/>
  <c r="AC21" i="5"/>
  <c r="AD21" i="5" s="1"/>
  <c r="Z21" i="5"/>
  <c r="AA21" i="5" s="1"/>
  <c r="W21" i="5"/>
  <c r="X21" i="5" s="1"/>
  <c r="T21" i="5"/>
  <c r="U21" i="5" s="1"/>
  <c r="Q21" i="5"/>
  <c r="R21" i="5" s="1"/>
  <c r="N21" i="5"/>
  <c r="O21" i="5" s="1"/>
  <c r="K21" i="5"/>
  <c r="L21" i="5" s="1"/>
  <c r="H21" i="5"/>
  <c r="E21" i="5" s="1"/>
  <c r="D21" i="5"/>
  <c r="AO20" i="5"/>
  <c r="AP20" i="5" s="1"/>
  <c r="AL20" i="5"/>
  <c r="AM20" i="5" s="1"/>
  <c r="AI20" i="5"/>
  <c r="AJ20" i="5" s="1"/>
  <c r="AF20" i="5"/>
  <c r="AG20" i="5" s="1"/>
  <c r="AC20" i="5"/>
  <c r="AD20" i="5" s="1"/>
  <c r="Z20" i="5"/>
  <c r="AA20" i="5" s="1"/>
  <c r="W20" i="5"/>
  <c r="X20" i="5" s="1"/>
  <c r="T20" i="5"/>
  <c r="U20" i="5" s="1"/>
  <c r="Q20" i="5"/>
  <c r="R20" i="5" s="1"/>
  <c r="N20" i="5"/>
  <c r="O20" i="5" s="1"/>
  <c r="K20" i="5"/>
  <c r="L20" i="5" s="1"/>
  <c r="H20" i="5"/>
  <c r="E20" i="5" s="1"/>
  <c r="D20" i="5"/>
  <c r="AO19" i="5"/>
  <c r="AP19" i="5" s="1"/>
  <c r="AL19" i="5"/>
  <c r="AM19" i="5" s="1"/>
  <c r="AI19" i="5"/>
  <c r="AJ19" i="5" s="1"/>
  <c r="AF19" i="5"/>
  <c r="AG19" i="5" s="1"/>
  <c r="AC19" i="5"/>
  <c r="AD19" i="5" s="1"/>
  <c r="Z19" i="5"/>
  <c r="AA19" i="5" s="1"/>
  <c r="W19" i="5"/>
  <c r="X19" i="5" s="1"/>
  <c r="T19" i="5"/>
  <c r="U19" i="5" s="1"/>
  <c r="Q19" i="5"/>
  <c r="R19" i="5" s="1"/>
  <c r="N19" i="5"/>
  <c r="O19" i="5" s="1"/>
  <c r="K19" i="5"/>
  <c r="L19" i="5" s="1"/>
  <c r="H19" i="5"/>
  <c r="I19" i="5" s="1"/>
  <c r="D19" i="5"/>
  <c r="AO18" i="5"/>
  <c r="AP18" i="5" s="1"/>
  <c r="AL18" i="5"/>
  <c r="AM18" i="5" s="1"/>
  <c r="AI18" i="5"/>
  <c r="AJ18" i="5" s="1"/>
  <c r="AF18" i="5"/>
  <c r="AG18" i="5" s="1"/>
  <c r="AC18" i="5"/>
  <c r="AD18" i="5" s="1"/>
  <c r="Z18" i="5"/>
  <c r="AA18" i="5" s="1"/>
  <c r="W18" i="5"/>
  <c r="X18" i="5" s="1"/>
  <c r="T18" i="5"/>
  <c r="U18" i="5" s="1"/>
  <c r="Q18" i="5"/>
  <c r="R18" i="5" s="1"/>
  <c r="N18" i="5"/>
  <c r="O18" i="5" s="1"/>
  <c r="K18" i="5"/>
  <c r="L18" i="5" s="1"/>
  <c r="H18" i="5"/>
  <c r="E18" i="5" s="1"/>
  <c r="D18" i="5"/>
  <c r="AO17" i="5"/>
  <c r="AP17" i="5" s="1"/>
  <c r="AL17" i="5"/>
  <c r="AM17" i="5" s="1"/>
  <c r="AI17" i="5"/>
  <c r="AJ17" i="5" s="1"/>
  <c r="AF17" i="5"/>
  <c r="AG17" i="5" s="1"/>
  <c r="AC17" i="5"/>
  <c r="AD17" i="5" s="1"/>
  <c r="Z17" i="5"/>
  <c r="AA17" i="5" s="1"/>
  <c r="W17" i="5"/>
  <c r="X17" i="5" s="1"/>
  <c r="T17" i="5"/>
  <c r="U17" i="5" s="1"/>
  <c r="Q17" i="5"/>
  <c r="R17" i="5" s="1"/>
  <c r="N17" i="5"/>
  <c r="O17" i="5" s="1"/>
  <c r="K17" i="5"/>
  <c r="L17" i="5" s="1"/>
  <c r="H17" i="5"/>
  <c r="E17" i="5" s="1"/>
  <c r="D17" i="5"/>
  <c r="AO16" i="5"/>
  <c r="AP16" i="5" s="1"/>
  <c r="AL16" i="5"/>
  <c r="AM16" i="5" s="1"/>
  <c r="AI16" i="5"/>
  <c r="AJ16" i="5" s="1"/>
  <c r="AF16" i="5"/>
  <c r="AG16" i="5" s="1"/>
  <c r="AC16" i="5"/>
  <c r="AD16" i="5" s="1"/>
  <c r="Z16" i="5"/>
  <c r="AA16" i="5" s="1"/>
  <c r="W16" i="5"/>
  <c r="X16" i="5" s="1"/>
  <c r="T16" i="5"/>
  <c r="U16" i="5" s="1"/>
  <c r="Q16" i="5"/>
  <c r="R16" i="5" s="1"/>
  <c r="N16" i="5"/>
  <c r="O16" i="5" s="1"/>
  <c r="K16" i="5"/>
  <c r="L16" i="5" s="1"/>
  <c r="H16" i="5"/>
  <c r="E16" i="5" s="1"/>
  <c r="D16" i="5"/>
  <c r="AO15" i="5"/>
  <c r="AP15" i="5" s="1"/>
  <c r="AL15" i="5"/>
  <c r="AM15" i="5" s="1"/>
  <c r="AI15" i="5"/>
  <c r="AJ15" i="5" s="1"/>
  <c r="AF15" i="5"/>
  <c r="AG15" i="5" s="1"/>
  <c r="AC15" i="5"/>
  <c r="AD15" i="5" s="1"/>
  <c r="Z15" i="5"/>
  <c r="AA15" i="5" s="1"/>
  <c r="W15" i="5"/>
  <c r="X15" i="5" s="1"/>
  <c r="T15" i="5"/>
  <c r="U15" i="5" s="1"/>
  <c r="Q15" i="5"/>
  <c r="R15" i="5" s="1"/>
  <c r="N15" i="5"/>
  <c r="O15" i="5" s="1"/>
  <c r="K15" i="5"/>
  <c r="L15" i="5" s="1"/>
  <c r="H15" i="5"/>
  <c r="I15" i="5" s="1"/>
  <c r="D15" i="5"/>
  <c r="AO14" i="5"/>
  <c r="AP14" i="5" s="1"/>
  <c r="AL14" i="5"/>
  <c r="AM14" i="5" s="1"/>
  <c r="AI14" i="5"/>
  <c r="AJ14" i="5" s="1"/>
  <c r="AF14" i="5"/>
  <c r="AG14" i="5" s="1"/>
  <c r="AC14" i="5"/>
  <c r="AD14" i="5" s="1"/>
  <c r="Z14" i="5"/>
  <c r="AA14" i="5" s="1"/>
  <c r="W14" i="5"/>
  <c r="X14" i="5" s="1"/>
  <c r="T14" i="5"/>
  <c r="U14" i="5" s="1"/>
  <c r="Q14" i="5"/>
  <c r="R14" i="5" s="1"/>
  <c r="N14" i="5"/>
  <c r="O14" i="5" s="1"/>
  <c r="K14" i="5"/>
  <c r="L14" i="5" s="1"/>
  <c r="H14" i="5"/>
  <c r="E14" i="5" s="1"/>
  <c r="D14" i="5"/>
  <c r="AO13" i="5"/>
  <c r="AP13" i="5" s="1"/>
  <c r="AL13" i="5"/>
  <c r="AM13" i="5" s="1"/>
  <c r="AI13" i="5"/>
  <c r="AJ13" i="5" s="1"/>
  <c r="AF13" i="5"/>
  <c r="AG13" i="5" s="1"/>
  <c r="AC13" i="5"/>
  <c r="AD13" i="5" s="1"/>
  <c r="Z13" i="5"/>
  <c r="AA13" i="5" s="1"/>
  <c r="W13" i="5"/>
  <c r="X13" i="5" s="1"/>
  <c r="T13" i="5"/>
  <c r="U13" i="5" s="1"/>
  <c r="Q13" i="5"/>
  <c r="R13" i="5" s="1"/>
  <c r="N13" i="5"/>
  <c r="O13" i="5" s="1"/>
  <c r="K13" i="5"/>
  <c r="L13" i="5" s="1"/>
  <c r="H13" i="5"/>
  <c r="E13" i="5" s="1"/>
  <c r="D13" i="5"/>
  <c r="AO12" i="5"/>
  <c r="AP12" i="5" s="1"/>
  <c r="AL12" i="5"/>
  <c r="AM12" i="5" s="1"/>
  <c r="AI12" i="5"/>
  <c r="AJ12" i="5" s="1"/>
  <c r="AF12" i="5"/>
  <c r="AG12" i="5" s="1"/>
  <c r="AC12" i="5"/>
  <c r="AD12" i="5" s="1"/>
  <c r="Z12" i="5"/>
  <c r="AA12" i="5" s="1"/>
  <c r="W12" i="5"/>
  <c r="X12" i="5" s="1"/>
  <c r="T12" i="5"/>
  <c r="U12" i="5" s="1"/>
  <c r="Q12" i="5"/>
  <c r="R12" i="5" s="1"/>
  <c r="N12" i="5"/>
  <c r="O12" i="5" s="1"/>
  <c r="K12" i="5"/>
  <c r="L12" i="5" s="1"/>
  <c r="H12" i="5"/>
  <c r="E12" i="5" s="1"/>
  <c r="D12" i="5"/>
  <c r="AO11" i="5"/>
  <c r="AP11" i="5" s="1"/>
  <c r="AL11" i="5"/>
  <c r="AM11" i="5" s="1"/>
  <c r="AI11" i="5"/>
  <c r="AJ11" i="5" s="1"/>
  <c r="AF11" i="5"/>
  <c r="AG11" i="5" s="1"/>
  <c r="AC11" i="5"/>
  <c r="AD11" i="5" s="1"/>
  <c r="Z11" i="5"/>
  <c r="AA11" i="5" s="1"/>
  <c r="W11" i="5"/>
  <c r="X11" i="5" s="1"/>
  <c r="T11" i="5"/>
  <c r="U11" i="5" s="1"/>
  <c r="Q11" i="5"/>
  <c r="R11" i="5" s="1"/>
  <c r="N11" i="5"/>
  <c r="O11" i="5" s="1"/>
  <c r="K11" i="5"/>
  <c r="L11" i="5" s="1"/>
  <c r="H11" i="5"/>
  <c r="D11" i="5"/>
  <c r="AO10" i="5"/>
  <c r="AP10" i="5" s="1"/>
  <c r="AL10" i="5"/>
  <c r="AM10" i="5" s="1"/>
  <c r="AI10" i="5"/>
  <c r="AJ10" i="5" s="1"/>
  <c r="AF10" i="5"/>
  <c r="AG10" i="5" s="1"/>
  <c r="AC10" i="5"/>
  <c r="AD10" i="5" s="1"/>
  <c r="Z10" i="5"/>
  <c r="AA10" i="5" s="1"/>
  <c r="W10" i="5"/>
  <c r="X10" i="5" s="1"/>
  <c r="T10" i="5"/>
  <c r="U10" i="5" s="1"/>
  <c r="Q10" i="5"/>
  <c r="R10" i="5" s="1"/>
  <c r="N10" i="5"/>
  <c r="O10" i="5" s="1"/>
  <c r="K10" i="5"/>
  <c r="L10" i="5" s="1"/>
  <c r="H10" i="5"/>
  <c r="E10" i="5" s="1"/>
  <c r="D10" i="5"/>
  <c r="AO9" i="5"/>
  <c r="AP9" i="5" s="1"/>
  <c r="AL9" i="5"/>
  <c r="AM9" i="5" s="1"/>
  <c r="AI9" i="5"/>
  <c r="AJ9" i="5" s="1"/>
  <c r="AF9" i="5"/>
  <c r="AG9" i="5" s="1"/>
  <c r="AC9" i="5"/>
  <c r="AD9" i="5" s="1"/>
  <c r="Z9" i="5"/>
  <c r="AA9" i="5" s="1"/>
  <c r="W9" i="5"/>
  <c r="X9" i="5" s="1"/>
  <c r="T9" i="5"/>
  <c r="U9" i="5" s="1"/>
  <c r="Q9" i="5"/>
  <c r="R9" i="5" s="1"/>
  <c r="N9" i="5"/>
  <c r="O9" i="5" s="1"/>
  <c r="K9" i="5"/>
  <c r="L9" i="5" s="1"/>
  <c r="H9" i="5"/>
  <c r="E9" i="5" s="1"/>
  <c r="D9" i="5"/>
  <c r="AO8" i="5"/>
  <c r="AP8" i="5" s="1"/>
  <c r="AL8" i="5"/>
  <c r="AM8" i="5" s="1"/>
  <c r="AI8" i="5"/>
  <c r="AJ8" i="5" s="1"/>
  <c r="AF8" i="5"/>
  <c r="AG8" i="5" s="1"/>
  <c r="AC8" i="5"/>
  <c r="AD8" i="5" s="1"/>
  <c r="Z8" i="5"/>
  <c r="AA8" i="5" s="1"/>
  <c r="W8" i="5"/>
  <c r="X8" i="5" s="1"/>
  <c r="T8" i="5"/>
  <c r="U8" i="5" s="1"/>
  <c r="Q8" i="5"/>
  <c r="R8" i="5" s="1"/>
  <c r="N8" i="5"/>
  <c r="O8" i="5" s="1"/>
  <c r="K8" i="5"/>
  <c r="L8" i="5" s="1"/>
  <c r="H8" i="5"/>
  <c r="E8" i="5" s="1"/>
  <c r="D8" i="5"/>
  <c r="AO7" i="5"/>
  <c r="AP7" i="5" s="1"/>
  <c r="AL7" i="5"/>
  <c r="AM7" i="5" s="1"/>
  <c r="AI7" i="5"/>
  <c r="AJ7" i="5" s="1"/>
  <c r="AF7" i="5"/>
  <c r="AG7" i="5" s="1"/>
  <c r="AC7" i="5"/>
  <c r="AD7" i="5" s="1"/>
  <c r="Z7" i="5"/>
  <c r="AA7" i="5" s="1"/>
  <c r="W7" i="5"/>
  <c r="X7" i="5" s="1"/>
  <c r="T7" i="5"/>
  <c r="U7" i="5" s="1"/>
  <c r="Q7" i="5"/>
  <c r="R7" i="5" s="1"/>
  <c r="N7" i="5"/>
  <c r="O7" i="5" s="1"/>
  <c r="K7" i="5"/>
  <c r="L7" i="5" s="1"/>
  <c r="H7" i="5"/>
  <c r="I7" i="5" s="1"/>
  <c r="D7" i="5"/>
  <c r="AO6" i="5"/>
  <c r="AP6" i="5" s="1"/>
  <c r="AL6" i="5"/>
  <c r="AM6" i="5" s="1"/>
  <c r="AI6" i="5"/>
  <c r="AJ6" i="5" s="1"/>
  <c r="AF6" i="5"/>
  <c r="AG6" i="5" s="1"/>
  <c r="AC6" i="5"/>
  <c r="AD6" i="5" s="1"/>
  <c r="Z6" i="5"/>
  <c r="AA6" i="5" s="1"/>
  <c r="W6" i="5"/>
  <c r="X6" i="5" s="1"/>
  <c r="T6" i="5"/>
  <c r="U6" i="5" s="1"/>
  <c r="Q6" i="5"/>
  <c r="R6" i="5" s="1"/>
  <c r="N6" i="5"/>
  <c r="O6" i="5" s="1"/>
  <c r="K6" i="5"/>
  <c r="L6" i="5" s="1"/>
  <c r="H6" i="5"/>
  <c r="E6" i="5" s="1"/>
  <c r="D6" i="5"/>
  <c r="AO5" i="5"/>
  <c r="AP5" i="5" s="1"/>
  <c r="AL5" i="5"/>
  <c r="AM5" i="5" s="1"/>
  <c r="AI5" i="5"/>
  <c r="AJ5" i="5" s="1"/>
  <c r="AF5" i="5"/>
  <c r="AG5" i="5" s="1"/>
  <c r="AC5" i="5"/>
  <c r="AD5" i="5" s="1"/>
  <c r="Z5" i="5"/>
  <c r="AA5" i="5" s="1"/>
  <c r="W5" i="5"/>
  <c r="X5" i="5" s="1"/>
  <c r="T5" i="5"/>
  <c r="U5" i="5" s="1"/>
  <c r="Q5" i="5"/>
  <c r="R5" i="5" s="1"/>
  <c r="N5" i="5"/>
  <c r="O5" i="5" s="1"/>
  <c r="K5" i="5"/>
  <c r="L5" i="5" s="1"/>
  <c r="H5" i="5"/>
  <c r="E5" i="5" s="1"/>
  <c r="D5" i="5"/>
  <c r="AO4" i="5"/>
  <c r="AP4" i="5" s="1"/>
  <c r="AL4" i="5"/>
  <c r="AM4" i="5" s="1"/>
  <c r="AI4" i="5"/>
  <c r="AJ4" i="5" s="1"/>
  <c r="AF4" i="5"/>
  <c r="AG4" i="5" s="1"/>
  <c r="AC4" i="5"/>
  <c r="AD4" i="5" s="1"/>
  <c r="Z4" i="5"/>
  <c r="AA4" i="5" s="1"/>
  <c r="W4" i="5"/>
  <c r="X4" i="5" s="1"/>
  <c r="T4" i="5"/>
  <c r="U4" i="5" s="1"/>
  <c r="Q4" i="5"/>
  <c r="R4" i="5" s="1"/>
  <c r="N4" i="5"/>
  <c r="O4" i="5" s="1"/>
  <c r="K4" i="5"/>
  <c r="L4" i="5" s="1"/>
  <c r="H4" i="5"/>
  <c r="I4" i="5" s="1"/>
  <c r="D4" i="5"/>
  <c r="D3" i="5"/>
  <c r="AN1" i="5"/>
  <c r="AK1" i="5"/>
  <c r="AH1" i="5"/>
  <c r="AE1" i="5"/>
  <c r="AB1" i="5"/>
  <c r="Y1" i="5"/>
  <c r="V1" i="5"/>
  <c r="S1" i="5"/>
  <c r="P1" i="5"/>
  <c r="M1" i="5"/>
  <c r="J1" i="5"/>
  <c r="G1" i="5"/>
  <c r="AO30" i="7"/>
  <c r="AP30" i="7" s="1"/>
  <c r="AL30" i="7"/>
  <c r="AM30" i="7" s="1"/>
  <c r="AI30" i="7"/>
  <c r="AJ30" i="7" s="1"/>
  <c r="AF30" i="7"/>
  <c r="AG30" i="7" s="1"/>
  <c r="AC30" i="7"/>
  <c r="AD30" i="7" s="1"/>
  <c r="Z30" i="7"/>
  <c r="AA30" i="7" s="1"/>
  <c r="W30" i="7"/>
  <c r="X30" i="7" s="1"/>
  <c r="T30" i="7"/>
  <c r="U30" i="7" s="1"/>
  <c r="Q30" i="7"/>
  <c r="R30" i="7" s="1"/>
  <c r="N30" i="7"/>
  <c r="O30" i="7" s="1"/>
  <c r="K30" i="7"/>
  <c r="L30" i="7" s="1"/>
  <c r="H30" i="7"/>
  <c r="E30" i="7" s="1"/>
  <c r="D30" i="7"/>
  <c r="AO29" i="7"/>
  <c r="AP29" i="7" s="1"/>
  <c r="AL29" i="7"/>
  <c r="AM29" i="7" s="1"/>
  <c r="AI29" i="7"/>
  <c r="AJ29" i="7" s="1"/>
  <c r="AF29" i="7"/>
  <c r="AG29" i="7" s="1"/>
  <c r="AC29" i="7"/>
  <c r="AD29" i="7" s="1"/>
  <c r="Z29" i="7"/>
  <c r="AA29" i="7" s="1"/>
  <c r="W29" i="7"/>
  <c r="X29" i="7" s="1"/>
  <c r="T29" i="7"/>
  <c r="U29" i="7" s="1"/>
  <c r="Q29" i="7"/>
  <c r="R29" i="7" s="1"/>
  <c r="N29" i="7"/>
  <c r="O29" i="7" s="1"/>
  <c r="K29" i="7"/>
  <c r="L29" i="7" s="1"/>
  <c r="H29" i="7"/>
  <c r="E29" i="7" s="1"/>
  <c r="D29" i="7"/>
  <c r="AO28" i="7"/>
  <c r="AP28" i="7" s="1"/>
  <c r="AL28" i="7"/>
  <c r="AM28" i="7" s="1"/>
  <c r="AI28" i="7"/>
  <c r="AJ28" i="7" s="1"/>
  <c r="AF28" i="7"/>
  <c r="AG28" i="7" s="1"/>
  <c r="AC28" i="7"/>
  <c r="AD28" i="7" s="1"/>
  <c r="Z28" i="7"/>
  <c r="AA28" i="7" s="1"/>
  <c r="W28" i="7"/>
  <c r="X28" i="7" s="1"/>
  <c r="T28" i="7"/>
  <c r="U28" i="7" s="1"/>
  <c r="Q28" i="7"/>
  <c r="R28" i="7" s="1"/>
  <c r="N28" i="7"/>
  <c r="O28" i="7" s="1"/>
  <c r="K28" i="7"/>
  <c r="L28" i="7" s="1"/>
  <c r="H28" i="7"/>
  <c r="E28" i="7" s="1"/>
  <c r="D28" i="7"/>
  <c r="AO27" i="7"/>
  <c r="AP27" i="7" s="1"/>
  <c r="AL27" i="7"/>
  <c r="AM27" i="7" s="1"/>
  <c r="AI27" i="7"/>
  <c r="AJ27" i="7" s="1"/>
  <c r="AF27" i="7"/>
  <c r="AG27" i="7" s="1"/>
  <c r="AC27" i="7"/>
  <c r="AD27" i="7" s="1"/>
  <c r="Z27" i="7"/>
  <c r="AA27" i="7" s="1"/>
  <c r="W27" i="7"/>
  <c r="X27" i="7" s="1"/>
  <c r="T27" i="7"/>
  <c r="U27" i="7" s="1"/>
  <c r="Q27" i="7"/>
  <c r="R27" i="7" s="1"/>
  <c r="N27" i="7"/>
  <c r="O27" i="7" s="1"/>
  <c r="K27" i="7"/>
  <c r="L27" i="7" s="1"/>
  <c r="H27" i="7"/>
  <c r="I27" i="7" s="1"/>
  <c r="D27" i="7"/>
  <c r="AO26" i="7"/>
  <c r="AP26" i="7" s="1"/>
  <c r="AL26" i="7"/>
  <c r="AM26" i="7" s="1"/>
  <c r="AI26" i="7"/>
  <c r="AJ26" i="7" s="1"/>
  <c r="AF26" i="7"/>
  <c r="AG26" i="7" s="1"/>
  <c r="AC26" i="7"/>
  <c r="AD26" i="7" s="1"/>
  <c r="Z26" i="7"/>
  <c r="AA26" i="7" s="1"/>
  <c r="W26" i="7"/>
  <c r="X26" i="7" s="1"/>
  <c r="T26" i="7"/>
  <c r="U26" i="7" s="1"/>
  <c r="Q26" i="7"/>
  <c r="R26" i="7" s="1"/>
  <c r="N26" i="7"/>
  <c r="O26" i="7" s="1"/>
  <c r="K26" i="7"/>
  <c r="L26" i="7" s="1"/>
  <c r="H26" i="7"/>
  <c r="E26" i="7" s="1"/>
  <c r="D26" i="7"/>
  <c r="AO25" i="7"/>
  <c r="AP25" i="7" s="1"/>
  <c r="AL25" i="7"/>
  <c r="AM25" i="7" s="1"/>
  <c r="AI25" i="7"/>
  <c r="AJ25" i="7" s="1"/>
  <c r="AF25" i="7"/>
  <c r="AG25" i="7" s="1"/>
  <c r="AC25" i="7"/>
  <c r="AD25" i="7" s="1"/>
  <c r="Z25" i="7"/>
  <c r="AA25" i="7" s="1"/>
  <c r="W25" i="7"/>
  <c r="X25" i="7" s="1"/>
  <c r="T25" i="7"/>
  <c r="U25" i="7" s="1"/>
  <c r="Q25" i="7"/>
  <c r="R25" i="7" s="1"/>
  <c r="N25" i="7"/>
  <c r="O25" i="7" s="1"/>
  <c r="K25" i="7"/>
  <c r="L25" i="7" s="1"/>
  <c r="H25" i="7"/>
  <c r="E25" i="7" s="1"/>
  <c r="D25" i="7"/>
  <c r="AO24" i="7"/>
  <c r="AP24" i="7" s="1"/>
  <c r="AL24" i="7"/>
  <c r="AM24" i="7" s="1"/>
  <c r="AI24" i="7"/>
  <c r="AJ24" i="7" s="1"/>
  <c r="AF24" i="7"/>
  <c r="AG24" i="7" s="1"/>
  <c r="AC24" i="7"/>
  <c r="AD24" i="7" s="1"/>
  <c r="Z24" i="7"/>
  <c r="AA24" i="7" s="1"/>
  <c r="W24" i="7"/>
  <c r="X24" i="7" s="1"/>
  <c r="T24" i="7"/>
  <c r="U24" i="7" s="1"/>
  <c r="Q24" i="7"/>
  <c r="R24" i="7" s="1"/>
  <c r="N24" i="7"/>
  <c r="O24" i="7" s="1"/>
  <c r="K24" i="7"/>
  <c r="L24" i="7" s="1"/>
  <c r="H24" i="7"/>
  <c r="E24" i="7" s="1"/>
  <c r="D24" i="7"/>
  <c r="AO23" i="7"/>
  <c r="AP23" i="7" s="1"/>
  <c r="AL23" i="7"/>
  <c r="AM23" i="7" s="1"/>
  <c r="AI23" i="7"/>
  <c r="AJ23" i="7" s="1"/>
  <c r="AF23" i="7"/>
  <c r="AG23" i="7" s="1"/>
  <c r="AC23" i="7"/>
  <c r="AD23" i="7" s="1"/>
  <c r="Z23" i="7"/>
  <c r="AA23" i="7" s="1"/>
  <c r="W23" i="7"/>
  <c r="X23" i="7" s="1"/>
  <c r="T23" i="7"/>
  <c r="U23" i="7" s="1"/>
  <c r="Q23" i="7"/>
  <c r="R23" i="7" s="1"/>
  <c r="N23" i="7"/>
  <c r="O23" i="7" s="1"/>
  <c r="K23" i="7"/>
  <c r="L23" i="7" s="1"/>
  <c r="H23" i="7"/>
  <c r="I23" i="7" s="1"/>
  <c r="D23" i="7"/>
  <c r="AO22" i="7"/>
  <c r="AP22" i="7" s="1"/>
  <c r="AL22" i="7"/>
  <c r="AM22" i="7" s="1"/>
  <c r="AI22" i="7"/>
  <c r="AJ22" i="7" s="1"/>
  <c r="AF22" i="7"/>
  <c r="AG22" i="7" s="1"/>
  <c r="AC22" i="7"/>
  <c r="AD22" i="7" s="1"/>
  <c r="Z22" i="7"/>
  <c r="AA22" i="7" s="1"/>
  <c r="W22" i="7"/>
  <c r="X22" i="7" s="1"/>
  <c r="T22" i="7"/>
  <c r="U22" i="7" s="1"/>
  <c r="Q22" i="7"/>
  <c r="R22" i="7" s="1"/>
  <c r="N22" i="7"/>
  <c r="O22" i="7" s="1"/>
  <c r="K22" i="7"/>
  <c r="L22" i="7" s="1"/>
  <c r="H22" i="7"/>
  <c r="E22" i="7" s="1"/>
  <c r="D22" i="7"/>
  <c r="AO21" i="7"/>
  <c r="AP21" i="7" s="1"/>
  <c r="AL21" i="7"/>
  <c r="AM21" i="7" s="1"/>
  <c r="AI21" i="7"/>
  <c r="AJ21" i="7" s="1"/>
  <c r="AF21" i="7"/>
  <c r="AG21" i="7" s="1"/>
  <c r="AC21" i="7"/>
  <c r="AD21" i="7" s="1"/>
  <c r="Z21" i="7"/>
  <c r="AA21" i="7" s="1"/>
  <c r="W21" i="7"/>
  <c r="X21" i="7" s="1"/>
  <c r="T21" i="7"/>
  <c r="U21" i="7" s="1"/>
  <c r="Q21" i="7"/>
  <c r="R21" i="7" s="1"/>
  <c r="N21" i="7"/>
  <c r="O21" i="7" s="1"/>
  <c r="K21" i="7"/>
  <c r="L21" i="7" s="1"/>
  <c r="H21" i="7"/>
  <c r="E21" i="7" s="1"/>
  <c r="D21" i="7"/>
  <c r="AO20" i="7"/>
  <c r="AP20" i="7" s="1"/>
  <c r="AL20" i="7"/>
  <c r="AM20" i="7" s="1"/>
  <c r="AI20" i="7"/>
  <c r="AJ20" i="7" s="1"/>
  <c r="AF20" i="7"/>
  <c r="AG20" i="7" s="1"/>
  <c r="AC20" i="7"/>
  <c r="AD20" i="7" s="1"/>
  <c r="Z20" i="7"/>
  <c r="AA20" i="7" s="1"/>
  <c r="W20" i="7"/>
  <c r="X20" i="7" s="1"/>
  <c r="T20" i="7"/>
  <c r="U20" i="7" s="1"/>
  <c r="Q20" i="7"/>
  <c r="R20" i="7" s="1"/>
  <c r="N20" i="7"/>
  <c r="O20" i="7" s="1"/>
  <c r="K20" i="7"/>
  <c r="L20" i="7" s="1"/>
  <c r="H20" i="7"/>
  <c r="I20" i="7" s="1"/>
  <c r="D20" i="7"/>
  <c r="AO19" i="7"/>
  <c r="AP19" i="7" s="1"/>
  <c r="AL19" i="7"/>
  <c r="AM19" i="7" s="1"/>
  <c r="AI19" i="7"/>
  <c r="AJ19" i="7" s="1"/>
  <c r="AF19" i="7"/>
  <c r="AG19" i="7" s="1"/>
  <c r="AC19" i="7"/>
  <c r="AD19" i="7" s="1"/>
  <c r="Z19" i="7"/>
  <c r="AA19" i="7" s="1"/>
  <c r="W19" i="7"/>
  <c r="X19" i="7" s="1"/>
  <c r="T19" i="7"/>
  <c r="U19" i="7" s="1"/>
  <c r="Q19" i="7"/>
  <c r="R19" i="7" s="1"/>
  <c r="N19" i="7"/>
  <c r="O19" i="7" s="1"/>
  <c r="K19" i="7"/>
  <c r="L19" i="7" s="1"/>
  <c r="H19" i="7"/>
  <c r="I19" i="7" s="1"/>
  <c r="D19" i="7"/>
  <c r="AO18" i="7"/>
  <c r="AP18" i="7" s="1"/>
  <c r="AL18" i="7"/>
  <c r="AM18" i="7" s="1"/>
  <c r="AI18" i="7"/>
  <c r="AJ18" i="7" s="1"/>
  <c r="AF18" i="7"/>
  <c r="AG18" i="7" s="1"/>
  <c r="AC18" i="7"/>
  <c r="AD18" i="7" s="1"/>
  <c r="Z18" i="7"/>
  <c r="AA18" i="7" s="1"/>
  <c r="W18" i="7"/>
  <c r="X18" i="7" s="1"/>
  <c r="T18" i="7"/>
  <c r="U18" i="7" s="1"/>
  <c r="Q18" i="7"/>
  <c r="R18" i="7" s="1"/>
  <c r="N18" i="7"/>
  <c r="O18" i="7" s="1"/>
  <c r="K18" i="7"/>
  <c r="L18" i="7" s="1"/>
  <c r="H18" i="7"/>
  <c r="I18" i="7" s="1"/>
  <c r="D18" i="7"/>
  <c r="AO17" i="7"/>
  <c r="AP17" i="7" s="1"/>
  <c r="AL17" i="7"/>
  <c r="AM17" i="7" s="1"/>
  <c r="AI17" i="7"/>
  <c r="AJ17" i="7" s="1"/>
  <c r="AF17" i="7"/>
  <c r="AG17" i="7" s="1"/>
  <c r="AC17" i="7"/>
  <c r="AD17" i="7" s="1"/>
  <c r="Z17" i="7"/>
  <c r="AA17" i="7" s="1"/>
  <c r="W17" i="7"/>
  <c r="X17" i="7" s="1"/>
  <c r="T17" i="7"/>
  <c r="U17" i="7" s="1"/>
  <c r="Q17" i="7"/>
  <c r="R17" i="7" s="1"/>
  <c r="N17" i="7"/>
  <c r="O17" i="7" s="1"/>
  <c r="K17" i="7"/>
  <c r="L17" i="7" s="1"/>
  <c r="H17" i="7"/>
  <c r="E17" i="7" s="1"/>
  <c r="D17" i="7"/>
  <c r="AO16" i="7"/>
  <c r="AP16" i="7" s="1"/>
  <c r="AL16" i="7"/>
  <c r="AM16" i="7" s="1"/>
  <c r="AI16" i="7"/>
  <c r="AJ16" i="7" s="1"/>
  <c r="AF16" i="7"/>
  <c r="AG16" i="7" s="1"/>
  <c r="AC16" i="7"/>
  <c r="AD16" i="7" s="1"/>
  <c r="Z16" i="7"/>
  <c r="AA16" i="7" s="1"/>
  <c r="W16" i="7"/>
  <c r="X16" i="7" s="1"/>
  <c r="T16" i="7"/>
  <c r="U16" i="7" s="1"/>
  <c r="Q16" i="7"/>
  <c r="R16" i="7" s="1"/>
  <c r="N16" i="7"/>
  <c r="O16" i="7" s="1"/>
  <c r="K16" i="7"/>
  <c r="L16" i="7" s="1"/>
  <c r="H16" i="7"/>
  <c r="I16" i="7" s="1"/>
  <c r="D16" i="7"/>
  <c r="AO15" i="7"/>
  <c r="AP15" i="7" s="1"/>
  <c r="AL15" i="7"/>
  <c r="AM15" i="7" s="1"/>
  <c r="AI15" i="7"/>
  <c r="AJ15" i="7" s="1"/>
  <c r="AF15" i="7"/>
  <c r="AG15" i="7" s="1"/>
  <c r="AC15" i="7"/>
  <c r="AD15" i="7" s="1"/>
  <c r="Z15" i="7"/>
  <c r="AA15" i="7" s="1"/>
  <c r="W15" i="7"/>
  <c r="X15" i="7" s="1"/>
  <c r="T15" i="7"/>
  <c r="U15" i="7" s="1"/>
  <c r="Q15" i="7"/>
  <c r="R15" i="7" s="1"/>
  <c r="N15" i="7"/>
  <c r="O15" i="7" s="1"/>
  <c r="K15" i="7"/>
  <c r="L15" i="7" s="1"/>
  <c r="H15" i="7"/>
  <c r="I15" i="7" s="1"/>
  <c r="D15" i="7"/>
  <c r="AO14" i="7"/>
  <c r="AP14" i="7" s="1"/>
  <c r="AL14" i="7"/>
  <c r="AM14" i="7" s="1"/>
  <c r="AI14" i="7"/>
  <c r="AJ14" i="7" s="1"/>
  <c r="AF14" i="7"/>
  <c r="AG14" i="7" s="1"/>
  <c r="AC14" i="7"/>
  <c r="AD14" i="7" s="1"/>
  <c r="Z14" i="7"/>
  <c r="AA14" i="7" s="1"/>
  <c r="W14" i="7"/>
  <c r="X14" i="7" s="1"/>
  <c r="T14" i="7"/>
  <c r="U14" i="7" s="1"/>
  <c r="Q14" i="7"/>
  <c r="R14" i="7" s="1"/>
  <c r="N14" i="7"/>
  <c r="O14" i="7" s="1"/>
  <c r="K14" i="7"/>
  <c r="L14" i="7" s="1"/>
  <c r="H14" i="7"/>
  <c r="E14" i="7" s="1"/>
  <c r="D14" i="7"/>
  <c r="AO13" i="7"/>
  <c r="AP13" i="7" s="1"/>
  <c r="AL13" i="7"/>
  <c r="AM13" i="7" s="1"/>
  <c r="AI13" i="7"/>
  <c r="AJ13" i="7" s="1"/>
  <c r="AF13" i="7"/>
  <c r="AG13" i="7" s="1"/>
  <c r="AC13" i="7"/>
  <c r="AD13" i="7" s="1"/>
  <c r="Z13" i="7"/>
  <c r="AA13" i="7" s="1"/>
  <c r="W13" i="7"/>
  <c r="X13" i="7" s="1"/>
  <c r="T13" i="7"/>
  <c r="U13" i="7" s="1"/>
  <c r="Q13" i="7"/>
  <c r="R13" i="7" s="1"/>
  <c r="N13" i="7"/>
  <c r="O13" i="7" s="1"/>
  <c r="K13" i="7"/>
  <c r="L13" i="7" s="1"/>
  <c r="H13" i="7"/>
  <c r="E13" i="7" s="1"/>
  <c r="D13" i="7"/>
  <c r="AO12" i="7"/>
  <c r="AP12" i="7" s="1"/>
  <c r="AL12" i="7"/>
  <c r="AM12" i="7" s="1"/>
  <c r="AI12" i="7"/>
  <c r="AJ12" i="7" s="1"/>
  <c r="AF12" i="7"/>
  <c r="AG12" i="7" s="1"/>
  <c r="AC12" i="7"/>
  <c r="AD12" i="7" s="1"/>
  <c r="Z12" i="7"/>
  <c r="AA12" i="7" s="1"/>
  <c r="W12" i="7"/>
  <c r="X12" i="7" s="1"/>
  <c r="T12" i="7"/>
  <c r="U12" i="7" s="1"/>
  <c r="Q12" i="7"/>
  <c r="R12" i="7" s="1"/>
  <c r="N12" i="7"/>
  <c r="O12" i="7" s="1"/>
  <c r="K12" i="7"/>
  <c r="L12" i="7" s="1"/>
  <c r="H12" i="7"/>
  <c r="E12" i="7" s="1"/>
  <c r="D12" i="7"/>
  <c r="AO11" i="7"/>
  <c r="AP11" i="7" s="1"/>
  <c r="AL11" i="7"/>
  <c r="AM11" i="7" s="1"/>
  <c r="AI11" i="7"/>
  <c r="AJ11" i="7" s="1"/>
  <c r="AF11" i="7"/>
  <c r="AG11" i="7" s="1"/>
  <c r="AC11" i="7"/>
  <c r="AD11" i="7" s="1"/>
  <c r="Z11" i="7"/>
  <c r="AA11" i="7" s="1"/>
  <c r="W11" i="7"/>
  <c r="X11" i="7" s="1"/>
  <c r="T11" i="7"/>
  <c r="U11" i="7" s="1"/>
  <c r="Q11" i="7"/>
  <c r="R11" i="7" s="1"/>
  <c r="N11" i="7"/>
  <c r="O11" i="7" s="1"/>
  <c r="K11" i="7"/>
  <c r="L11" i="7" s="1"/>
  <c r="H11" i="7"/>
  <c r="I11" i="7" s="1"/>
  <c r="D11" i="7"/>
  <c r="AO10" i="7"/>
  <c r="AP10" i="7" s="1"/>
  <c r="AL10" i="7"/>
  <c r="AM10" i="7" s="1"/>
  <c r="AI10" i="7"/>
  <c r="AJ10" i="7" s="1"/>
  <c r="AF10" i="7"/>
  <c r="AG10" i="7" s="1"/>
  <c r="AC10" i="7"/>
  <c r="AD10" i="7" s="1"/>
  <c r="Z10" i="7"/>
  <c r="AA10" i="7" s="1"/>
  <c r="W10" i="7"/>
  <c r="X10" i="7" s="1"/>
  <c r="T10" i="7"/>
  <c r="U10" i="7" s="1"/>
  <c r="Q10" i="7"/>
  <c r="R10" i="7" s="1"/>
  <c r="N10" i="7"/>
  <c r="O10" i="7" s="1"/>
  <c r="K10" i="7"/>
  <c r="L10" i="7" s="1"/>
  <c r="H10" i="7"/>
  <c r="E10" i="7" s="1"/>
  <c r="D10" i="7"/>
  <c r="AO9" i="7"/>
  <c r="AP9" i="7" s="1"/>
  <c r="AL9" i="7"/>
  <c r="AM9" i="7" s="1"/>
  <c r="AI9" i="7"/>
  <c r="AJ9" i="7" s="1"/>
  <c r="AF9" i="7"/>
  <c r="AG9" i="7" s="1"/>
  <c r="AC9" i="7"/>
  <c r="AD9" i="7" s="1"/>
  <c r="Z9" i="7"/>
  <c r="AA9" i="7" s="1"/>
  <c r="W9" i="7"/>
  <c r="X9" i="7" s="1"/>
  <c r="T9" i="7"/>
  <c r="U9" i="7" s="1"/>
  <c r="Q9" i="7"/>
  <c r="R9" i="7" s="1"/>
  <c r="N9" i="7"/>
  <c r="O9" i="7" s="1"/>
  <c r="K9" i="7"/>
  <c r="L9" i="7" s="1"/>
  <c r="H9" i="7"/>
  <c r="E9" i="7" s="1"/>
  <c r="D9" i="7"/>
  <c r="AO8" i="7"/>
  <c r="AP8" i="7" s="1"/>
  <c r="AL8" i="7"/>
  <c r="AM8" i="7" s="1"/>
  <c r="AI8" i="7"/>
  <c r="AJ8" i="7" s="1"/>
  <c r="AF8" i="7"/>
  <c r="AG8" i="7" s="1"/>
  <c r="AC8" i="7"/>
  <c r="AD8" i="7" s="1"/>
  <c r="Z8" i="7"/>
  <c r="AA8" i="7" s="1"/>
  <c r="W8" i="7"/>
  <c r="X8" i="7" s="1"/>
  <c r="T8" i="7"/>
  <c r="U8" i="7" s="1"/>
  <c r="Q8" i="7"/>
  <c r="R8" i="7" s="1"/>
  <c r="N8" i="7"/>
  <c r="O8" i="7" s="1"/>
  <c r="K8" i="7"/>
  <c r="L8" i="7" s="1"/>
  <c r="H8" i="7"/>
  <c r="E8" i="7" s="1"/>
  <c r="D8" i="7"/>
  <c r="AO7" i="7"/>
  <c r="AP7" i="7" s="1"/>
  <c r="AL7" i="7"/>
  <c r="AM7" i="7" s="1"/>
  <c r="AI7" i="7"/>
  <c r="AJ7" i="7" s="1"/>
  <c r="AF7" i="7"/>
  <c r="AG7" i="7" s="1"/>
  <c r="AC7" i="7"/>
  <c r="AD7" i="7" s="1"/>
  <c r="Z7" i="7"/>
  <c r="AA7" i="7" s="1"/>
  <c r="W7" i="7"/>
  <c r="X7" i="7" s="1"/>
  <c r="T7" i="7"/>
  <c r="U7" i="7" s="1"/>
  <c r="Q7" i="7"/>
  <c r="R7" i="7" s="1"/>
  <c r="N7" i="7"/>
  <c r="O7" i="7" s="1"/>
  <c r="K7" i="7"/>
  <c r="L7" i="7" s="1"/>
  <c r="H7" i="7"/>
  <c r="I7" i="7" s="1"/>
  <c r="D7" i="7"/>
  <c r="AO6" i="7"/>
  <c r="AP6" i="7" s="1"/>
  <c r="AL6" i="7"/>
  <c r="AM6" i="7" s="1"/>
  <c r="AI6" i="7"/>
  <c r="AJ6" i="7" s="1"/>
  <c r="AF6" i="7"/>
  <c r="AG6" i="7" s="1"/>
  <c r="AC6" i="7"/>
  <c r="AD6" i="7" s="1"/>
  <c r="Z6" i="7"/>
  <c r="AA6" i="7" s="1"/>
  <c r="W6" i="7"/>
  <c r="X6" i="7" s="1"/>
  <c r="T6" i="7"/>
  <c r="U6" i="7" s="1"/>
  <c r="Q6" i="7"/>
  <c r="R6" i="7" s="1"/>
  <c r="N6" i="7"/>
  <c r="O6" i="7" s="1"/>
  <c r="K6" i="7"/>
  <c r="L6" i="7" s="1"/>
  <c r="H6" i="7"/>
  <c r="E6" i="7" s="1"/>
  <c r="D6" i="7"/>
  <c r="AO5" i="7"/>
  <c r="AP5" i="7" s="1"/>
  <c r="AL5" i="7"/>
  <c r="AM5" i="7" s="1"/>
  <c r="AI5" i="7"/>
  <c r="AJ5" i="7" s="1"/>
  <c r="AF5" i="7"/>
  <c r="AG5" i="7" s="1"/>
  <c r="AC5" i="7"/>
  <c r="AD5" i="7" s="1"/>
  <c r="Z5" i="7"/>
  <c r="AA5" i="7" s="1"/>
  <c r="W5" i="7"/>
  <c r="X5" i="7" s="1"/>
  <c r="T5" i="7"/>
  <c r="U5" i="7" s="1"/>
  <c r="Q5" i="7"/>
  <c r="R5" i="7" s="1"/>
  <c r="N5" i="7"/>
  <c r="O5" i="7" s="1"/>
  <c r="K5" i="7"/>
  <c r="L5" i="7" s="1"/>
  <c r="H5" i="7"/>
  <c r="E5" i="7" s="1"/>
  <c r="D5" i="7"/>
  <c r="AO4" i="7"/>
  <c r="AP4" i="7" s="1"/>
  <c r="AL4" i="7"/>
  <c r="AM4" i="7" s="1"/>
  <c r="AI4" i="7"/>
  <c r="AJ4" i="7" s="1"/>
  <c r="AF4" i="7"/>
  <c r="AG4" i="7" s="1"/>
  <c r="AC4" i="7"/>
  <c r="AD4" i="7" s="1"/>
  <c r="Z4" i="7"/>
  <c r="AA4" i="7" s="1"/>
  <c r="W4" i="7"/>
  <c r="X4" i="7" s="1"/>
  <c r="T4" i="7"/>
  <c r="U4" i="7" s="1"/>
  <c r="Q4" i="7"/>
  <c r="R4" i="7" s="1"/>
  <c r="N4" i="7"/>
  <c r="O4" i="7" s="1"/>
  <c r="K4" i="7"/>
  <c r="L4" i="7" s="1"/>
  <c r="H4" i="7"/>
  <c r="I4" i="7" s="1"/>
  <c r="D4" i="7"/>
  <c r="D3" i="7"/>
  <c r="AN1" i="7"/>
  <c r="AK1" i="7"/>
  <c r="AH1" i="7"/>
  <c r="AE1" i="7"/>
  <c r="AB1" i="7"/>
  <c r="Y1" i="7"/>
  <c r="V1" i="7"/>
  <c r="S1" i="7"/>
  <c r="P1" i="7"/>
  <c r="M1" i="7"/>
  <c r="J1" i="7"/>
  <c r="G1" i="7"/>
  <c r="AI18" i="6"/>
  <c r="AJ18" i="6" s="1"/>
  <c r="AO27" i="6"/>
  <c r="AP27" i="6" s="1"/>
  <c r="AL27" i="6"/>
  <c r="AM27" i="6" s="1"/>
  <c r="AI27" i="6"/>
  <c r="AJ27" i="6" s="1"/>
  <c r="AF27" i="6"/>
  <c r="AG27" i="6" s="1"/>
  <c r="AC27" i="6"/>
  <c r="AD27" i="6" s="1"/>
  <c r="Z27" i="6"/>
  <c r="AA27" i="6" s="1"/>
  <c r="W27" i="6"/>
  <c r="X27" i="6" s="1"/>
  <c r="T27" i="6"/>
  <c r="U27" i="6" s="1"/>
  <c r="Q27" i="6"/>
  <c r="R27" i="6" s="1"/>
  <c r="N27" i="6"/>
  <c r="O27" i="6" s="1"/>
  <c r="K27" i="6"/>
  <c r="L27" i="6" s="1"/>
  <c r="H27" i="6"/>
  <c r="D27" i="6"/>
  <c r="AO26" i="6"/>
  <c r="AP26" i="6" s="1"/>
  <c r="AL26" i="6"/>
  <c r="AM26" i="6" s="1"/>
  <c r="AI26" i="6"/>
  <c r="AJ26" i="6" s="1"/>
  <c r="AF26" i="6"/>
  <c r="AG26" i="6" s="1"/>
  <c r="AC26" i="6"/>
  <c r="AD26" i="6" s="1"/>
  <c r="Z26" i="6"/>
  <c r="AA26" i="6" s="1"/>
  <c r="W26" i="6"/>
  <c r="X26" i="6" s="1"/>
  <c r="T26" i="6"/>
  <c r="U26" i="6" s="1"/>
  <c r="Q26" i="6"/>
  <c r="R26" i="6" s="1"/>
  <c r="N26" i="6"/>
  <c r="O26" i="6" s="1"/>
  <c r="K26" i="6"/>
  <c r="L26" i="6" s="1"/>
  <c r="H26" i="6"/>
  <c r="E26" i="6" s="1"/>
  <c r="D26" i="6"/>
  <c r="AO25" i="6"/>
  <c r="AP25" i="6" s="1"/>
  <c r="AL25" i="6"/>
  <c r="AM25" i="6" s="1"/>
  <c r="AI25" i="6"/>
  <c r="AJ25" i="6" s="1"/>
  <c r="AF25" i="6"/>
  <c r="AG25" i="6" s="1"/>
  <c r="AC25" i="6"/>
  <c r="AD25" i="6" s="1"/>
  <c r="Z25" i="6"/>
  <c r="AA25" i="6" s="1"/>
  <c r="W25" i="6"/>
  <c r="X25" i="6" s="1"/>
  <c r="T25" i="6"/>
  <c r="U25" i="6" s="1"/>
  <c r="Q25" i="6"/>
  <c r="R25" i="6" s="1"/>
  <c r="N25" i="6"/>
  <c r="O25" i="6" s="1"/>
  <c r="K25" i="6"/>
  <c r="L25" i="6" s="1"/>
  <c r="H25" i="6"/>
  <c r="E25" i="6" s="1"/>
  <c r="D25" i="6"/>
  <c r="AO24" i="6"/>
  <c r="AP24" i="6" s="1"/>
  <c r="AL24" i="6"/>
  <c r="AM24" i="6" s="1"/>
  <c r="AI24" i="6"/>
  <c r="AJ24" i="6" s="1"/>
  <c r="AF24" i="6"/>
  <c r="AG24" i="6" s="1"/>
  <c r="AC24" i="6"/>
  <c r="AD24" i="6" s="1"/>
  <c r="Z24" i="6"/>
  <c r="AA24" i="6" s="1"/>
  <c r="W24" i="6"/>
  <c r="X24" i="6" s="1"/>
  <c r="T24" i="6"/>
  <c r="U24" i="6" s="1"/>
  <c r="Q24" i="6"/>
  <c r="R24" i="6" s="1"/>
  <c r="N24" i="6"/>
  <c r="O24" i="6" s="1"/>
  <c r="K24" i="6"/>
  <c r="L24" i="6" s="1"/>
  <c r="H24" i="6"/>
  <c r="I24" i="6" s="1"/>
  <c r="D24" i="6"/>
  <c r="AO23" i="6"/>
  <c r="AP23" i="6" s="1"/>
  <c r="AL23" i="6"/>
  <c r="AM23" i="6" s="1"/>
  <c r="AI23" i="6"/>
  <c r="AJ23" i="6" s="1"/>
  <c r="AF23" i="6"/>
  <c r="AG23" i="6" s="1"/>
  <c r="AC23" i="6"/>
  <c r="AD23" i="6" s="1"/>
  <c r="Z23" i="6"/>
  <c r="AA23" i="6" s="1"/>
  <c r="W23" i="6"/>
  <c r="X23" i="6" s="1"/>
  <c r="T23" i="6"/>
  <c r="U23" i="6" s="1"/>
  <c r="Q23" i="6"/>
  <c r="R23" i="6" s="1"/>
  <c r="N23" i="6"/>
  <c r="O23" i="6" s="1"/>
  <c r="K23" i="6"/>
  <c r="L23" i="6" s="1"/>
  <c r="H23" i="6"/>
  <c r="I23" i="6" s="1"/>
  <c r="D23" i="6"/>
  <c r="AO22" i="6"/>
  <c r="AP22" i="6" s="1"/>
  <c r="AL22" i="6"/>
  <c r="AM22" i="6" s="1"/>
  <c r="AI22" i="6"/>
  <c r="AJ22" i="6" s="1"/>
  <c r="AF22" i="6"/>
  <c r="AG22" i="6" s="1"/>
  <c r="AC22" i="6"/>
  <c r="AD22" i="6" s="1"/>
  <c r="Z22" i="6"/>
  <c r="AA22" i="6" s="1"/>
  <c r="W22" i="6"/>
  <c r="X22" i="6" s="1"/>
  <c r="T22" i="6"/>
  <c r="U22" i="6" s="1"/>
  <c r="Q22" i="6"/>
  <c r="R22" i="6" s="1"/>
  <c r="N22" i="6"/>
  <c r="O22" i="6" s="1"/>
  <c r="K22" i="6"/>
  <c r="L22" i="6" s="1"/>
  <c r="H22" i="6"/>
  <c r="E22" i="6" s="1"/>
  <c r="D22" i="6"/>
  <c r="AO21" i="6"/>
  <c r="AP21" i="6" s="1"/>
  <c r="AL21" i="6"/>
  <c r="AM21" i="6" s="1"/>
  <c r="AI21" i="6"/>
  <c r="AJ21" i="6" s="1"/>
  <c r="AF21" i="6"/>
  <c r="AG21" i="6" s="1"/>
  <c r="AC21" i="6"/>
  <c r="AD21" i="6" s="1"/>
  <c r="Z21" i="6"/>
  <c r="AA21" i="6" s="1"/>
  <c r="W21" i="6"/>
  <c r="X21" i="6" s="1"/>
  <c r="T21" i="6"/>
  <c r="U21" i="6" s="1"/>
  <c r="Q21" i="6"/>
  <c r="R21" i="6" s="1"/>
  <c r="N21" i="6"/>
  <c r="O21" i="6" s="1"/>
  <c r="K21" i="6"/>
  <c r="L21" i="6" s="1"/>
  <c r="H21" i="6"/>
  <c r="I21" i="6" s="1"/>
  <c r="D21" i="6"/>
  <c r="AO20" i="6"/>
  <c r="AP20" i="6" s="1"/>
  <c r="AL20" i="6"/>
  <c r="AM20" i="6" s="1"/>
  <c r="AI20" i="6"/>
  <c r="AJ20" i="6" s="1"/>
  <c r="AF20" i="6"/>
  <c r="AG20" i="6" s="1"/>
  <c r="AC20" i="6"/>
  <c r="AD20" i="6" s="1"/>
  <c r="Z20" i="6"/>
  <c r="AA20" i="6" s="1"/>
  <c r="W20" i="6"/>
  <c r="X20" i="6" s="1"/>
  <c r="T20" i="6"/>
  <c r="U20" i="6" s="1"/>
  <c r="Q20" i="6"/>
  <c r="R20" i="6" s="1"/>
  <c r="N20" i="6"/>
  <c r="O20" i="6" s="1"/>
  <c r="K20" i="6"/>
  <c r="L20" i="6" s="1"/>
  <c r="H20" i="6"/>
  <c r="E20" i="6" s="1"/>
  <c r="D20" i="6"/>
  <c r="AO19" i="6"/>
  <c r="AP19" i="6" s="1"/>
  <c r="AL19" i="6"/>
  <c r="AM19" i="6" s="1"/>
  <c r="AI19" i="6"/>
  <c r="AJ19" i="6" s="1"/>
  <c r="AF19" i="6"/>
  <c r="AG19" i="6" s="1"/>
  <c r="AC19" i="6"/>
  <c r="AD19" i="6" s="1"/>
  <c r="Z19" i="6"/>
  <c r="AA19" i="6" s="1"/>
  <c r="W19" i="6"/>
  <c r="X19" i="6" s="1"/>
  <c r="T19" i="6"/>
  <c r="U19" i="6" s="1"/>
  <c r="Q19" i="6"/>
  <c r="R19" i="6" s="1"/>
  <c r="N19" i="6"/>
  <c r="O19" i="6" s="1"/>
  <c r="K19" i="6"/>
  <c r="L19" i="6" s="1"/>
  <c r="H19" i="6"/>
  <c r="I19" i="6" s="1"/>
  <c r="D19" i="6"/>
  <c r="AO18" i="6"/>
  <c r="AP18" i="6" s="1"/>
  <c r="AL18" i="6"/>
  <c r="AM18" i="6" s="1"/>
  <c r="AF18" i="6"/>
  <c r="AG18" i="6" s="1"/>
  <c r="AC18" i="6"/>
  <c r="AD18" i="6" s="1"/>
  <c r="Z18" i="6"/>
  <c r="AA18" i="6" s="1"/>
  <c r="W18" i="6"/>
  <c r="X18" i="6" s="1"/>
  <c r="T18" i="6"/>
  <c r="U18" i="6" s="1"/>
  <c r="Q18" i="6"/>
  <c r="R18" i="6" s="1"/>
  <c r="N18" i="6"/>
  <c r="O18" i="6" s="1"/>
  <c r="K18" i="6"/>
  <c r="L18" i="6" s="1"/>
  <c r="H18" i="6"/>
  <c r="E18" i="6" s="1"/>
  <c r="D18" i="6"/>
  <c r="AO17" i="6"/>
  <c r="AP17" i="6" s="1"/>
  <c r="AL17" i="6"/>
  <c r="AM17" i="6" s="1"/>
  <c r="AI17" i="6"/>
  <c r="AJ17" i="6" s="1"/>
  <c r="AF17" i="6"/>
  <c r="AG17" i="6" s="1"/>
  <c r="AC17" i="6"/>
  <c r="AD17" i="6" s="1"/>
  <c r="Z17" i="6"/>
  <c r="AA17" i="6" s="1"/>
  <c r="W17" i="6"/>
  <c r="X17" i="6" s="1"/>
  <c r="T17" i="6"/>
  <c r="U17" i="6" s="1"/>
  <c r="Q17" i="6"/>
  <c r="R17" i="6" s="1"/>
  <c r="N17" i="6"/>
  <c r="O17" i="6" s="1"/>
  <c r="K17" i="6"/>
  <c r="L17" i="6" s="1"/>
  <c r="H17" i="6"/>
  <c r="E17" i="6" s="1"/>
  <c r="D17" i="6"/>
  <c r="AO16" i="6"/>
  <c r="AP16" i="6" s="1"/>
  <c r="AL16" i="6"/>
  <c r="AM16" i="6" s="1"/>
  <c r="AI16" i="6"/>
  <c r="AJ16" i="6" s="1"/>
  <c r="AF16" i="6"/>
  <c r="AG16" i="6" s="1"/>
  <c r="AC16" i="6"/>
  <c r="AD16" i="6" s="1"/>
  <c r="Z16" i="6"/>
  <c r="AA16" i="6" s="1"/>
  <c r="W16" i="6"/>
  <c r="X16" i="6" s="1"/>
  <c r="T16" i="6"/>
  <c r="U16" i="6" s="1"/>
  <c r="Q16" i="6"/>
  <c r="R16" i="6" s="1"/>
  <c r="N16" i="6"/>
  <c r="O16" i="6" s="1"/>
  <c r="K16" i="6"/>
  <c r="L16" i="6" s="1"/>
  <c r="H16" i="6"/>
  <c r="I16" i="6" s="1"/>
  <c r="D16" i="6"/>
  <c r="AO15" i="6"/>
  <c r="AP15" i="6" s="1"/>
  <c r="AL15" i="6"/>
  <c r="AM15" i="6" s="1"/>
  <c r="AI15" i="6"/>
  <c r="AJ15" i="6" s="1"/>
  <c r="AF15" i="6"/>
  <c r="AG15" i="6" s="1"/>
  <c r="AC15" i="6"/>
  <c r="AD15" i="6" s="1"/>
  <c r="Z15" i="6"/>
  <c r="AA15" i="6" s="1"/>
  <c r="W15" i="6"/>
  <c r="X15" i="6" s="1"/>
  <c r="T15" i="6"/>
  <c r="U15" i="6" s="1"/>
  <c r="Q15" i="6"/>
  <c r="R15" i="6" s="1"/>
  <c r="N15" i="6"/>
  <c r="O15" i="6" s="1"/>
  <c r="K15" i="6"/>
  <c r="L15" i="6" s="1"/>
  <c r="H15" i="6"/>
  <c r="E15" i="6" s="1"/>
  <c r="D15" i="6"/>
  <c r="AO14" i="6"/>
  <c r="AP14" i="6" s="1"/>
  <c r="AL14" i="6"/>
  <c r="AM14" i="6" s="1"/>
  <c r="AI14" i="6"/>
  <c r="AJ14" i="6" s="1"/>
  <c r="AF14" i="6"/>
  <c r="AG14" i="6" s="1"/>
  <c r="AC14" i="6"/>
  <c r="AD14" i="6" s="1"/>
  <c r="Z14" i="6"/>
  <c r="AA14" i="6" s="1"/>
  <c r="W14" i="6"/>
  <c r="X14" i="6" s="1"/>
  <c r="T14" i="6"/>
  <c r="U14" i="6" s="1"/>
  <c r="Q14" i="6"/>
  <c r="R14" i="6" s="1"/>
  <c r="N14" i="6"/>
  <c r="O14" i="6" s="1"/>
  <c r="K14" i="6"/>
  <c r="L14" i="6" s="1"/>
  <c r="H14" i="6"/>
  <c r="I14" i="6" s="1"/>
  <c r="D14" i="6"/>
  <c r="AO13" i="6"/>
  <c r="AP13" i="6" s="1"/>
  <c r="AL13" i="6"/>
  <c r="AM13" i="6" s="1"/>
  <c r="AI13" i="6"/>
  <c r="AJ13" i="6" s="1"/>
  <c r="AF13" i="6"/>
  <c r="AG13" i="6" s="1"/>
  <c r="AC13" i="6"/>
  <c r="AD13" i="6" s="1"/>
  <c r="Z13" i="6"/>
  <c r="AA13" i="6" s="1"/>
  <c r="W13" i="6"/>
  <c r="X13" i="6" s="1"/>
  <c r="T13" i="6"/>
  <c r="U13" i="6" s="1"/>
  <c r="Q13" i="6"/>
  <c r="R13" i="6" s="1"/>
  <c r="N13" i="6"/>
  <c r="O13" i="6" s="1"/>
  <c r="K13" i="6"/>
  <c r="L13" i="6" s="1"/>
  <c r="H13" i="6"/>
  <c r="E13" i="6" s="1"/>
  <c r="D13" i="6"/>
  <c r="AO12" i="6"/>
  <c r="AP12" i="6" s="1"/>
  <c r="AL12" i="6"/>
  <c r="AM12" i="6" s="1"/>
  <c r="AI12" i="6"/>
  <c r="AJ12" i="6" s="1"/>
  <c r="AF12" i="6"/>
  <c r="AG12" i="6" s="1"/>
  <c r="AC12" i="6"/>
  <c r="AD12" i="6" s="1"/>
  <c r="Z12" i="6"/>
  <c r="AA12" i="6" s="1"/>
  <c r="W12" i="6"/>
  <c r="X12" i="6" s="1"/>
  <c r="T12" i="6"/>
  <c r="U12" i="6" s="1"/>
  <c r="Q12" i="6"/>
  <c r="R12" i="6" s="1"/>
  <c r="N12" i="6"/>
  <c r="O12" i="6" s="1"/>
  <c r="K12" i="6"/>
  <c r="L12" i="6" s="1"/>
  <c r="H12" i="6"/>
  <c r="E12" i="6" s="1"/>
  <c r="D12" i="6"/>
  <c r="AO11" i="6"/>
  <c r="AP11" i="6" s="1"/>
  <c r="AL11" i="6"/>
  <c r="AM11" i="6" s="1"/>
  <c r="AI11" i="6"/>
  <c r="AJ11" i="6" s="1"/>
  <c r="AF11" i="6"/>
  <c r="AG11" i="6" s="1"/>
  <c r="AC11" i="6"/>
  <c r="AD11" i="6" s="1"/>
  <c r="Z11" i="6"/>
  <c r="AA11" i="6" s="1"/>
  <c r="W11" i="6"/>
  <c r="X11" i="6" s="1"/>
  <c r="T11" i="6"/>
  <c r="U11" i="6" s="1"/>
  <c r="Q11" i="6"/>
  <c r="R11" i="6" s="1"/>
  <c r="N11" i="6"/>
  <c r="O11" i="6" s="1"/>
  <c r="K11" i="6"/>
  <c r="L11" i="6" s="1"/>
  <c r="H11" i="6"/>
  <c r="I11" i="6" s="1"/>
  <c r="D11" i="6"/>
  <c r="AO10" i="6"/>
  <c r="AP10" i="6" s="1"/>
  <c r="AL10" i="6"/>
  <c r="AM10" i="6" s="1"/>
  <c r="AI10" i="6"/>
  <c r="AJ10" i="6" s="1"/>
  <c r="AF10" i="6"/>
  <c r="AG10" i="6" s="1"/>
  <c r="AC10" i="6"/>
  <c r="AD10" i="6" s="1"/>
  <c r="Z10" i="6"/>
  <c r="AA10" i="6" s="1"/>
  <c r="W10" i="6"/>
  <c r="X10" i="6" s="1"/>
  <c r="T10" i="6"/>
  <c r="U10" i="6" s="1"/>
  <c r="Q10" i="6"/>
  <c r="R10" i="6" s="1"/>
  <c r="N10" i="6"/>
  <c r="O10" i="6" s="1"/>
  <c r="K10" i="6"/>
  <c r="L10" i="6" s="1"/>
  <c r="H10" i="6"/>
  <c r="E10" i="6" s="1"/>
  <c r="D10" i="6"/>
  <c r="AO9" i="6"/>
  <c r="AP9" i="6" s="1"/>
  <c r="AL9" i="6"/>
  <c r="AM9" i="6" s="1"/>
  <c r="AI9" i="6"/>
  <c r="AJ9" i="6" s="1"/>
  <c r="AF9" i="6"/>
  <c r="AG9" i="6" s="1"/>
  <c r="AC9" i="6"/>
  <c r="AD9" i="6" s="1"/>
  <c r="Z9" i="6"/>
  <c r="AA9" i="6" s="1"/>
  <c r="W9" i="6"/>
  <c r="X9" i="6" s="1"/>
  <c r="T9" i="6"/>
  <c r="U9" i="6" s="1"/>
  <c r="Q9" i="6"/>
  <c r="R9" i="6" s="1"/>
  <c r="N9" i="6"/>
  <c r="O9" i="6" s="1"/>
  <c r="K9" i="6"/>
  <c r="L9" i="6" s="1"/>
  <c r="H9" i="6"/>
  <c r="I9" i="6" s="1"/>
  <c r="D9" i="6"/>
  <c r="AO8" i="6"/>
  <c r="AP8" i="6" s="1"/>
  <c r="AL8" i="6"/>
  <c r="AM8" i="6" s="1"/>
  <c r="AI8" i="6"/>
  <c r="AJ8" i="6" s="1"/>
  <c r="AF8" i="6"/>
  <c r="AG8" i="6" s="1"/>
  <c r="AC8" i="6"/>
  <c r="AD8" i="6" s="1"/>
  <c r="Z8" i="6"/>
  <c r="AA8" i="6" s="1"/>
  <c r="W8" i="6"/>
  <c r="X8" i="6" s="1"/>
  <c r="T8" i="6"/>
  <c r="U8" i="6" s="1"/>
  <c r="Q8" i="6"/>
  <c r="R8" i="6" s="1"/>
  <c r="N8" i="6"/>
  <c r="O8" i="6" s="1"/>
  <c r="K8" i="6"/>
  <c r="L8" i="6" s="1"/>
  <c r="H8" i="6"/>
  <c r="D8" i="6"/>
  <c r="AO7" i="6"/>
  <c r="AP7" i="6" s="1"/>
  <c r="AL7" i="6"/>
  <c r="AM7" i="6" s="1"/>
  <c r="AI7" i="6"/>
  <c r="AJ7" i="6" s="1"/>
  <c r="AF7" i="6"/>
  <c r="AG7" i="6" s="1"/>
  <c r="AC7" i="6"/>
  <c r="AD7" i="6" s="1"/>
  <c r="Z7" i="6"/>
  <c r="AA7" i="6" s="1"/>
  <c r="W7" i="6"/>
  <c r="X7" i="6" s="1"/>
  <c r="T7" i="6"/>
  <c r="U7" i="6" s="1"/>
  <c r="Q7" i="6"/>
  <c r="R7" i="6" s="1"/>
  <c r="N7" i="6"/>
  <c r="O7" i="6" s="1"/>
  <c r="K7" i="6"/>
  <c r="L7" i="6" s="1"/>
  <c r="H7" i="6"/>
  <c r="D7" i="6"/>
  <c r="AO6" i="6"/>
  <c r="AP6" i="6" s="1"/>
  <c r="AL6" i="6"/>
  <c r="AM6" i="6" s="1"/>
  <c r="AI6" i="6"/>
  <c r="AJ6" i="6" s="1"/>
  <c r="AF6" i="6"/>
  <c r="AG6" i="6" s="1"/>
  <c r="AC6" i="6"/>
  <c r="AD6" i="6" s="1"/>
  <c r="Z6" i="6"/>
  <c r="AA6" i="6" s="1"/>
  <c r="W6" i="6"/>
  <c r="X6" i="6" s="1"/>
  <c r="T6" i="6"/>
  <c r="U6" i="6" s="1"/>
  <c r="Q6" i="6"/>
  <c r="R6" i="6" s="1"/>
  <c r="N6" i="6"/>
  <c r="O6" i="6" s="1"/>
  <c r="K6" i="6"/>
  <c r="L6" i="6" s="1"/>
  <c r="H6" i="6"/>
  <c r="I6" i="6" s="1"/>
  <c r="D6" i="6"/>
  <c r="AO5" i="6"/>
  <c r="AP5" i="6" s="1"/>
  <c r="AL5" i="6"/>
  <c r="AM5" i="6" s="1"/>
  <c r="AI5" i="6"/>
  <c r="AJ5" i="6" s="1"/>
  <c r="AF5" i="6"/>
  <c r="AG5" i="6" s="1"/>
  <c r="AC5" i="6"/>
  <c r="AD5" i="6" s="1"/>
  <c r="Z5" i="6"/>
  <c r="AA5" i="6" s="1"/>
  <c r="W5" i="6"/>
  <c r="X5" i="6" s="1"/>
  <c r="T5" i="6"/>
  <c r="U5" i="6" s="1"/>
  <c r="Q5" i="6"/>
  <c r="R5" i="6" s="1"/>
  <c r="N5" i="6"/>
  <c r="O5" i="6" s="1"/>
  <c r="K5" i="6"/>
  <c r="L5" i="6" s="1"/>
  <c r="H5" i="6"/>
  <c r="I5" i="6" s="1"/>
  <c r="D5" i="6"/>
  <c r="AO4" i="6"/>
  <c r="AP4" i="6" s="1"/>
  <c r="AL4" i="6"/>
  <c r="AM4" i="6" s="1"/>
  <c r="AI4" i="6"/>
  <c r="AJ4" i="6" s="1"/>
  <c r="AF4" i="6"/>
  <c r="AG4" i="6" s="1"/>
  <c r="AC4" i="6"/>
  <c r="AD4" i="6" s="1"/>
  <c r="Z4" i="6"/>
  <c r="AA4" i="6" s="1"/>
  <c r="W4" i="6"/>
  <c r="X4" i="6" s="1"/>
  <c r="T4" i="6"/>
  <c r="U4" i="6" s="1"/>
  <c r="Q4" i="6"/>
  <c r="R4" i="6" s="1"/>
  <c r="N4" i="6"/>
  <c r="O4" i="6" s="1"/>
  <c r="K4" i="6"/>
  <c r="L4" i="6" s="1"/>
  <c r="H4" i="6"/>
  <c r="I4" i="6" s="1"/>
  <c r="D4" i="6"/>
  <c r="D3" i="6"/>
  <c r="AN1" i="6"/>
  <c r="AK1" i="6"/>
  <c r="AH1" i="6"/>
  <c r="AE1" i="6"/>
  <c r="AB1" i="6"/>
  <c r="Y1" i="6"/>
  <c r="V1" i="6"/>
  <c r="S1" i="6"/>
  <c r="P1" i="6"/>
  <c r="M1" i="6"/>
  <c r="J1" i="6"/>
  <c r="G1" i="6"/>
  <c r="AO18" i="11"/>
  <c r="AP18" i="11" s="1"/>
  <c r="AL18" i="11"/>
  <c r="AM18" i="11" s="1"/>
  <c r="AI18" i="11"/>
  <c r="AJ18" i="11" s="1"/>
  <c r="AF18" i="11"/>
  <c r="AG18" i="11" s="1"/>
  <c r="AC18" i="11"/>
  <c r="AD18" i="11" s="1"/>
  <c r="Z18" i="11"/>
  <c r="AA18" i="11" s="1"/>
  <c r="W18" i="11"/>
  <c r="X18" i="11" s="1"/>
  <c r="T18" i="11"/>
  <c r="U18" i="11" s="1"/>
  <c r="Q18" i="11"/>
  <c r="R18" i="11" s="1"/>
  <c r="N18" i="11"/>
  <c r="O18" i="11" s="1"/>
  <c r="K18" i="11"/>
  <c r="L18" i="11" s="1"/>
  <c r="H18" i="11"/>
  <c r="E18" i="11" s="1"/>
  <c r="D18" i="11"/>
  <c r="AO17" i="11"/>
  <c r="AP17" i="11" s="1"/>
  <c r="AL17" i="11"/>
  <c r="AM17" i="11" s="1"/>
  <c r="AI17" i="11"/>
  <c r="AJ17" i="11" s="1"/>
  <c r="AF17" i="11"/>
  <c r="AG17" i="11" s="1"/>
  <c r="AC17" i="11"/>
  <c r="AD17" i="11" s="1"/>
  <c r="Z17" i="11"/>
  <c r="AA17" i="11" s="1"/>
  <c r="W17" i="11"/>
  <c r="X17" i="11" s="1"/>
  <c r="T17" i="11"/>
  <c r="U17" i="11" s="1"/>
  <c r="Q17" i="11"/>
  <c r="R17" i="11" s="1"/>
  <c r="N17" i="11"/>
  <c r="O17" i="11" s="1"/>
  <c r="K17" i="11"/>
  <c r="L17" i="11" s="1"/>
  <c r="H17" i="11"/>
  <c r="E17" i="11" s="1"/>
  <c r="D17" i="11"/>
  <c r="AO16" i="11"/>
  <c r="AP16" i="11" s="1"/>
  <c r="AL16" i="11"/>
  <c r="AM16" i="11" s="1"/>
  <c r="AI16" i="11"/>
  <c r="AJ16" i="11" s="1"/>
  <c r="AF16" i="11"/>
  <c r="AG16" i="11" s="1"/>
  <c r="AC16" i="11"/>
  <c r="AD16" i="11" s="1"/>
  <c r="Z16" i="11"/>
  <c r="AA16" i="11" s="1"/>
  <c r="W16" i="11"/>
  <c r="X16" i="11" s="1"/>
  <c r="T16" i="11"/>
  <c r="U16" i="11" s="1"/>
  <c r="Q16" i="11"/>
  <c r="R16" i="11" s="1"/>
  <c r="N16" i="11"/>
  <c r="O16" i="11" s="1"/>
  <c r="K16" i="11"/>
  <c r="L16" i="11" s="1"/>
  <c r="H16" i="11"/>
  <c r="I16" i="11" s="1"/>
  <c r="D16" i="11"/>
  <c r="AO15" i="11"/>
  <c r="AP15" i="11" s="1"/>
  <c r="AL15" i="11"/>
  <c r="AM15" i="11" s="1"/>
  <c r="AI15" i="11"/>
  <c r="AJ15" i="11" s="1"/>
  <c r="AF15" i="11"/>
  <c r="AG15" i="11" s="1"/>
  <c r="AC15" i="11"/>
  <c r="AD15" i="11" s="1"/>
  <c r="Z15" i="11"/>
  <c r="AA15" i="11" s="1"/>
  <c r="W15" i="11"/>
  <c r="X15" i="11" s="1"/>
  <c r="T15" i="11"/>
  <c r="U15" i="11" s="1"/>
  <c r="Q15" i="11"/>
  <c r="R15" i="11" s="1"/>
  <c r="N15" i="11"/>
  <c r="O15" i="11" s="1"/>
  <c r="K15" i="11"/>
  <c r="L15" i="11" s="1"/>
  <c r="H15" i="11"/>
  <c r="E15" i="11" s="1"/>
  <c r="D15" i="11"/>
  <c r="AO14" i="11"/>
  <c r="AP14" i="11" s="1"/>
  <c r="AL14" i="11"/>
  <c r="AM14" i="11" s="1"/>
  <c r="AI14" i="11"/>
  <c r="AJ14" i="11" s="1"/>
  <c r="AF14" i="11"/>
  <c r="AG14" i="11" s="1"/>
  <c r="AC14" i="11"/>
  <c r="AD14" i="11" s="1"/>
  <c r="Z14" i="11"/>
  <c r="AA14" i="11" s="1"/>
  <c r="W14" i="11"/>
  <c r="X14" i="11" s="1"/>
  <c r="T14" i="11"/>
  <c r="U14" i="11" s="1"/>
  <c r="Q14" i="11"/>
  <c r="R14" i="11" s="1"/>
  <c r="N14" i="11"/>
  <c r="O14" i="11" s="1"/>
  <c r="K14" i="11"/>
  <c r="L14" i="11" s="1"/>
  <c r="H14" i="11"/>
  <c r="E14" i="11" s="1"/>
  <c r="D14" i="11"/>
  <c r="AO13" i="11"/>
  <c r="AP13" i="11" s="1"/>
  <c r="AL13" i="11"/>
  <c r="AM13" i="11" s="1"/>
  <c r="AI13" i="11"/>
  <c r="AJ13" i="11" s="1"/>
  <c r="AF13" i="11"/>
  <c r="AG13" i="11" s="1"/>
  <c r="AC13" i="11"/>
  <c r="AD13" i="11" s="1"/>
  <c r="Z13" i="11"/>
  <c r="AA13" i="11" s="1"/>
  <c r="W13" i="11"/>
  <c r="X13" i="11" s="1"/>
  <c r="T13" i="11"/>
  <c r="U13" i="11" s="1"/>
  <c r="Q13" i="11"/>
  <c r="R13" i="11" s="1"/>
  <c r="N13" i="11"/>
  <c r="O13" i="11" s="1"/>
  <c r="K13" i="11"/>
  <c r="L13" i="11" s="1"/>
  <c r="H13" i="11"/>
  <c r="E13" i="11" s="1"/>
  <c r="D13" i="11"/>
  <c r="AO12" i="11"/>
  <c r="AP12" i="11" s="1"/>
  <c r="AL12" i="11"/>
  <c r="AM12" i="11" s="1"/>
  <c r="AI12" i="11"/>
  <c r="AJ12" i="11" s="1"/>
  <c r="AF12" i="11"/>
  <c r="AG12" i="11" s="1"/>
  <c r="AC12" i="11"/>
  <c r="AD12" i="11" s="1"/>
  <c r="Z12" i="11"/>
  <c r="AA12" i="11" s="1"/>
  <c r="W12" i="11"/>
  <c r="X12" i="11" s="1"/>
  <c r="T12" i="11"/>
  <c r="U12" i="11" s="1"/>
  <c r="Q12" i="11"/>
  <c r="R12" i="11" s="1"/>
  <c r="N12" i="11"/>
  <c r="O12" i="11" s="1"/>
  <c r="K12" i="11"/>
  <c r="L12" i="11" s="1"/>
  <c r="H12" i="11"/>
  <c r="I12" i="11" s="1"/>
  <c r="D12" i="11"/>
  <c r="AO11" i="11"/>
  <c r="AP11" i="11" s="1"/>
  <c r="AL11" i="11"/>
  <c r="AM11" i="11" s="1"/>
  <c r="AI11" i="11"/>
  <c r="AJ11" i="11" s="1"/>
  <c r="AF11" i="11"/>
  <c r="AG11" i="11" s="1"/>
  <c r="AC11" i="11"/>
  <c r="AD11" i="11" s="1"/>
  <c r="Z11" i="11"/>
  <c r="AA11" i="11" s="1"/>
  <c r="W11" i="11"/>
  <c r="X11" i="11" s="1"/>
  <c r="T11" i="11"/>
  <c r="U11" i="11" s="1"/>
  <c r="Q11" i="11"/>
  <c r="R11" i="11" s="1"/>
  <c r="N11" i="11"/>
  <c r="O11" i="11" s="1"/>
  <c r="K11" i="11"/>
  <c r="L11" i="11" s="1"/>
  <c r="H11" i="11"/>
  <c r="I11" i="11" s="1"/>
  <c r="D11" i="11"/>
  <c r="AO10" i="11"/>
  <c r="AP10" i="11" s="1"/>
  <c r="AL10" i="11"/>
  <c r="AM10" i="11" s="1"/>
  <c r="AI10" i="11"/>
  <c r="AJ10" i="11" s="1"/>
  <c r="AF10" i="11"/>
  <c r="AG10" i="11" s="1"/>
  <c r="AC10" i="11"/>
  <c r="AD10" i="11" s="1"/>
  <c r="Z10" i="11"/>
  <c r="AA10" i="11" s="1"/>
  <c r="W10" i="11"/>
  <c r="X10" i="11" s="1"/>
  <c r="T10" i="11"/>
  <c r="U10" i="11" s="1"/>
  <c r="Q10" i="11"/>
  <c r="R10" i="11" s="1"/>
  <c r="N10" i="11"/>
  <c r="O10" i="11" s="1"/>
  <c r="K10" i="11"/>
  <c r="L10" i="11" s="1"/>
  <c r="H10" i="11"/>
  <c r="E10" i="11" s="1"/>
  <c r="D10" i="11"/>
  <c r="AO9" i="11"/>
  <c r="AP9" i="11" s="1"/>
  <c r="AL9" i="11"/>
  <c r="AM9" i="11" s="1"/>
  <c r="AI9" i="11"/>
  <c r="AJ9" i="11" s="1"/>
  <c r="AF9" i="11"/>
  <c r="AG9" i="11" s="1"/>
  <c r="AC9" i="11"/>
  <c r="AD9" i="11" s="1"/>
  <c r="Z9" i="11"/>
  <c r="AA9" i="11" s="1"/>
  <c r="W9" i="11"/>
  <c r="X9" i="11" s="1"/>
  <c r="T9" i="11"/>
  <c r="U9" i="11" s="1"/>
  <c r="Q9" i="11"/>
  <c r="R9" i="11" s="1"/>
  <c r="N9" i="11"/>
  <c r="O9" i="11" s="1"/>
  <c r="K9" i="11"/>
  <c r="L9" i="11" s="1"/>
  <c r="H9" i="11"/>
  <c r="E9" i="11" s="1"/>
  <c r="D9" i="11"/>
  <c r="AO8" i="11"/>
  <c r="AP8" i="11" s="1"/>
  <c r="AL8" i="11"/>
  <c r="AM8" i="11" s="1"/>
  <c r="AI8" i="11"/>
  <c r="AJ8" i="11" s="1"/>
  <c r="AF8" i="11"/>
  <c r="AG8" i="11" s="1"/>
  <c r="AC8" i="11"/>
  <c r="AD8" i="11" s="1"/>
  <c r="Z8" i="11"/>
  <c r="AA8" i="11" s="1"/>
  <c r="W8" i="11"/>
  <c r="X8" i="11" s="1"/>
  <c r="T8" i="11"/>
  <c r="U8" i="11" s="1"/>
  <c r="Q8" i="11"/>
  <c r="R8" i="11" s="1"/>
  <c r="N8" i="11"/>
  <c r="O8" i="11" s="1"/>
  <c r="K8" i="11"/>
  <c r="L8" i="11" s="1"/>
  <c r="H8" i="11"/>
  <c r="I8" i="11" s="1"/>
  <c r="D8" i="11"/>
  <c r="AO7" i="11"/>
  <c r="AP7" i="11" s="1"/>
  <c r="AL7" i="11"/>
  <c r="AM7" i="11" s="1"/>
  <c r="AI7" i="11"/>
  <c r="AJ7" i="11" s="1"/>
  <c r="AF7" i="11"/>
  <c r="AG7" i="11" s="1"/>
  <c r="AC7" i="11"/>
  <c r="AD7" i="11" s="1"/>
  <c r="Z7" i="11"/>
  <c r="AA7" i="11" s="1"/>
  <c r="W7" i="11"/>
  <c r="X7" i="11" s="1"/>
  <c r="T7" i="11"/>
  <c r="U7" i="11" s="1"/>
  <c r="Q7" i="11"/>
  <c r="R7" i="11" s="1"/>
  <c r="N7" i="11"/>
  <c r="O7" i="11" s="1"/>
  <c r="K7" i="11"/>
  <c r="L7" i="11" s="1"/>
  <c r="H7" i="11"/>
  <c r="E7" i="11" s="1"/>
  <c r="D7" i="11"/>
  <c r="AO6" i="11"/>
  <c r="AP6" i="11" s="1"/>
  <c r="AL6" i="11"/>
  <c r="AM6" i="11" s="1"/>
  <c r="AI6" i="11"/>
  <c r="AJ6" i="11" s="1"/>
  <c r="AF6" i="11"/>
  <c r="AG6" i="11" s="1"/>
  <c r="AC6" i="11"/>
  <c r="AD6" i="11" s="1"/>
  <c r="Z6" i="11"/>
  <c r="AA6" i="11" s="1"/>
  <c r="W6" i="11"/>
  <c r="X6" i="11" s="1"/>
  <c r="T6" i="11"/>
  <c r="U6" i="11" s="1"/>
  <c r="Q6" i="11"/>
  <c r="R6" i="11" s="1"/>
  <c r="N6" i="11"/>
  <c r="O6" i="11" s="1"/>
  <c r="K6" i="11"/>
  <c r="L6" i="11" s="1"/>
  <c r="H6" i="11"/>
  <c r="E6" i="11" s="1"/>
  <c r="D6" i="11"/>
  <c r="AO5" i="11"/>
  <c r="AP5" i="11" s="1"/>
  <c r="AL5" i="11"/>
  <c r="AM5" i="11" s="1"/>
  <c r="AI5" i="11"/>
  <c r="AJ5" i="11" s="1"/>
  <c r="AF5" i="11"/>
  <c r="AG5" i="11" s="1"/>
  <c r="AC5" i="11"/>
  <c r="AD5" i="11" s="1"/>
  <c r="Z5" i="11"/>
  <c r="AA5" i="11" s="1"/>
  <c r="W5" i="11"/>
  <c r="X5" i="11" s="1"/>
  <c r="T5" i="11"/>
  <c r="U5" i="11" s="1"/>
  <c r="Q5" i="11"/>
  <c r="R5" i="11" s="1"/>
  <c r="N5" i="11"/>
  <c r="O5" i="11" s="1"/>
  <c r="K5" i="11"/>
  <c r="L5" i="11" s="1"/>
  <c r="H5" i="11"/>
  <c r="E5" i="11" s="1"/>
  <c r="D5" i="11"/>
  <c r="AO4" i="11"/>
  <c r="AP4" i="11" s="1"/>
  <c r="AL4" i="11"/>
  <c r="AM4" i="11" s="1"/>
  <c r="AI4" i="11"/>
  <c r="AJ4" i="11" s="1"/>
  <c r="AF4" i="11"/>
  <c r="AG4" i="11" s="1"/>
  <c r="AC4" i="11"/>
  <c r="AD4" i="11" s="1"/>
  <c r="Z4" i="11"/>
  <c r="AA4" i="11" s="1"/>
  <c r="W4" i="11"/>
  <c r="X4" i="11" s="1"/>
  <c r="T4" i="11"/>
  <c r="U4" i="11" s="1"/>
  <c r="Q4" i="11"/>
  <c r="R4" i="11" s="1"/>
  <c r="N4" i="11"/>
  <c r="O4" i="11" s="1"/>
  <c r="K4" i="11"/>
  <c r="L4" i="11" s="1"/>
  <c r="H4" i="11"/>
  <c r="I4" i="11" s="1"/>
  <c r="D4" i="11"/>
  <c r="D3" i="11"/>
  <c r="AN1" i="11"/>
  <c r="AK1" i="11"/>
  <c r="AH1" i="11"/>
  <c r="AE1" i="11"/>
  <c r="AB1" i="11"/>
  <c r="Y1" i="11"/>
  <c r="V1" i="11"/>
  <c r="S1" i="11"/>
  <c r="P1" i="11"/>
  <c r="M1" i="11"/>
  <c r="J1" i="11"/>
  <c r="G1" i="11"/>
  <c r="AO24" i="10"/>
  <c r="AP24" i="10" s="1"/>
  <c r="AL24" i="10"/>
  <c r="AM24" i="10" s="1"/>
  <c r="AI24" i="10"/>
  <c r="AJ24" i="10" s="1"/>
  <c r="AF24" i="10"/>
  <c r="AG24" i="10" s="1"/>
  <c r="AC24" i="10"/>
  <c r="AD24" i="10" s="1"/>
  <c r="Z24" i="10"/>
  <c r="AA24" i="10" s="1"/>
  <c r="W24" i="10"/>
  <c r="X24" i="10" s="1"/>
  <c r="T24" i="10"/>
  <c r="U24" i="10" s="1"/>
  <c r="Q24" i="10"/>
  <c r="R24" i="10" s="1"/>
  <c r="N24" i="10"/>
  <c r="O24" i="10" s="1"/>
  <c r="K24" i="10"/>
  <c r="L24" i="10" s="1"/>
  <c r="H24" i="10"/>
  <c r="I24" i="10" s="1"/>
  <c r="D24" i="10"/>
  <c r="AO23" i="10"/>
  <c r="AP23" i="10" s="1"/>
  <c r="AL23" i="10"/>
  <c r="AM23" i="10" s="1"/>
  <c r="AI23" i="10"/>
  <c r="AJ23" i="10" s="1"/>
  <c r="AF23" i="10"/>
  <c r="AG23" i="10" s="1"/>
  <c r="AC23" i="10"/>
  <c r="AD23" i="10" s="1"/>
  <c r="Z23" i="10"/>
  <c r="AA23" i="10" s="1"/>
  <c r="W23" i="10"/>
  <c r="X23" i="10" s="1"/>
  <c r="T23" i="10"/>
  <c r="U23" i="10" s="1"/>
  <c r="Q23" i="10"/>
  <c r="R23" i="10" s="1"/>
  <c r="N23" i="10"/>
  <c r="O23" i="10" s="1"/>
  <c r="K23" i="10"/>
  <c r="L23" i="10" s="1"/>
  <c r="H23" i="10"/>
  <c r="E23" i="10" s="1"/>
  <c r="D23" i="10"/>
  <c r="AO22" i="10"/>
  <c r="AP22" i="10" s="1"/>
  <c r="AL22" i="10"/>
  <c r="AM22" i="10" s="1"/>
  <c r="AI22" i="10"/>
  <c r="AJ22" i="10" s="1"/>
  <c r="AF22" i="10"/>
  <c r="AG22" i="10" s="1"/>
  <c r="AC22" i="10"/>
  <c r="AD22" i="10" s="1"/>
  <c r="Z22" i="10"/>
  <c r="AA22" i="10" s="1"/>
  <c r="W22" i="10"/>
  <c r="X22" i="10" s="1"/>
  <c r="T22" i="10"/>
  <c r="U22" i="10" s="1"/>
  <c r="Q22" i="10"/>
  <c r="R22" i="10" s="1"/>
  <c r="N22" i="10"/>
  <c r="O22" i="10" s="1"/>
  <c r="K22" i="10"/>
  <c r="L22" i="10" s="1"/>
  <c r="H22" i="10"/>
  <c r="E22" i="10" s="1"/>
  <c r="D22" i="10"/>
  <c r="AO21" i="10"/>
  <c r="AP21" i="10" s="1"/>
  <c r="AL21" i="10"/>
  <c r="AM21" i="10" s="1"/>
  <c r="AI21" i="10"/>
  <c r="AJ21" i="10" s="1"/>
  <c r="AF21" i="10"/>
  <c r="AG21" i="10" s="1"/>
  <c r="AC21" i="10"/>
  <c r="AD21" i="10" s="1"/>
  <c r="Z21" i="10"/>
  <c r="AA21" i="10" s="1"/>
  <c r="W21" i="10"/>
  <c r="X21" i="10" s="1"/>
  <c r="T21" i="10"/>
  <c r="U21" i="10" s="1"/>
  <c r="Q21" i="10"/>
  <c r="R21" i="10" s="1"/>
  <c r="N21" i="10"/>
  <c r="O21" i="10" s="1"/>
  <c r="K21" i="10"/>
  <c r="L21" i="10" s="1"/>
  <c r="H21" i="10"/>
  <c r="E21" i="10" s="1"/>
  <c r="D21" i="10"/>
  <c r="AO20" i="10"/>
  <c r="AP20" i="10" s="1"/>
  <c r="AL20" i="10"/>
  <c r="AM20" i="10" s="1"/>
  <c r="AI20" i="10"/>
  <c r="AJ20" i="10" s="1"/>
  <c r="AF20" i="10"/>
  <c r="AG20" i="10" s="1"/>
  <c r="AC20" i="10"/>
  <c r="AD20" i="10" s="1"/>
  <c r="Z20" i="10"/>
  <c r="AA20" i="10" s="1"/>
  <c r="W20" i="10"/>
  <c r="X20" i="10" s="1"/>
  <c r="T20" i="10"/>
  <c r="U20" i="10" s="1"/>
  <c r="Q20" i="10"/>
  <c r="R20" i="10" s="1"/>
  <c r="N20" i="10"/>
  <c r="O20" i="10" s="1"/>
  <c r="K20" i="10"/>
  <c r="L20" i="10" s="1"/>
  <c r="H20" i="10"/>
  <c r="I20" i="10" s="1"/>
  <c r="D20" i="10"/>
  <c r="AO19" i="10"/>
  <c r="AP19" i="10" s="1"/>
  <c r="AL19" i="10"/>
  <c r="AM19" i="10" s="1"/>
  <c r="AI19" i="10"/>
  <c r="AJ19" i="10" s="1"/>
  <c r="AF19" i="10"/>
  <c r="AG19" i="10" s="1"/>
  <c r="AC19" i="10"/>
  <c r="AD19" i="10" s="1"/>
  <c r="Z19" i="10"/>
  <c r="AA19" i="10" s="1"/>
  <c r="W19" i="10"/>
  <c r="X19" i="10" s="1"/>
  <c r="T19" i="10"/>
  <c r="U19" i="10" s="1"/>
  <c r="Q19" i="10"/>
  <c r="R19" i="10" s="1"/>
  <c r="N19" i="10"/>
  <c r="O19" i="10" s="1"/>
  <c r="K19" i="10"/>
  <c r="L19" i="10" s="1"/>
  <c r="H19" i="10"/>
  <c r="E19" i="10" s="1"/>
  <c r="D19" i="10"/>
  <c r="AO18" i="10"/>
  <c r="AP18" i="10" s="1"/>
  <c r="AL18" i="10"/>
  <c r="AM18" i="10" s="1"/>
  <c r="AI18" i="10"/>
  <c r="AJ18" i="10" s="1"/>
  <c r="AF18" i="10"/>
  <c r="AG18" i="10" s="1"/>
  <c r="AC18" i="10"/>
  <c r="AD18" i="10" s="1"/>
  <c r="Z18" i="10"/>
  <c r="AA18" i="10" s="1"/>
  <c r="W18" i="10"/>
  <c r="X18" i="10" s="1"/>
  <c r="T18" i="10"/>
  <c r="U18" i="10" s="1"/>
  <c r="Q18" i="10"/>
  <c r="R18" i="10" s="1"/>
  <c r="N18" i="10"/>
  <c r="O18" i="10" s="1"/>
  <c r="K18" i="10"/>
  <c r="L18" i="10" s="1"/>
  <c r="H18" i="10"/>
  <c r="E18" i="10" s="1"/>
  <c r="D18" i="10"/>
  <c r="AO17" i="10"/>
  <c r="AP17" i="10" s="1"/>
  <c r="AL17" i="10"/>
  <c r="AM17" i="10" s="1"/>
  <c r="AI17" i="10"/>
  <c r="AJ17" i="10" s="1"/>
  <c r="AF17" i="10"/>
  <c r="AG17" i="10" s="1"/>
  <c r="AC17" i="10"/>
  <c r="AD17" i="10" s="1"/>
  <c r="Z17" i="10"/>
  <c r="AA17" i="10" s="1"/>
  <c r="W17" i="10"/>
  <c r="X17" i="10" s="1"/>
  <c r="T17" i="10"/>
  <c r="U17" i="10" s="1"/>
  <c r="Q17" i="10"/>
  <c r="R17" i="10" s="1"/>
  <c r="N17" i="10"/>
  <c r="O17" i="10" s="1"/>
  <c r="K17" i="10"/>
  <c r="L17" i="10" s="1"/>
  <c r="H17" i="10"/>
  <c r="E17" i="10" s="1"/>
  <c r="D17" i="10"/>
  <c r="AO16" i="10"/>
  <c r="AP16" i="10" s="1"/>
  <c r="AL16" i="10"/>
  <c r="AM16" i="10" s="1"/>
  <c r="AI16" i="10"/>
  <c r="AJ16" i="10" s="1"/>
  <c r="AF16" i="10"/>
  <c r="AG16" i="10" s="1"/>
  <c r="AC16" i="10"/>
  <c r="AD16" i="10" s="1"/>
  <c r="Z16" i="10"/>
  <c r="AA16" i="10" s="1"/>
  <c r="W16" i="10"/>
  <c r="X16" i="10" s="1"/>
  <c r="T16" i="10"/>
  <c r="U16" i="10" s="1"/>
  <c r="Q16" i="10"/>
  <c r="R16" i="10" s="1"/>
  <c r="N16" i="10"/>
  <c r="O16" i="10" s="1"/>
  <c r="K16" i="10"/>
  <c r="L16" i="10" s="1"/>
  <c r="H16" i="10"/>
  <c r="I16" i="10" s="1"/>
  <c r="D16" i="10"/>
  <c r="AO15" i="10"/>
  <c r="AP15" i="10" s="1"/>
  <c r="AL15" i="10"/>
  <c r="AM15" i="10" s="1"/>
  <c r="AI15" i="10"/>
  <c r="AJ15" i="10" s="1"/>
  <c r="AF15" i="10"/>
  <c r="AG15" i="10" s="1"/>
  <c r="AC15" i="10"/>
  <c r="AD15" i="10" s="1"/>
  <c r="Z15" i="10"/>
  <c r="AA15" i="10" s="1"/>
  <c r="W15" i="10"/>
  <c r="X15" i="10" s="1"/>
  <c r="T15" i="10"/>
  <c r="U15" i="10" s="1"/>
  <c r="Q15" i="10"/>
  <c r="R15" i="10" s="1"/>
  <c r="N15" i="10"/>
  <c r="O15" i="10" s="1"/>
  <c r="K15" i="10"/>
  <c r="L15" i="10" s="1"/>
  <c r="H15" i="10"/>
  <c r="I15" i="10" s="1"/>
  <c r="D15" i="10"/>
  <c r="AO14" i="10"/>
  <c r="AP14" i="10" s="1"/>
  <c r="AL14" i="10"/>
  <c r="AM14" i="10" s="1"/>
  <c r="AI14" i="10"/>
  <c r="AJ14" i="10" s="1"/>
  <c r="AF14" i="10"/>
  <c r="AG14" i="10" s="1"/>
  <c r="AC14" i="10"/>
  <c r="AD14" i="10" s="1"/>
  <c r="Z14" i="10"/>
  <c r="AA14" i="10" s="1"/>
  <c r="W14" i="10"/>
  <c r="X14" i="10" s="1"/>
  <c r="T14" i="10"/>
  <c r="U14" i="10" s="1"/>
  <c r="Q14" i="10"/>
  <c r="R14" i="10" s="1"/>
  <c r="N14" i="10"/>
  <c r="O14" i="10" s="1"/>
  <c r="K14" i="10"/>
  <c r="L14" i="10" s="1"/>
  <c r="H14" i="10"/>
  <c r="E14" i="10" s="1"/>
  <c r="D14" i="10"/>
  <c r="AO13" i="10"/>
  <c r="AP13" i="10" s="1"/>
  <c r="AL13" i="10"/>
  <c r="AM13" i="10" s="1"/>
  <c r="AI13" i="10"/>
  <c r="AJ13" i="10" s="1"/>
  <c r="AF13" i="10"/>
  <c r="AG13" i="10" s="1"/>
  <c r="AC13" i="10"/>
  <c r="AD13" i="10" s="1"/>
  <c r="Z13" i="10"/>
  <c r="AA13" i="10" s="1"/>
  <c r="W13" i="10"/>
  <c r="X13" i="10" s="1"/>
  <c r="T13" i="10"/>
  <c r="U13" i="10" s="1"/>
  <c r="Q13" i="10"/>
  <c r="R13" i="10" s="1"/>
  <c r="N13" i="10"/>
  <c r="O13" i="10" s="1"/>
  <c r="K13" i="10"/>
  <c r="L13" i="10" s="1"/>
  <c r="H13" i="10"/>
  <c r="D13" i="10"/>
  <c r="AO12" i="10"/>
  <c r="AP12" i="10" s="1"/>
  <c r="AL12" i="10"/>
  <c r="AM12" i="10" s="1"/>
  <c r="AI12" i="10"/>
  <c r="AJ12" i="10" s="1"/>
  <c r="AF12" i="10"/>
  <c r="AG12" i="10" s="1"/>
  <c r="AC12" i="10"/>
  <c r="AD12" i="10" s="1"/>
  <c r="Z12" i="10"/>
  <c r="AA12" i="10" s="1"/>
  <c r="W12" i="10"/>
  <c r="X12" i="10" s="1"/>
  <c r="T12" i="10"/>
  <c r="U12" i="10" s="1"/>
  <c r="Q12" i="10"/>
  <c r="R12" i="10" s="1"/>
  <c r="N12" i="10"/>
  <c r="O12" i="10" s="1"/>
  <c r="K12" i="10"/>
  <c r="L12" i="10" s="1"/>
  <c r="H12" i="10"/>
  <c r="I12" i="10" s="1"/>
  <c r="D12" i="10"/>
  <c r="AO11" i="10"/>
  <c r="AP11" i="10" s="1"/>
  <c r="AL11" i="10"/>
  <c r="AM11" i="10" s="1"/>
  <c r="AI11" i="10"/>
  <c r="AJ11" i="10" s="1"/>
  <c r="AF11" i="10"/>
  <c r="AG11" i="10" s="1"/>
  <c r="AC11" i="10"/>
  <c r="AD11" i="10" s="1"/>
  <c r="Z11" i="10"/>
  <c r="AA11" i="10" s="1"/>
  <c r="W11" i="10"/>
  <c r="X11" i="10" s="1"/>
  <c r="T11" i="10"/>
  <c r="U11" i="10" s="1"/>
  <c r="Q11" i="10"/>
  <c r="R11" i="10" s="1"/>
  <c r="N11" i="10"/>
  <c r="O11" i="10" s="1"/>
  <c r="K11" i="10"/>
  <c r="L11" i="10" s="1"/>
  <c r="H11" i="10"/>
  <c r="I11" i="10" s="1"/>
  <c r="D11" i="10"/>
  <c r="AO10" i="10"/>
  <c r="AP10" i="10" s="1"/>
  <c r="AL10" i="10"/>
  <c r="AM10" i="10" s="1"/>
  <c r="AI10" i="10"/>
  <c r="AJ10" i="10" s="1"/>
  <c r="AF10" i="10"/>
  <c r="AG10" i="10" s="1"/>
  <c r="AC10" i="10"/>
  <c r="AD10" i="10" s="1"/>
  <c r="Z10" i="10"/>
  <c r="AA10" i="10" s="1"/>
  <c r="W10" i="10"/>
  <c r="X10" i="10" s="1"/>
  <c r="T10" i="10"/>
  <c r="U10" i="10" s="1"/>
  <c r="Q10" i="10"/>
  <c r="R10" i="10" s="1"/>
  <c r="N10" i="10"/>
  <c r="O10" i="10" s="1"/>
  <c r="K10" i="10"/>
  <c r="L10" i="10" s="1"/>
  <c r="H10" i="10"/>
  <c r="E10" i="10" s="1"/>
  <c r="D10" i="10"/>
  <c r="AO9" i="10"/>
  <c r="AP9" i="10" s="1"/>
  <c r="AL9" i="10"/>
  <c r="AM9" i="10" s="1"/>
  <c r="AI9" i="10"/>
  <c r="AJ9" i="10" s="1"/>
  <c r="AF9" i="10"/>
  <c r="AG9" i="10" s="1"/>
  <c r="AC9" i="10"/>
  <c r="AD9" i="10" s="1"/>
  <c r="Z9" i="10"/>
  <c r="AA9" i="10" s="1"/>
  <c r="W9" i="10"/>
  <c r="X9" i="10" s="1"/>
  <c r="T9" i="10"/>
  <c r="U9" i="10" s="1"/>
  <c r="Q9" i="10"/>
  <c r="R9" i="10" s="1"/>
  <c r="N9" i="10"/>
  <c r="O9" i="10" s="1"/>
  <c r="K9" i="10"/>
  <c r="L9" i="10" s="1"/>
  <c r="H9" i="10"/>
  <c r="E9" i="10" s="1"/>
  <c r="D9" i="10"/>
  <c r="AO8" i="10"/>
  <c r="AP8" i="10" s="1"/>
  <c r="AL8" i="10"/>
  <c r="AM8" i="10" s="1"/>
  <c r="AI8" i="10"/>
  <c r="AJ8" i="10" s="1"/>
  <c r="AF8" i="10"/>
  <c r="AG8" i="10" s="1"/>
  <c r="AC8" i="10"/>
  <c r="AD8" i="10" s="1"/>
  <c r="Z8" i="10"/>
  <c r="AA8" i="10" s="1"/>
  <c r="W8" i="10"/>
  <c r="X8" i="10" s="1"/>
  <c r="T8" i="10"/>
  <c r="U8" i="10" s="1"/>
  <c r="Q8" i="10"/>
  <c r="R8" i="10" s="1"/>
  <c r="N8" i="10"/>
  <c r="O8" i="10" s="1"/>
  <c r="K8" i="10"/>
  <c r="L8" i="10" s="1"/>
  <c r="H8" i="10"/>
  <c r="I8" i="10" s="1"/>
  <c r="D8" i="10"/>
  <c r="AO7" i="10"/>
  <c r="AP7" i="10" s="1"/>
  <c r="AL7" i="10"/>
  <c r="AM7" i="10" s="1"/>
  <c r="AI7" i="10"/>
  <c r="AJ7" i="10" s="1"/>
  <c r="AF7" i="10"/>
  <c r="AG7" i="10" s="1"/>
  <c r="AC7" i="10"/>
  <c r="AD7" i="10" s="1"/>
  <c r="Z7" i="10"/>
  <c r="AA7" i="10" s="1"/>
  <c r="W7" i="10"/>
  <c r="X7" i="10" s="1"/>
  <c r="T7" i="10"/>
  <c r="U7" i="10" s="1"/>
  <c r="Q7" i="10"/>
  <c r="R7" i="10" s="1"/>
  <c r="N7" i="10"/>
  <c r="O7" i="10" s="1"/>
  <c r="K7" i="10"/>
  <c r="L7" i="10" s="1"/>
  <c r="H7" i="10"/>
  <c r="I7" i="10" s="1"/>
  <c r="D7" i="10"/>
  <c r="AO6" i="10"/>
  <c r="AP6" i="10" s="1"/>
  <c r="AL6" i="10"/>
  <c r="AM6" i="10" s="1"/>
  <c r="AI6" i="10"/>
  <c r="AJ6" i="10" s="1"/>
  <c r="AF6" i="10"/>
  <c r="AG6" i="10" s="1"/>
  <c r="AC6" i="10"/>
  <c r="AD6" i="10" s="1"/>
  <c r="Z6" i="10"/>
  <c r="AA6" i="10" s="1"/>
  <c r="W6" i="10"/>
  <c r="X6" i="10" s="1"/>
  <c r="T6" i="10"/>
  <c r="U6" i="10" s="1"/>
  <c r="Q6" i="10"/>
  <c r="R6" i="10" s="1"/>
  <c r="N6" i="10"/>
  <c r="O6" i="10" s="1"/>
  <c r="K6" i="10"/>
  <c r="L6" i="10" s="1"/>
  <c r="H6" i="10"/>
  <c r="E6" i="10" s="1"/>
  <c r="D6" i="10"/>
  <c r="AO5" i="10"/>
  <c r="AP5" i="10" s="1"/>
  <c r="AL5" i="10"/>
  <c r="AM5" i="10" s="1"/>
  <c r="AI5" i="10"/>
  <c r="AJ5" i="10" s="1"/>
  <c r="AF5" i="10"/>
  <c r="AG5" i="10" s="1"/>
  <c r="AC5" i="10"/>
  <c r="AD5" i="10" s="1"/>
  <c r="Z5" i="10"/>
  <c r="AA5" i="10" s="1"/>
  <c r="W5" i="10"/>
  <c r="X5" i="10" s="1"/>
  <c r="T5" i="10"/>
  <c r="U5" i="10" s="1"/>
  <c r="Q5" i="10"/>
  <c r="R5" i="10" s="1"/>
  <c r="N5" i="10"/>
  <c r="O5" i="10" s="1"/>
  <c r="K5" i="10"/>
  <c r="L5" i="10" s="1"/>
  <c r="H5" i="10"/>
  <c r="E5" i="10" s="1"/>
  <c r="F5" i="10" s="1"/>
  <c r="D5" i="10"/>
  <c r="AO4" i="10"/>
  <c r="AP4" i="10" s="1"/>
  <c r="AL4" i="10"/>
  <c r="AM4" i="10" s="1"/>
  <c r="AI4" i="10"/>
  <c r="AJ4" i="10" s="1"/>
  <c r="AF4" i="10"/>
  <c r="AG4" i="10" s="1"/>
  <c r="AC4" i="10"/>
  <c r="AD4" i="10" s="1"/>
  <c r="Z4" i="10"/>
  <c r="AA4" i="10" s="1"/>
  <c r="W4" i="10"/>
  <c r="X4" i="10" s="1"/>
  <c r="T4" i="10"/>
  <c r="U4" i="10" s="1"/>
  <c r="Q4" i="10"/>
  <c r="R4" i="10" s="1"/>
  <c r="N4" i="10"/>
  <c r="O4" i="10" s="1"/>
  <c r="K4" i="10"/>
  <c r="L4" i="10" s="1"/>
  <c r="H4" i="10"/>
  <c r="E4" i="10" s="1"/>
  <c r="D4" i="10"/>
  <c r="D3" i="10"/>
  <c r="AO24" i="8"/>
  <c r="AP24" i="8" s="1"/>
  <c r="AL24" i="8"/>
  <c r="AM24" i="8" s="1"/>
  <c r="AI24" i="8"/>
  <c r="AJ24" i="8" s="1"/>
  <c r="AF24" i="8"/>
  <c r="AG24" i="8" s="1"/>
  <c r="AC24" i="8"/>
  <c r="AD24" i="8" s="1"/>
  <c r="Z24" i="8"/>
  <c r="AA24" i="8" s="1"/>
  <c r="W24" i="8"/>
  <c r="X24" i="8" s="1"/>
  <c r="T24" i="8"/>
  <c r="U24" i="8" s="1"/>
  <c r="Q24" i="8"/>
  <c r="R24" i="8" s="1"/>
  <c r="N24" i="8"/>
  <c r="O24" i="8" s="1"/>
  <c r="K24" i="8"/>
  <c r="L24" i="8" s="1"/>
  <c r="H24" i="8"/>
  <c r="I24" i="8" s="1"/>
  <c r="D24" i="8"/>
  <c r="AO23" i="8"/>
  <c r="AP23" i="8" s="1"/>
  <c r="AL23" i="8"/>
  <c r="AM23" i="8" s="1"/>
  <c r="AI23" i="8"/>
  <c r="AJ23" i="8" s="1"/>
  <c r="AF23" i="8"/>
  <c r="AG23" i="8" s="1"/>
  <c r="AC23" i="8"/>
  <c r="AD23" i="8" s="1"/>
  <c r="Z23" i="8"/>
  <c r="AA23" i="8" s="1"/>
  <c r="W23" i="8"/>
  <c r="X23" i="8" s="1"/>
  <c r="T23" i="8"/>
  <c r="U23" i="8" s="1"/>
  <c r="Q23" i="8"/>
  <c r="R23" i="8" s="1"/>
  <c r="N23" i="8"/>
  <c r="O23" i="8" s="1"/>
  <c r="K23" i="8"/>
  <c r="L23" i="8" s="1"/>
  <c r="H23" i="8"/>
  <c r="E23" i="8" s="1"/>
  <c r="D23" i="8"/>
  <c r="AO22" i="8"/>
  <c r="AP22" i="8" s="1"/>
  <c r="AL22" i="8"/>
  <c r="AM22" i="8" s="1"/>
  <c r="AI22" i="8"/>
  <c r="AJ22" i="8" s="1"/>
  <c r="AF22" i="8"/>
  <c r="AG22" i="8" s="1"/>
  <c r="AC22" i="8"/>
  <c r="AD22" i="8" s="1"/>
  <c r="Z22" i="8"/>
  <c r="AA22" i="8" s="1"/>
  <c r="W22" i="8"/>
  <c r="X22" i="8" s="1"/>
  <c r="T22" i="8"/>
  <c r="U22" i="8" s="1"/>
  <c r="Q22" i="8"/>
  <c r="R22" i="8" s="1"/>
  <c r="N22" i="8"/>
  <c r="O22" i="8" s="1"/>
  <c r="K22" i="8"/>
  <c r="L22" i="8" s="1"/>
  <c r="H22" i="8"/>
  <c r="E22" i="8" s="1"/>
  <c r="D22" i="8"/>
  <c r="AO21" i="8"/>
  <c r="AP21" i="8" s="1"/>
  <c r="AL21" i="8"/>
  <c r="AM21" i="8" s="1"/>
  <c r="AI21" i="8"/>
  <c r="AJ21" i="8" s="1"/>
  <c r="AF21" i="8"/>
  <c r="AG21" i="8" s="1"/>
  <c r="AC21" i="8"/>
  <c r="AD21" i="8" s="1"/>
  <c r="Z21" i="8"/>
  <c r="AA21" i="8" s="1"/>
  <c r="W21" i="8"/>
  <c r="X21" i="8" s="1"/>
  <c r="T21" i="8"/>
  <c r="U21" i="8" s="1"/>
  <c r="Q21" i="8"/>
  <c r="R21" i="8" s="1"/>
  <c r="N21" i="8"/>
  <c r="O21" i="8" s="1"/>
  <c r="K21" i="8"/>
  <c r="L21" i="8" s="1"/>
  <c r="H21" i="8"/>
  <c r="I21" i="8" s="1"/>
  <c r="D21" i="8"/>
  <c r="AO20" i="8"/>
  <c r="AP20" i="8" s="1"/>
  <c r="AL20" i="8"/>
  <c r="AM20" i="8" s="1"/>
  <c r="AI20" i="8"/>
  <c r="AJ20" i="8" s="1"/>
  <c r="AF20" i="8"/>
  <c r="AG20" i="8" s="1"/>
  <c r="AC20" i="8"/>
  <c r="AD20" i="8" s="1"/>
  <c r="Z20" i="8"/>
  <c r="AA20" i="8" s="1"/>
  <c r="W20" i="8"/>
  <c r="X20" i="8" s="1"/>
  <c r="T20" i="8"/>
  <c r="U20" i="8" s="1"/>
  <c r="Q20" i="8"/>
  <c r="R20" i="8" s="1"/>
  <c r="N20" i="8"/>
  <c r="O20" i="8" s="1"/>
  <c r="K20" i="8"/>
  <c r="L20" i="8" s="1"/>
  <c r="H20" i="8"/>
  <c r="I20" i="8" s="1"/>
  <c r="D20" i="8"/>
  <c r="AO19" i="8"/>
  <c r="AP19" i="8" s="1"/>
  <c r="AL19" i="8"/>
  <c r="AM19" i="8" s="1"/>
  <c r="AI19" i="8"/>
  <c r="AJ19" i="8" s="1"/>
  <c r="AF19" i="8"/>
  <c r="AG19" i="8" s="1"/>
  <c r="AC19" i="8"/>
  <c r="AD19" i="8" s="1"/>
  <c r="Z19" i="8"/>
  <c r="AA19" i="8" s="1"/>
  <c r="W19" i="8"/>
  <c r="X19" i="8" s="1"/>
  <c r="T19" i="8"/>
  <c r="U19" i="8" s="1"/>
  <c r="Q19" i="8"/>
  <c r="R19" i="8" s="1"/>
  <c r="N19" i="8"/>
  <c r="O19" i="8" s="1"/>
  <c r="K19" i="8"/>
  <c r="L19" i="8" s="1"/>
  <c r="H19" i="8"/>
  <c r="I19" i="8" s="1"/>
  <c r="D19" i="8"/>
  <c r="AO18" i="8"/>
  <c r="AP18" i="8" s="1"/>
  <c r="AL18" i="8"/>
  <c r="AM18" i="8" s="1"/>
  <c r="AI18" i="8"/>
  <c r="AJ18" i="8" s="1"/>
  <c r="AF18" i="8"/>
  <c r="AG18" i="8" s="1"/>
  <c r="AC18" i="8"/>
  <c r="AD18" i="8" s="1"/>
  <c r="Z18" i="8"/>
  <c r="AA18" i="8" s="1"/>
  <c r="W18" i="8"/>
  <c r="X18" i="8" s="1"/>
  <c r="T18" i="8"/>
  <c r="U18" i="8" s="1"/>
  <c r="Q18" i="8"/>
  <c r="R18" i="8" s="1"/>
  <c r="N18" i="8"/>
  <c r="O18" i="8" s="1"/>
  <c r="K18" i="8"/>
  <c r="L18" i="8" s="1"/>
  <c r="H18" i="8"/>
  <c r="E18" i="8" s="1"/>
  <c r="D18" i="8"/>
  <c r="AO17" i="8"/>
  <c r="AP17" i="8" s="1"/>
  <c r="AL17" i="8"/>
  <c r="AM17" i="8" s="1"/>
  <c r="AI17" i="8"/>
  <c r="AJ17" i="8" s="1"/>
  <c r="AF17" i="8"/>
  <c r="AG17" i="8" s="1"/>
  <c r="AC17" i="8"/>
  <c r="AD17" i="8" s="1"/>
  <c r="Z17" i="8"/>
  <c r="AA17" i="8" s="1"/>
  <c r="W17" i="8"/>
  <c r="X17" i="8" s="1"/>
  <c r="T17" i="8"/>
  <c r="U17" i="8" s="1"/>
  <c r="Q17" i="8"/>
  <c r="R17" i="8" s="1"/>
  <c r="N17" i="8"/>
  <c r="O17" i="8" s="1"/>
  <c r="K17" i="8"/>
  <c r="L17" i="8" s="1"/>
  <c r="H17" i="8"/>
  <c r="I17" i="8" s="1"/>
  <c r="D17" i="8"/>
  <c r="AO16" i="8"/>
  <c r="AP16" i="8" s="1"/>
  <c r="AL16" i="8"/>
  <c r="AM16" i="8" s="1"/>
  <c r="AI16" i="8"/>
  <c r="AJ16" i="8" s="1"/>
  <c r="AF16" i="8"/>
  <c r="AG16" i="8" s="1"/>
  <c r="AC16" i="8"/>
  <c r="AD16" i="8" s="1"/>
  <c r="Z16" i="8"/>
  <c r="AA16" i="8" s="1"/>
  <c r="W16" i="8"/>
  <c r="X16" i="8" s="1"/>
  <c r="T16" i="8"/>
  <c r="U16" i="8" s="1"/>
  <c r="Q16" i="8"/>
  <c r="R16" i="8" s="1"/>
  <c r="N16" i="8"/>
  <c r="O16" i="8" s="1"/>
  <c r="K16" i="8"/>
  <c r="L16" i="8" s="1"/>
  <c r="H16" i="8"/>
  <c r="I16" i="8" s="1"/>
  <c r="D16" i="8"/>
  <c r="AO15" i="8"/>
  <c r="AP15" i="8" s="1"/>
  <c r="AL15" i="8"/>
  <c r="AM15" i="8" s="1"/>
  <c r="AI15" i="8"/>
  <c r="AJ15" i="8" s="1"/>
  <c r="AF15" i="8"/>
  <c r="AG15" i="8" s="1"/>
  <c r="AC15" i="8"/>
  <c r="AD15" i="8" s="1"/>
  <c r="Z15" i="8"/>
  <c r="AA15" i="8" s="1"/>
  <c r="W15" i="8"/>
  <c r="X15" i="8" s="1"/>
  <c r="T15" i="8"/>
  <c r="U15" i="8" s="1"/>
  <c r="Q15" i="8"/>
  <c r="R15" i="8" s="1"/>
  <c r="N15" i="8"/>
  <c r="O15" i="8" s="1"/>
  <c r="K15" i="8"/>
  <c r="L15" i="8" s="1"/>
  <c r="H15" i="8"/>
  <c r="I15" i="8" s="1"/>
  <c r="D15" i="8"/>
  <c r="AO14" i="8"/>
  <c r="AP14" i="8" s="1"/>
  <c r="AL14" i="8"/>
  <c r="AM14" i="8" s="1"/>
  <c r="AI14" i="8"/>
  <c r="AJ14" i="8" s="1"/>
  <c r="AF14" i="8"/>
  <c r="AG14" i="8" s="1"/>
  <c r="AC14" i="8"/>
  <c r="AD14" i="8" s="1"/>
  <c r="Z14" i="8"/>
  <c r="AA14" i="8" s="1"/>
  <c r="W14" i="8"/>
  <c r="X14" i="8" s="1"/>
  <c r="T14" i="8"/>
  <c r="U14" i="8" s="1"/>
  <c r="Q14" i="8"/>
  <c r="R14" i="8" s="1"/>
  <c r="N14" i="8"/>
  <c r="O14" i="8" s="1"/>
  <c r="K14" i="8"/>
  <c r="L14" i="8" s="1"/>
  <c r="H14" i="8"/>
  <c r="E14" i="8" s="1"/>
  <c r="D14" i="8"/>
  <c r="AO13" i="8"/>
  <c r="AP13" i="8" s="1"/>
  <c r="AL13" i="8"/>
  <c r="AM13" i="8" s="1"/>
  <c r="AI13" i="8"/>
  <c r="AJ13" i="8" s="1"/>
  <c r="AF13" i="8"/>
  <c r="AG13" i="8" s="1"/>
  <c r="AC13" i="8"/>
  <c r="AD13" i="8" s="1"/>
  <c r="Z13" i="8"/>
  <c r="AA13" i="8" s="1"/>
  <c r="W13" i="8"/>
  <c r="X13" i="8" s="1"/>
  <c r="T13" i="8"/>
  <c r="U13" i="8" s="1"/>
  <c r="Q13" i="8"/>
  <c r="R13" i="8" s="1"/>
  <c r="N13" i="8"/>
  <c r="O13" i="8" s="1"/>
  <c r="K13" i="8"/>
  <c r="L13" i="8" s="1"/>
  <c r="H13" i="8"/>
  <c r="I13" i="8" s="1"/>
  <c r="D13" i="8"/>
  <c r="AO12" i="8"/>
  <c r="AP12" i="8" s="1"/>
  <c r="AL12" i="8"/>
  <c r="AM12" i="8" s="1"/>
  <c r="AI12" i="8"/>
  <c r="AJ12" i="8" s="1"/>
  <c r="AF12" i="8"/>
  <c r="AG12" i="8" s="1"/>
  <c r="AC12" i="8"/>
  <c r="AD12" i="8" s="1"/>
  <c r="Z12" i="8"/>
  <c r="AA12" i="8" s="1"/>
  <c r="W12" i="8"/>
  <c r="X12" i="8" s="1"/>
  <c r="T12" i="8"/>
  <c r="U12" i="8" s="1"/>
  <c r="Q12" i="8"/>
  <c r="R12" i="8" s="1"/>
  <c r="N12" i="8"/>
  <c r="O12" i="8" s="1"/>
  <c r="K12" i="8"/>
  <c r="L12" i="8" s="1"/>
  <c r="H12" i="8"/>
  <c r="I12" i="8" s="1"/>
  <c r="D12" i="8"/>
  <c r="AO11" i="8"/>
  <c r="AP11" i="8" s="1"/>
  <c r="AL11" i="8"/>
  <c r="AM11" i="8" s="1"/>
  <c r="AI11" i="8"/>
  <c r="AJ11" i="8" s="1"/>
  <c r="AF11" i="8"/>
  <c r="AG11" i="8" s="1"/>
  <c r="AC11" i="8"/>
  <c r="AD11" i="8" s="1"/>
  <c r="Z11" i="8"/>
  <c r="AA11" i="8" s="1"/>
  <c r="W11" i="8"/>
  <c r="X11" i="8" s="1"/>
  <c r="T11" i="8"/>
  <c r="U11" i="8" s="1"/>
  <c r="Q11" i="8"/>
  <c r="R11" i="8" s="1"/>
  <c r="N11" i="8"/>
  <c r="O11" i="8" s="1"/>
  <c r="K11" i="8"/>
  <c r="L11" i="8" s="1"/>
  <c r="H11" i="8"/>
  <c r="I11" i="8" s="1"/>
  <c r="D11" i="8"/>
  <c r="AO10" i="8"/>
  <c r="AP10" i="8" s="1"/>
  <c r="AL10" i="8"/>
  <c r="AM10" i="8" s="1"/>
  <c r="AI10" i="8"/>
  <c r="AJ10" i="8" s="1"/>
  <c r="AF10" i="8"/>
  <c r="AG10" i="8" s="1"/>
  <c r="AC10" i="8"/>
  <c r="AD10" i="8" s="1"/>
  <c r="Z10" i="8"/>
  <c r="AA10" i="8" s="1"/>
  <c r="W10" i="8"/>
  <c r="X10" i="8" s="1"/>
  <c r="T10" i="8"/>
  <c r="U10" i="8" s="1"/>
  <c r="Q10" i="8"/>
  <c r="R10" i="8" s="1"/>
  <c r="N10" i="8"/>
  <c r="O10" i="8" s="1"/>
  <c r="K10" i="8"/>
  <c r="L10" i="8" s="1"/>
  <c r="H10" i="8"/>
  <c r="E10" i="8" s="1"/>
  <c r="D10" i="8"/>
  <c r="AO9" i="8"/>
  <c r="AP9" i="8" s="1"/>
  <c r="AL9" i="8"/>
  <c r="AM9" i="8" s="1"/>
  <c r="AI9" i="8"/>
  <c r="AJ9" i="8" s="1"/>
  <c r="AF9" i="8"/>
  <c r="AG9" i="8" s="1"/>
  <c r="AC9" i="8"/>
  <c r="AD9" i="8" s="1"/>
  <c r="Z9" i="8"/>
  <c r="AA9" i="8" s="1"/>
  <c r="W9" i="8"/>
  <c r="X9" i="8" s="1"/>
  <c r="T9" i="8"/>
  <c r="U9" i="8" s="1"/>
  <c r="Q9" i="8"/>
  <c r="R9" i="8" s="1"/>
  <c r="N9" i="8"/>
  <c r="O9" i="8" s="1"/>
  <c r="K9" i="8"/>
  <c r="L9" i="8" s="1"/>
  <c r="H9" i="8"/>
  <c r="I9" i="8" s="1"/>
  <c r="D9" i="8"/>
  <c r="AO8" i="8"/>
  <c r="AP8" i="8" s="1"/>
  <c r="AL8" i="8"/>
  <c r="AM8" i="8" s="1"/>
  <c r="AI8" i="8"/>
  <c r="AJ8" i="8" s="1"/>
  <c r="AF8" i="8"/>
  <c r="AG8" i="8" s="1"/>
  <c r="AC8" i="8"/>
  <c r="AD8" i="8" s="1"/>
  <c r="Z8" i="8"/>
  <c r="AA8" i="8" s="1"/>
  <c r="W8" i="8"/>
  <c r="X8" i="8" s="1"/>
  <c r="T8" i="8"/>
  <c r="U8" i="8" s="1"/>
  <c r="Q8" i="8"/>
  <c r="R8" i="8" s="1"/>
  <c r="N8" i="8"/>
  <c r="O8" i="8" s="1"/>
  <c r="K8" i="8"/>
  <c r="L8" i="8" s="1"/>
  <c r="H8" i="8"/>
  <c r="D8" i="8"/>
  <c r="AO7" i="8"/>
  <c r="AP7" i="8" s="1"/>
  <c r="AL7" i="8"/>
  <c r="AM7" i="8" s="1"/>
  <c r="AI7" i="8"/>
  <c r="AJ7" i="8" s="1"/>
  <c r="AF7" i="8"/>
  <c r="AG7" i="8" s="1"/>
  <c r="AC7" i="8"/>
  <c r="AD7" i="8" s="1"/>
  <c r="Z7" i="8"/>
  <c r="AA7" i="8" s="1"/>
  <c r="W7" i="8"/>
  <c r="X7" i="8" s="1"/>
  <c r="T7" i="8"/>
  <c r="U7" i="8" s="1"/>
  <c r="Q7" i="8"/>
  <c r="R7" i="8" s="1"/>
  <c r="N7" i="8"/>
  <c r="O7" i="8" s="1"/>
  <c r="K7" i="8"/>
  <c r="L7" i="8" s="1"/>
  <c r="H7" i="8"/>
  <c r="E7" i="8" s="1"/>
  <c r="D7" i="8"/>
  <c r="AO6" i="8"/>
  <c r="AP6" i="8" s="1"/>
  <c r="AL6" i="8"/>
  <c r="AM6" i="8" s="1"/>
  <c r="AI6" i="8"/>
  <c r="AJ6" i="8" s="1"/>
  <c r="AF6" i="8"/>
  <c r="AG6" i="8" s="1"/>
  <c r="AC6" i="8"/>
  <c r="AD6" i="8" s="1"/>
  <c r="Z6" i="8"/>
  <c r="AA6" i="8" s="1"/>
  <c r="W6" i="8"/>
  <c r="X6" i="8" s="1"/>
  <c r="T6" i="8"/>
  <c r="U6" i="8" s="1"/>
  <c r="Q6" i="8"/>
  <c r="R6" i="8" s="1"/>
  <c r="N6" i="8"/>
  <c r="O6" i="8" s="1"/>
  <c r="K6" i="8"/>
  <c r="L6" i="8" s="1"/>
  <c r="H6" i="8"/>
  <c r="E6" i="8" s="1"/>
  <c r="D6" i="8"/>
  <c r="AO5" i="8"/>
  <c r="AP5" i="8" s="1"/>
  <c r="AL5" i="8"/>
  <c r="AM5" i="8" s="1"/>
  <c r="AI5" i="8"/>
  <c r="AJ5" i="8" s="1"/>
  <c r="AF5" i="8"/>
  <c r="AG5" i="8" s="1"/>
  <c r="AC5" i="8"/>
  <c r="AD5" i="8" s="1"/>
  <c r="Z5" i="8"/>
  <c r="AA5" i="8" s="1"/>
  <c r="W5" i="8"/>
  <c r="X5" i="8" s="1"/>
  <c r="T5" i="8"/>
  <c r="U5" i="8" s="1"/>
  <c r="Q5" i="8"/>
  <c r="R5" i="8" s="1"/>
  <c r="N5" i="8"/>
  <c r="O5" i="8" s="1"/>
  <c r="K5" i="8"/>
  <c r="L5" i="8" s="1"/>
  <c r="H5" i="8"/>
  <c r="I5" i="8" s="1"/>
  <c r="D5" i="8"/>
  <c r="AO4" i="8"/>
  <c r="AP4" i="8" s="1"/>
  <c r="AL4" i="8"/>
  <c r="AM4" i="8" s="1"/>
  <c r="AI4" i="8"/>
  <c r="AJ4" i="8" s="1"/>
  <c r="AF4" i="8"/>
  <c r="AG4" i="8" s="1"/>
  <c r="AC4" i="8"/>
  <c r="AD4" i="8" s="1"/>
  <c r="Z4" i="8"/>
  <c r="AA4" i="8" s="1"/>
  <c r="W4" i="8"/>
  <c r="X4" i="8" s="1"/>
  <c r="T4" i="8"/>
  <c r="U4" i="8" s="1"/>
  <c r="Q4" i="8"/>
  <c r="R4" i="8" s="1"/>
  <c r="N4" i="8"/>
  <c r="O4" i="8" s="1"/>
  <c r="K4" i="8"/>
  <c r="L4" i="8" s="1"/>
  <c r="H4" i="8"/>
  <c r="I4" i="8" s="1"/>
  <c r="D4" i="8"/>
  <c r="D3" i="8"/>
  <c r="D3" i="13"/>
  <c r="AN1" i="10"/>
  <c r="AK1" i="10"/>
  <c r="AH1" i="10"/>
  <c r="AE1" i="10"/>
  <c r="AB1" i="10"/>
  <c r="Y1" i="10"/>
  <c r="V1" i="10"/>
  <c r="S1" i="10"/>
  <c r="P1" i="10"/>
  <c r="M1" i="10"/>
  <c r="J1" i="10"/>
  <c r="G1" i="10"/>
  <c r="G48" i="8"/>
  <c r="J48" i="8"/>
  <c r="M48" i="8"/>
  <c r="P48" i="8"/>
  <c r="S48" i="8"/>
  <c r="V48" i="8"/>
  <c r="Y48" i="8"/>
  <c r="AB48" i="8"/>
  <c r="AE48" i="8"/>
  <c r="AH48" i="8"/>
  <c r="AK48" i="8"/>
  <c r="AN48" i="8"/>
  <c r="AN1" i="8"/>
  <c r="AK1" i="8"/>
  <c r="AH1" i="8"/>
  <c r="AE1" i="8"/>
  <c r="AB1" i="8"/>
  <c r="Y1" i="8"/>
  <c r="V1" i="8"/>
  <c r="S1" i="8"/>
  <c r="P1" i="8"/>
  <c r="M1" i="8"/>
  <c r="J1" i="8"/>
  <c r="G1" i="8"/>
  <c r="AN1" i="13"/>
  <c r="AK1" i="13"/>
  <c r="AH1" i="13"/>
  <c r="AE1" i="13"/>
  <c r="AB1" i="13"/>
  <c r="Y1" i="13"/>
  <c r="V1" i="13"/>
  <c r="S1" i="13"/>
  <c r="P1" i="13"/>
  <c r="M1" i="13"/>
  <c r="J1" i="13"/>
  <c r="G1" i="13"/>
  <c r="AN1" i="12"/>
  <c r="AK1" i="12"/>
  <c r="AH1" i="12"/>
  <c r="AE1" i="12"/>
  <c r="AB1" i="12"/>
  <c r="Y1" i="12"/>
  <c r="V1" i="12"/>
  <c r="S1" i="12"/>
  <c r="P1" i="12"/>
  <c r="M1" i="12"/>
  <c r="J1" i="12"/>
  <c r="G1" i="12"/>
  <c r="D3" i="12"/>
  <c r="AO21" i="9"/>
  <c r="AP21" i="9" s="1"/>
  <c r="AL21" i="9"/>
  <c r="AM21" i="9" s="1"/>
  <c r="AI21" i="9"/>
  <c r="AJ21" i="9" s="1"/>
  <c r="AF21" i="9"/>
  <c r="AG21" i="9" s="1"/>
  <c r="AC21" i="9"/>
  <c r="AD21" i="9" s="1"/>
  <c r="Z21" i="9"/>
  <c r="AA21" i="9" s="1"/>
  <c r="W21" i="9"/>
  <c r="X21" i="9" s="1"/>
  <c r="T21" i="9"/>
  <c r="U21" i="9" s="1"/>
  <c r="Q21" i="9"/>
  <c r="R21" i="9" s="1"/>
  <c r="N21" i="9"/>
  <c r="O21" i="9" s="1"/>
  <c r="K21" i="9"/>
  <c r="L21" i="9" s="1"/>
  <c r="H21" i="9"/>
  <c r="I21" i="9" s="1"/>
  <c r="D21" i="9"/>
  <c r="AO20" i="9"/>
  <c r="AP20" i="9" s="1"/>
  <c r="AL20" i="9"/>
  <c r="AM20" i="9" s="1"/>
  <c r="AI20" i="9"/>
  <c r="AJ20" i="9" s="1"/>
  <c r="AF20" i="9"/>
  <c r="AG20" i="9" s="1"/>
  <c r="AC20" i="9"/>
  <c r="AD20" i="9" s="1"/>
  <c r="Z20" i="9"/>
  <c r="AA20" i="9" s="1"/>
  <c r="W20" i="9"/>
  <c r="X20" i="9" s="1"/>
  <c r="T20" i="9"/>
  <c r="U20" i="9" s="1"/>
  <c r="Q20" i="9"/>
  <c r="R20" i="9" s="1"/>
  <c r="N20" i="9"/>
  <c r="O20" i="9" s="1"/>
  <c r="K20" i="9"/>
  <c r="L20" i="9" s="1"/>
  <c r="H20" i="9"/>
  <c r="I20" i="9" s="1"/>
  <c r="D20" i="9"/>
  <c r="AO19" i="9"/>
  <c r="AP19" i="9" s="1"/>
  <c r="AL19" i="9"/>
  <c r="AM19" i="9" s="1"/>
  <c r="AI19" i="9"/>
  <c r="AJ19" i="9" s="1"/>
  <c r="AF19" i="9"/>
  <c r="AG19" i="9" s="1"/>
  <c r="AC19" i="9"/>
  <c r="AD19" i="9" s="1"/>
  <c r="Z19" i="9"/>
  <c r="AA19" i="9" s="1"/>
  <c r="W19" i="9"/>
  <c r="X19" i="9" s="1"/>
  <c r="T19" i="9"/>
  <c r="U19" i="9" s="1"/>
  <c r="Q19" i="9"/>
  <c r="R19" i="9" s="1"/>
  <c r="N19" i="9"/>
  <c r="O19" i="9" s="1"/>
  <c r="K19" i="9"/>
  <c r="L19" i="9" s="1"/>
  <c r="H19" i="9"/>
  <c r="I19" i="9" s="1"/>
  <c r="D19" i="9"/>
  <c r="AO18" i="9"/>
  <c r="AP18" i="9" s="1"/>
  <c r="AL18" i="9"/>
  <c r="AM18" i="9" s="1"/>
  <c r="AI18" i="9"/>
  <c r="AJ18" i="9" s="1"/>
  <c r="AF18" i="9"/>
  <c r="AG18" i="9" s="1"/>
  <c r="AC18" i="9"/>
  <c r="AD18" i="9" s="1"/>
  <c r="Z18" i="9"/>
  <c r="AA18" i="9" s="1"/>
  <c r="W18" i="9"/>
  <c r="X18" i="9" s="1"/>
  <c r="T18" i="9"/>
  <c r="U18" i="9" s="1"/>
  <c r="Q18" i="9"/>
  <c r="R18" i="9" s="1"/>
  <c r="N18" i="9"/>
  <c r="O18" i="9" s="1"/>
  <c r="K18" i="9"/>
  <c r="L18" i="9" s="1"/>
  <c r="H18" i="9"/>
  <c r="E18" i="9" s="1"/>
  <c r="D18" i="9"/>
  <c r="AO17" i="9"/>
  <c r="AP17" i="9" s="1"/>
  <c r="AL17" i="9"/>
  <c r="AM17" i="9" s="1"/>
  <c r="AI17" i="9"/>
  <c r="AJ17" i="9" s="1"/>
  <c r="AF17" i="9"/>
  <c r="AG17" i="9" s="1"/>
  <c r="AC17" i="9"/>
  <c r="AD17" i="9" s="1"/>
  <c r="Z17" i="9"/>
  <c r="AA17" i="9" s="1"/>
  <c r="W17" i="9"/>
  <c r="X17" i="9" s="1"/>
  <c r="T17" i="9"/>
  <c r="U17" i="9" s="1"/>
  <c r="Q17" i="9"/>
  <c r="R17" i="9" s="1"/>
  <c r="N17" i="9"/>
  <c r="O17" i="9" s="1"/>
  <c r="K17" i="9"/>
  <c r="L17" i="9" s="1"/>
  <c r="H17" i="9"/>
  <c r="I17" i="9" s="1"/>
  <c r="D17" i="9"/>
  <c r="AO16" i="9"/>
  <c r="AP16" i="9" s="1"/>
  <c r="AL16" i="9"/>
  <c r="AM16" i="9" s="1"/>
  <c r="AI16" i="9"/>
  <c r="AJ16" i="9" s="1"/>
  <c r="AF16" i="9"/>
  <c r="AG16" i="9" s="1"/>
  <c r="AC16" i="9"/>
  <c r="AD16" i="9" s="1"/>
  <c r="Z16" i="9"/>
  <c r="AA16" i="9" s="1"/>
  <c r="W16" i="9"/>
  <c r="X16" i="9" s="1"/>
  <c r="T16" i="9"/>
  <c r="U16" i="9" s="1"/>
  <c r="Q16" i="9"/>
  <c r="R16" i="9" s="1"/>
  <c r="N16" i="9"/>
  <c r="O16" i="9" s="1"/>
  <c r="K16" i="9"/>
  <c r="L16" i="9" s="1"/>
  <c r="H16" i="9"/>
  <c r="I16" i="9" s="1"/>
  <c r="D16" i="9"/>
  <c r="AO15" i="9"/>
  <c r="AP15" i="9" s="1"/>
  <c r="AL15" i="9"/>
  <c r="AM15" i="9" s="1"/>
  <c r="AI15" i="9"/>
  <c r="AJ15" i="9" s="1"/>
  <c r="AF15" i="9"/>
  <c r="AG15" i="9" s="1"/>
  <c r="AC15" i="9"/>
  <c r="AD15" i="9" s="1"/>
  <c r="Z15" i="9"/>
  <c r="AA15" i="9" s="1"/>
  <c r="W15" i="9"/>
  <c r="X15" i="9" s="1"/>
  <c r="T15" i="9"/>
  <c r="U15" i="9" s="1"/>
  <c r="Q15" i="9"/>
  <c r="R15" i="9" s="1"/>
  <c r="N15" i="9"/>
  <c r="O15" i="9" s="1"/>
  <c r="K15" i="9"/>
  <c r="L15" i="9" s="1"/>
  <c r="H15" i="9"/>
  <c r="I15" i="9" s="1"/>
  <c r="D15" i="9"/>
  <c r="AO14" i="9"/>
  <c r="AP14" i="9" s="1"/>
  <c r="AL14" i="9"/>
  <c r="AM14" i="9" s="1"/>
  <c r="AI14" i="9"/>
  <c r="AJ14" i="9" s="1"/>
  <c r="AF14" i="9"/>
  <c r="AG14" i="9" s="1"/>
  <c r="AC14" i="9"/>
  <c r="AD14" i="9" s="1"/>
  <c r="Z14" i="9"/>
  <c r="AA14" i="9" s="1"/>
  <c r="W14" i="9"/>
  <c r="X14" i="9" s="1"/>
  <c r="T14" i="9"/>
  <c r="U14" i="9" s="1"/>
  <c r="Q14" i="9"/>
  <c r="R14" i="9" s="1"/>
  <c r="N14" i="9"/>
  <c r="O14" i="9" s="1"/>
  <c r="K14" i="9"/>
  <c r="L14" i="9" s="1"/>
  <c r="H14" i="9"/>
  <c r="E14" i="9" s="1"/>
  <c r="D14" i="9"/>
  <c r="AO13" i="9"/>
  <c r="AP13" i="9" s="1"/>
  <c r="AL13" i="9"/>
  <c r="AM13" i="9" s="1"/>
  <c r="AI13" i="9"/>
  <c r="AJ13" i="9" s="1"/>
  <c r="AF13" i="9"/>
  <c r="AG13" i="9" s="1"/>
  <c r="AC13" i="9"/>
  <c r="AD13" i="9" s="1"/>
  <c r="Z13" i="9"/>
  <c r="AA13" i="9" s="1"/>
  <c r="W13" i="9"/>
  <c r="X13" i="9" s="1"/>
  <c r="T13" i="9"/>
  <c r="U13" i="9" s="1"/>
  <c r="Q13" i="9"/>
  <c r="R13" i="9" s="1"/>
  <c r="N13" i="9"/>
  <c r="O13" i="9" s="1"/>
  <c r="K13" i="9"/>
  <c r="L13" i="9" s="1"/>
  <c r="H13" i="9"/>
  <c r="I13" i="9" s="1"/>
  <c r="D13" i="9"/>
  <c r="AO12" i="9"/>
  <c r="AP12" i="9" s="1"/>
  <c r="AL12" i="9"/>
  <c r="AM12" i="9" s="1"/>
  <c r="AI12" i="9"/>
  <c r="AJ12" i="9" s="1"/>
  <c r="AF12" i="9"/>
  <c r="AG12" i="9" s="1"/>
  <c r="AC12" i="9"/>
  <c r="AD12" i="9" s="1"/>
  <c r="Z12" i="9"/>
  <c r="AA12" i="9" s="1"/>
  <c r="W12" i="9"/>
  <c r="X12" i="9" s="1"/>
  <c r="T12" i="9"/>
  <c r="U12" i="9" s="1"/>
  <c r="Q12" i="9"/>
  <c r="R12" i="9" s="1"/>
  <c r="N12" i="9"/>
  <c r="O12" i="9" s="1"/>
  <c r="K12" i="9"/>
  <c r="L12" i="9" s="1"/>
  <c r="H12" i="9"/>
  <c r="I12" i="9" s="1"/>
  <c r="D12" i="9"/>
  <c r="AO11" i="9"/>
  <c r="AP11" i="9" s="1"/>
  <c r="AL11" i="9"/>
  <c r="AM11" i="9" s="1"/>
  <c r="AI11" i="9"/>
  <c r="AJ11" i="9" s="1"/>
  <c r="AF11" i="9"/>
  <c r="AG11" i="9" s="1"/>
  <c r="AC11" i="9"/>
  <c r="AD11" i="9" s="1"/>
  <c r="Z11" i="9"/>
  <c r="AA11" i="9" s="1"/>
  <c r="W11" i="9"/>
  <c r="X11" i="9" s="1"/>
  <c r="T11" i="9"/>
  <c r="U11" i="9" s="1"/>
  <c r="Q11" i="9"/>
  <c r="R11" i="9" s="1"/>
  <c r="N11" i="9"/>
  <c r="O11" i="9" s="1"/>
  <c r="K11" i="9"/>
  <c r="L11" i="9" s="1"/>
  <c r="H11" i="9"/>
  <c r="I11" i="9" s="1"/>
  <c r="D11" i="9"/>
  <c r="AO10" i="9"/>
  <c r="AP10" i="9" s="1"/>
  <c r="AL10" i="9"/>
  <c r="AM10" i="9" s="1"/>
  <c r="AI10" i="9"/>
  <c r="AJ10" i="9" s="1"/>
  <c r="AF10" i="9"/>
  <c r="AG10" i="9" s="1"/>
  <c r="AC10" i="9"/>
  <c r="AD10" i="9" s="1"/>
  <c r="Z10" i="9"/>
  <c r="AA10" i="9" s="1"/>
  <c r="W10" i="9"/>
  <c r="X10" i="9" s="1"/>
  <c r="T10" i="9"/>
  <c r="U10" i="9" s="1"/>
  <c r="Q10" i="9"/>
  <c r="R10" i="9" s="1"/>
  <c r="N10" i="9"/>
  <c r="O10" i="9" s="1"/>
  <c r="K10" i="9"/>
  <c r="L10" i="9" s="1"/>
  <c r="H10" i="9"/>
  <c r="E10" i="9" s="1"/>
  <c r="D10" i="9"/>
  <c r="AO9" i="9"/>
  <c r="AP9" i="9" s="1"/>
  <c r="AL9" i="9"/>
  <c r="AM9" i="9" s="1"/>
  <c r="AI9" i="9"/>
  <c r="AJ9" i="9" s="1"/>
  <c r="AF9" i="9"/>
  <c r="AG9" i="9" s="1"/>
  <c r="AC9" i="9"/>
  <c r="AD9" i="9" s="1"/>
  <c r="Z9" i="9"/>
  <c r="AA9" i="9" s="1"/>
  <c r="W9" i="9"/>
  <c r="X9" i="9" s="1"/>
  <c r="T9" i="9"/>
  <c r="U9" i="9" s="1"/>
  <c r="Q9" i="9"/>
  <c r="R9" i="9" s="1"/>
  <c r="N9" i="9"/>
  <c r="O9" i="9" s="1"/>
  <c r="K9" i="9"/>
  <c r="L9" i="9" s="1"/>
  <c r="H9" i="9"/>
  <c r="I9" i="9" s="1"/>
  <c r="D9" i="9"/>
  <c r="AO8" i="9"/>
  <c r="AP8" i="9" s="1"/>
  <c r="AL8" i="9"/>
  <c r="AM8" i="9" s="1"/>
  <c r="AI8" i="9"/>
  <c r="AJ8" i="9" s="1"/>
  <c r="AF8" i="9"/>
  <c r="AG8" i="9" s="1"/>
  <c r="AC8" i="9"/>
  <c r="AD8" i="9" s="1"/>
  <c r="Z8" i="9"/>
  <c r="AA8" i="9" s="1"/>
  <c r="W8" i="9"/>
  <c r="X8" i="9" s="1"/>
  <c r="T8" i="9"/>
  <c r="U8" i="9" s="1"/>
  <c r="Q8" i="9"/>
  <c r="R8" i="9" s="1"/>
  <c r="N8" i="9"/>
  <c r="O8" i="9" s="1"/>
  <c r="K8" i="9"/>
  <c r="L8" i="9" s="1"/>
  <c r="H8" i="9"/>
  <c r="I8" i="9" s="1"/>
  <c r="D8" i="9"/>
  <c r="AO7" i="9"/>
  <c r="AP7" i="9" s="1"/>
  <c r="AL7" i="9"/>
  <c r="AM7" i="9" s="1"/>
  <c r="AI7" i="9"/>
  <c r="AJ7" i="9" s="1"/>
  <c r="AF7" i="9"/>
  <c r="AG7" i="9" s="1"/>
  <c r="AC7" i="9"/>
  <c r="AD7" i="9" s="1"/>
  <c r="Z7" i="9"/>
  <c r="AA7" i="9" s="1"/>
  <c r="W7" i="9"/>
  <c r="X7" i="9" s="1"/>
  <c r="T7" i="9"/>
  <c r="U7" i="9" s="1"/>
  <c r="Q7" i="9"/>
  <c r="R7" i="9" s="1"/>
  <c r="N7" i="9"/>
  <c r="O7" i="9" s="1"/>
  <c r="K7" i="9"/>
  <c r="L7" i="9" s="1"/>
  <c r="H7" i="9"/>
  <c r="I7" i="9" s="1"/>
  <c r="D7" i="9"/>
  <c r="AO6" i="9"/>
  <c r="AP6" i="9" s="1"/>
  <c r="AL6" i="9"/>
  <c r="AM6" i="9" s="1"/>
  <c r="AI6" i="9"/>
  <c r="AJ6" i="9" s="1"/>
  <c r="AF6" i="9"/>
  <c r="AG6" i="9" s="1"/>
  <c r="AC6" i="9"/>
  <c r="AD6" i="9" s="1"/>
  <c r="Z6" i="9"/>
  <c r="AA6" i="9" s="1"/>
  <c r="W6" i="9"/>
  <c r="X6" i="9" s="1"/>
  <c r="T6" i="9"/>
  <c r="U6" i="9" s="1"/>
  <c r="Q6" i="9"/>
  <c r="R6" i="9" s="1"/>
  <c r="N6" i="9"/>
  <c r="O6" i="9" s="1"/>
  <c r="K6" i="9"/>
  <c r="L6" i="9" s="1"/>
  <c r="H6" i="9"/>
  <c r="E6" i="9" s="1"/>
  <c r="D6" i="9"/>
  <c r="AO5" i="9"/>
  <c r="AP5" i="9" s="1"/>
  <c r="AL5" i="9"/>
  <c r="AM5" i="9" s="1"/>
  <c r="AI5" i="9"/>
  <c r="AJ5" i="9" s="1"/>
  <c r="AF5" i="9"/>
  <c r="AG5" i="9" s="1"/>
  <c r="AC5" i="9"/>
  <c r="AD5" i="9" s="1"/>
  <c r="Z5" i="9"/>
  <c r="AA5" i="9" s="1"/>
  <c r="W5" i="9"/>
  <c r="X5" i="9" s="1"/>
  <c r="T5" i="9"/>
  <c r="U5" i="9" s="1"/>
  <c r="Q5" i="9"/>
  <c r="R5" i="9" s="1"/>
  <c r="N5" i="9"/>
  <c r="O5" i="9" s="1"/>
  <c r="K5" i="9"/>
  <c r="L5" i="9" s="1"/>
  <c r="H5" i="9"/>
  <c r="I5" i="9" s="1"/>
  <c r="D5" i="9"/>
  <c r="AO4" i="9"/>
  <c r="AP4" i="9" s="1"/>
  <c r="AL4" i="9"/>
  <c r="AM4" i="9" s="1"/>
  <c r="AI4" i="9"/>
  <c r="AJ4" i="9" s="1"/>
  <c r="AF4" i="9"/>
  <c r="AG4" i="9" s="1"/>
  <c r="AC4" i="9"/>
  <c r="AD4" i="9" s="1"/>
  <c r="Z4" i="9"/>
  <c r="AA4" i="9" s="1"/>
  <c r="W4" i="9"/>
  <c r="X4" i="9" s="1"/>
  <c r="T4" i="9"/>
  <c r="U4" i="9" s="1"/>
  <c r="Q4" i="9"/>
  <c r="R4" i="9" s="1"/>
  <c r="N4" i="9"/>
  <c r="O4" i="9" s="1"/>
  <c r="K4" i="9"/>
  <c r="L4" i="9" s="1"/>
  <c r="H4" i="9"/>
  <c r="I4" i="9" s="1"/>
  <c r="D4" i="9"/>
  <c r="D3" i="9"/>
  <c r="D24" i="3"/>
  <c r="F26" i="14" l="1"/>
  <c r="F5" i="14"/>
  <c r="F7" i="4"/>
  <c r="F4" i="4"/>
  <c r="F16" i="4"/>
  <c r="F15" i="4"/>
  <c r="F8" i="4"/>
  <c r="F20" i="4"/>
  <c r="F23" i="4"/>
  <c r="F27" i="4"/>
  <c r="F12" i="4"/>
  <c r="F8" i="7"/>
  <c r="F17" i="7"/>
  <c r="F12" i="7"/>
  <c r="F24" i="7"/>
  <c r="F20" i="6"/>
  <c r="F12" i="6"/>
  <c r="F13" i="6"/>
  <c r="F25" i="6"/>
  <c r="F25" i="8"/>
  <c r="F29" i="8"/>
  <c r="F7" i="13"/>
  <c r="F23" i="13"/>
  <c r="F15" i="13"/>
  <c r="F27" i="13"/>
  <c r="F4" i="13"/>
  <c r="BW23" i="2"/>
  <c r="BW43" i="2"/>
  <c r="BX22" i="2"/>
  <c r="BX34" i="2"/>
  <c r="BX35" i="2"/>
  <c r="BW36" i="2"/>
  <c r="BW26" i="2"/>
  <c r="BW27" i="2"/>
  <c r="BX28" i="2"/>
  <c r="BW29" i="2"/>
  <c r="BW33" i="2"/>
  <c r="BW41" i="2"/>
  <c r="BW44" i="2"/>
  <c r="BW47" i="2"/>
  <c r="BW4" i="2"/>
  <c r="BX16" i="2"/>
  <c r="BW17" i="2"/>
  <c r="BW21" i="2"/>
  <c r="BW5" i="2"/>
  <c r="BX44" i="1"/>
  <c r="BX43" i="1"/>
  <c r="BX12" i="1"/>
  <c r="BW5" i="1"/>
  <c r="BW24" i="1"/>
  <c r="BW10" i="1"/>
  <c r="BW29" i="1"/>
  <c r="BW30" i="1"/>
  <c r="BX6" i="1"/>
  <c r="BX45" i="1"/>
  <c r="BW11" i="1"/>
  <c r="BW9" i="1"/>
  <c r="BW18" i="1"/>
  <c r="BW8" i="1"/>
  <c r="BW17" i="1"/>
  <c r="BW42" i="1"/>
  <c r="BW38" i="1"/>
  <c r="BW23" i="1"/>
  <c r="BX36" i="1"/>
  <c r="BX22" i="1"/>
  <c r="BX35" i="1"/>
  <c r="F20" i="13"/>
  <c r="I25" i="8"/>
  <c r="I14" i="7"/>
  <c r="F24" i="13"/>
  <c r="F19" i="4"/>
  <c r="I23" i="4"/>
  <c r="E21" i="13"/>
  <c r="F21" i="13" s="1"/>
  <c r="F29" i="13"/>
  <c r="I5" i="13"/>
  <c r="E6" i="13"/>
  <c r="F6" i="13" s="1"/>
  <c r="E11" i="13"/>
  <c r="F11" i="13" s="1"/>
  <c r="F17" i="13"/>
  <c r="E28" i="8"/>
  <c r="F28" i="8" s="1"/>
  <c r="E25" i="10"/>
  <c r="F25" i="10" s="1"/>
  <c r="F25" i="13"/>
  <c r="E27" i="8"/>
  <c r="F27" i="8" s="1"/>
  <c r="E12" i="11"/>
  <c r="F12" i="11" s="1"/>
  <c r="I25" i="13"/>
  <c r="E16" i="8"/>
  <c r="F16" i="8" s="1"/>
  <c r="E19" i="6"/>
  <c r="F19" i="6" s="1"/>
  <c r="F5" i="5"/>
  <c r="F18" i="11"/>
  <c r="E10" i="13"/>
  <c r="F10" i="13" s="1"/>
  <c r="E14" i="13"/>
  <c r="F14" i="13" s="1"/>
  <c r="F9" i="5"/>
  <c r="F20" i="5"/>
  <c r="I15" i="4"/>
  <c r="I15" i="13"/>
  <c r="F12" i="5"/>
  <c r="F11" i="4"/>
  <c r="I11" i="4"/>
  <c r="I7" i="13"/>
  <c r="I27" i="13"/>
  <c r="I12" i="4"/>
  <c r="I13" i="13"/>
  <c r="I23" i="13"/>
  <c r="I29" i="8"/>
  <c r="I12" i="6"/>
  <c r="I17" i="13"/>
  <c r="E28" i="14"/>
  <c r="F28" i="14" s="1"/>
  <c r="I9" i="13"/>
  <c r="I29" i="13"/>
  <c r="I27" i="4"/>
  <c r="E26" i="8"/>
  <c r="F26" i="8" s="1"/>
  <c r="F5" i="13"/>
  <c r="I7" i="4"/>
  <c r="F12" i="13"/>
  <c r="F10" i="11"/>
  <c r="E19" i="13"/>
  <c r="F19" i="13" s="1"/>
  <c r="I19" i="13"/>
  <c r="E26" i="10"/>
  <c r="F26" i="10" s="1"/>
  <c r="E27" i="10"/>
  <c r="F27" i="10" s="1"/>
  <c r="F13" i="13"/>
  <c r="F8" i="13"/>
  <c r="F16" i="13"/>
  <c r="F9" i="13"/>
  <c r="F28" i="13"/>
  <c r="I4" i="13"/>
  <c r="I8" i="13"/>
  <c r="I12" i="13"/>
  <c r="I16" i="13"/>
  <c r="I20" i="13"/>
  <c r="I24" i="13"/>
  <c r="I28" i="13"/>
  <c r="E18" i="13"/>
  <c r="F18" i="13" s="1"/>
  <c r="E22" i="13"/>
  <c r="F22" i="13" s="1"/>
  <c r="E26" i="13"/>
  <c r="F26" i="13" s="1"/>
  <c r="E30" i="13"/>
  <c r="F30" i="13" s="1"/>
  <c r="F4" i="12"/>
  <c r="I4" i="12"/>
  <c r="BW6" i="2"/>
  <c r="BW12" i="2"/>
  <c r="BW18" i="2"/>
  <c r="BW24" i="2"/>
  <c r="BW30" i="2"/>
  <c r="BW38" i="2"/>
  <c r="BW45" i="2"/>
  <c r="BW7" i="2"/>
  <c r="BW13" i="2"/>
  <c r="BW19" i="2"/>
  <c r="BW25" i="2"/>
  <c r="BW32" i="2"/>
  <c r="BW39" i="2"/>
  <c r="BW46" i="2"/>
  <c r="BW8" i="2"/>
  <c r="BW14" i="2"/>
  <c r="BW20" i="2"/>
  <c r="BW9" i="2"/>
  <c r="BW15" i="2"/>
  <c r="I17" i="14"/>
  <c r="I27" i="14"/>
  <c r="E14" i="6"/>
  <c r="F14" i="6" s="1"/>
  <c r="I8" i="4"/>
  <c r="I24" i="4"/>
  <c r="E4" i="8"/>
  <c r="F4" i="8" s="1"/>
  <c r="BW7" i="1"/>
  <c r="BW13" i="1"/>
  <c r="BW19" i="1"/>
  <c r="BW25" i="1"/>
  <c r="BW32" i="1"/>
  <c r="BW39" i="1"/>
  <c r="BW46" i="1"/>
  <c r="I15" i="6"/>
  <c r="I6" i="7"/>
  <c r="I4" i="4"/>
  <c r="BW14" i="1"/>
  <c r="BW20" i="1"/>
  <c r="BW26" i="1"/>
  <c r="BW33" i="1"/>
  <c r="BW41" i="1"/>
  <c r="BW47" i="1"/>
  <c r="E16" i="6"/>
  <c r="F16" i="6" s="1"/>
  <c r="BW15" i="1"/>
  <c r="BW21" i="1"/>
  <c r="BW27" i="1"/>
  <c r="BW34" i="1"/>
  <c r="F29" i="7"/>
  <c r="I7" i="8"/>
  <c r="E11" i="8"/>
  <c r="F11" i="8" s="1"/>
  <c r="E20" i="8"/>
  <c r="F20" i="8" s="1"/>
  <c r="F6" i="11"/>
  <c r="I29" i="14"/>
  <c r="BW4" i="1"/>
  <c r="BW16" i="1"/>
  <c r="BW28" i="1"/>
  <c r="E5" i="6"/>
  <c r="F5" i="6" s="1"/>
  <c r="E4" i="7"/>
  <c r="F4" i="7" s="1"/>
  <c r="E15" i="7"/>
  <c r="F15" i="7" s="1"/>
  <c r="I22" i="7"/>
  <c r="I16" i="5"/>
  <c r="E8" i="14"/>
  <c r="F8" i="14" s="1"/>
  <c r="E9" i="14"/>
  <c r="F9" i="14" s="1"/>
  <c r="F17" i="14"/>
  <c r="F22" i="14"/>
  <c r="I5" i="14"/>
  <c r="I7" i="14"/>
  <c r="I19" i="4"/>
  <c r="E21" i="4"/>
  <c r="F21" i="4" s="1"/>
  <c r="F24" i="4"/>
  <c r="E29" i="4"/>
  <c r="F29" i="4" s="1"/>
  <c r="I20" i="5"/>
  <c r="F13" i="5"/>
  <c r="I12" i="5"/>
  <c r="F21" i="5"/>
  <c r="F9" i="7"/>
  <c r="E16" i="7"/>
  <c r="F16" i="7" s="1"/>
  <c r="F13" i="7"/>
  <c r="E20" i="7"/>
  <c r="F20" i="7" s="1"/>
  <c r="I12" i="7"/>
  <c r="I13" i="6"/>
  <c r="I20" i="6"/>
  <c r="I22" i="6"/>
  <c r="F10" i="6"/>
  <c r="I10" i="6"/>
  <c r="F17" i="6"/>
  <c r="F18" i="6"/>
  <c r="E4" i="6"/>
  <c r="F4" i="6" s="1"/>
  <c r="E21" i="6"/>
  <c r="F21" i="6" s="1"/>
  <c r="E23" i="6"/>
  <c r="F23" i="6" s="1"/>
  <c r="F26" i="6"/>
  <c r="F15" i="6"/>
  <c r="I7" i="11"/>
  <c r="E4" i="11"/>
  <c r="F4" i="11" s="1"/>
  <c r="I13" i="11"/>
  <c r="E8" i="11"/>
  <c r="F8" i="11" s="1"/>
  <c r="F9" i="11"/>
  <c r="I15" i="11"/>
  <c r="F4" i="10"/>
  <c r="F6" i="10"/>
  <c r="I19" i="10"/>
  <c r="E20" i="10"/>
  <c r="F20" i="10" s="1"/>
  <c r="E7" i="10"/>
  <c r="F7" i="10" s="1"/>
  <c r="F21" i="10"/>
  <c r="F9" i="10"/>
  <c r="E24" i="10"/>
  <c r="F24" i="10" s="1"/>
  <c r="E15" i="10"/>
  <c r="F15" i="10" s="1"/>
  <c r="F17" i="10"/>
  <c r="E12" i="10"/>
  <c r="F12" i="10" s="1"/>
  <c r="E11" i="10"/>
  <c r="F11" i="10" s="1"/>
  <c r="E16" i="10"/>
  <c r="F16" i="10" s="1"/>
  <c r="F7" i="8"/>
  <c r="E12" i="8"/>
  <c r="F12" i="8" s="1"/>
  <c r="E19" i="8"/>
  <c r="F19" i="8" s="1"/>
  <c r="E15" i="8"/>
  <c r="F15" i="8" s="1"/>
  <c r="F10" i="9"/>
  <c r="E15" i="9"/>
  <c r="F15" i="9" s="1"/>
  <c r="F6" i="9"/>
  <c r="E7" i="9"/>
  <c r="F7" i="9" s="1"/>
  <c r="F14" i="9"/>
  <c r="E19" i="9"/>
  <c r="F19" i="9" s="1"/>
  <c r="E11" i="9"/>
  <c r="F11" i="9" s="1"/>
  <c r="I8" i="8"/>
  <c r="E8" i="8"/>
  <c r="F8" i="8" s="1"/>
  <c r="E13" i="10"/>
  <c r="F13" i="10" s="1"/>
  <c r="I13" i="10"/>
  <c r="F18" i="9"/>
  <c r="E28" i="4"/>
  <c r="F28" i="4" s="1"/>
  <c r="I28" i="4"/>
  <c r="I23" i="8"/>
  <c r="I4" i="10"/>
  <c r="E8" i="10"/>
  <c r="F8" i="10" s="1"/>
  <c r="I23" i="10"/>
  <c r="E7" i="6"/>
  <c r="F7" i="6" s="1"/>
  <c r="I7" i="6"/>
  <c r="I17" i="11"/>
  <c r="F14" i="8"/>
  <c r="I17" i="10"/>
  <c r="F19" i="10"/>
  <c r="I9" i="11"/>
  <c r="E11" i="11"/>
  <c r="F11" i="11" s="1"/>
  <c r="I11" i="5"/>
  <c r="E11" i="5"/>
  <c r="F11" i="5" s="1"/>
  <c r="F22" i="10"/>
  <c r="F10" i="10"/>
  <c r="E27" i="6"/>
  <c r="F27" i="6" s="1"/>
  <c r="I27" i="6"/>
  <c r="I20" i="14"/>
  <c r="E20" i="14"/>
  <c r="F20" i="14" s="1"/>
  <c r="F10" i="8"/>
  <c r="F14" i="11"/>
  <c r="E24" i="8"/>
  <c r="F24" i="8" s="1"/>
  <c r="F23" i="8"/>
  <c r="I5" i="10"/>
  <c r="I21" i="10"/>
  <c r="F23" i="10"/>
  <c r="I5" i="11"/>
  <c r="I8" i="6"/>
  <c r="E8" i="6"/>
  <c r="F8" i="6" s="1"/>
  <c r="E22" i="5"/>
  <c r="F22" i="5" s="1"/>
  <c r="I22" i="5"/>
  <c r="I9" i="10"/>
  <c r="E16" i="11"/>
  <c r="F16" i="11" s="1"/>
  <c r="I10" i="4"/>
  <c r="E10" i="4"/>
  <c r="F10" i="4" s="1"/>
  <c r="E13" i="14"/>
  <c r="F13" i="14" s="1"/>
  <c r="I13" i="14"/>
  <c r="E21" i="14"/>
  <c r="F21" i="14" s="1"/>
  <c r="I21" i="14"/>
  <c r="I18" i="6"/>
  <c r="I8" i="7"/>
  <c r="I24" i="7"/>
  <c r="E4" i="5"/>
  <c r="F4" i="5" s="1"/>
  <c r="I16" i="4"/>
  <c r="I22" i="4"/>
  <c r="E22" i="4"/>
  <c r="F22" i="4" s="1"/>
  <c r="F22" i="6"/>
  <c r="I10" i="7"/>
  <c r="E11" i="7"/>
  <c r="F11" i="7" s="1"/>
  <c r="E18" i="7"/>
  <c r="F18" i="7" s="1"/>
  <c r="I26" i="7"/>
  <c r="F28" i="7"/>
  <c r="I14" i="5"/>
  <c r="E15" i="5"/>
  <c r="F15" i="5" s="1"/>
  <c r="E13" i="4"/>
  <c r="F13" i="4" s="1"/>
  <c r="E25" i="4"/>
  <c r="F25" i="4" s="1"/>
  <c r="I26" i="4"/>
  <c r="E26" i="4"/>
  <c r="F26" i="4" s="1"/>
  <c r="F5" i="7"/>
  <c r="I28" i="7"/>
  <c r="F30" i="7"/>
  <c r="I6" i="5"/>
  <c r="E7" i="5"/>
  <c r="F7" i="5" s="1"/>
  <c r="F17" i="5"/>
  <c r="E5" i="4"/>
  <c r="F5" i="4" s="1"/>
  <c r="I14" i="4"/>
  <c r="E14" i="4"/>
  <c r="F14" i="4" s="1"/>
  <c r="I20" i="4"/>
  <c r="I30" i="7"/>
  <c r="I6" i="4"/>
  <c r="E6" i="4"/>
  <c r="F6" i="4" s="1"/>
  <c r="E17" i="4"/>
  <c r="F17" i="4" s="1"/>
  <c r="I30" i="4"/>
  <c r="E30" i="4"/>
  <c r="F30" i="4" s="1"/>
  <c r="F7" i="14"/>
  <c r="E7" i="7"/>
  <c r="F7" i="7" s="1"/>
  <c r="F21" i="7"/>
  <c r="I8" i="5"/>
  <c r="I18" i="5"/>
  <c r="E19" i="5"/>
  <c r="F19" i="5" s="1"/>
  <c r="I18" i="4"/>
  <c r="E18" i="4"/>
  <c r="F18" i="4" s="1"/>
  <c r="I25" i="6"/>
  <c r="I10" i="5"/>
  <c r="E9" i="4"/>
  <c r="F9" i="4" s="1"/>
  <c r="I12" i="14"/>
  <c r="E12" i="14"/>
  <c r="F12" i="14" s="1"/>
  <c r="F30" i="14"/>
  <c r="E15" i="14"/>
  <c r="F15" i="14" s="1"/>
  <c r="E23" i="14"/>
  <c r="F23" i="14" s="1"/>
  <c r="E16" i="14"/>
  <c r="F16" i="14" s="1"/>
  <c r="E24" i="14"/>
  <c r="F24" i="14" s="1"/>
  <c r="E4" i="14"/>
  <c r="F4" i="14" s="1"/>
  <c r="E11" i="14"/>
  <c r="F11" i="14" s="1"/>
  <c r="F18" i="14"/>
  <c r="E25" i="14"/>
  <c r="F25" i="14" s="1"/>
  <c r="F6" i="14"/>
  <c r="E19" i="14"/>
  <c r="F19" i="14" s="1"/>
  <c r="F27" i="14"/>
  <c r="F14" i="14"/>
  <c r="F29" i="14"/>
  <c r="F10" i="14"/>
  <c r="I6" i="14"/>
  <c r="I10" i="14"/>
  <c r="I14" i="14"/>
  <c r="I18" i="14"/>
  <c r="I22" i="14"/>
  <c r="I26" i="14"/>
  <c r="I30" i="14"/>
  <c r="F14" i="5"/>
  <c r="F6" i="5"/>
  <c r="F16" i="5"/>
  <c r="F8" i="5"/>
  <c r="F18" i="5"/>
  <c r="F10" i="5"/>
  <c r="I5" i="5"/>
  <c r="I9" i="5"/>
  <c r="I13" i="5"/>
  <c r="I17" i="5"/>
  <c r="I21" i="5"/>
  <c r="F14" i="7"/>
  <c r="F6" i="7"/>
  <c r="F22" i="7"/>
  <c r="F25" i="7"/>
  <c r="F10" i="7"/>
  <c r="F26" i="7"/>
  <c r="I5" i="7"/>
  <c r="I9" i="7"/>
  <c r="I13" i="7"/>
  <c r="I17" i="7"/>
  <c r="I21" i="7"/>
  <c r="I25" i="7"/>
  <c r="I29" i="7"/>
  <c r="E19" i="7"/>
  <c r="F19" i="7" s="1"/>
  <c r="E23" i="7"/>
  <c r="F23" i="7" s="1"/>
  <c r="E27" i="7"/>
  <c r="F27" i="7" s="1"/>
  <c r="E9" i="6"/>
  <c r="F9" i="6" s="1"/>
  <c r="I17" i="6"/>
  <c r="I26" i="6"/>
  <c r="E6" i="6"/>
  <c r="F6" i="6" s="1"/>
  <c r="E24" i="6"/>
  <c r="F24" i="6" s="1"/>
  <c r="E11" i="6"/>
  <c r="F11" i="6" s="1"/>
  <c r="F13" i="11"/>
  <c r="F5" i="11"/>
  <c r="F15" i="11"/>
  <c r="F7" i="11"/>
  <c r="F17" i="11"/>
  <c r="I6" i="11"/>
  <c r="I10" i="11"/>
  <c r="I14" i="11"/>
  <c r="I18" i="11"/>
  <c r="F18" i="10"/>
  <c r="F14" i="10"/>
  <c r="I14" i="10"/>
  <c r="I6" i="10"/>
  <c r="I10" i="10"/>
  <c r="I18" i="10"/>
  <c r="I22" i="10"/>
  <c r="F18" i="8"/>
  <c r="F6" i="8"/>
  <c r="F22" i="8"/>
  <c r="I6" i="8"/>
  <c r="I10" i="8"/>
  <c r="I14" i="8"/>
  <c r="I18" i="8"/>
  <c r="I22" i="8"/>
  <c r="E5" i="8"/>
  <c r="F5" i="8" s="1"/>
  <c r="E9" i="8"/>
  <c r="F9" i="8" s="1"/>
  <c r="E13" i="8"/>
  <c r="F13" i="8" s="1"/>
  <c r="E17" i="8"/>
  <c r="F17" i="8" s="1"/>
  <c r="E21" i="8"/>
  <c r="F21" i="8" s="1"/>
  <c r="I6" i="9"/>
  <c r="I18" i="9"/>
  <c r="E4" i="9"/>
  <c r="F4" i="9" s="1"/>
  <c r="E8" i="9"/>
  <c r="F8" i="9" s="1"/>
  <c r="E12" i="9"/>
  <c r="F12" i="9" s="1"/>
  <c r="E16" i="9"/>
  <c r="F16" i="9" s="1"/>
  <c r="E20" i="9"/>
  <c r="F20" i="9" s="1"/>
  <c r="I10" i="9"/>
  <c r="I14" i="9"/>
  <c r="E5" i="9"/>
  <c r="F5" i="9" s="1"/>
  <c r="E9" i="9"/>
  <c r="F9" i="9" s="1"/>
  <c r="E13" i="9"/>
  <c r="F13" i="9" s="1"/>
  <c r="E17" i="9"/>
  <c r="F17" i="9" s="1"/>
  <c r="E21" i="9"/>
  <c r="F21" i="9" s="1"/>
  <c r="D1" i="13" l="1"/>
  <c r="H24" i="3"/>
  <c r="EJ3" i="2"/>
  <c r="CX3" i="2"/>
  <c r="CK3" i="2"/>
  <c r="DK3" i="2"/>
  <c r="D1" i="11"/>
  <c r="D1" i="4" s="1"/>
  <c r="D1" i="10"/>
  <c r="D1" i="8"/>
  <c r="D1" i="12"/>
  <c r="D1" i="9"/>
  <c r="D48" i="8" l="1"/>
  <c r="D48" i="12"/>
  <c r="D48" i="13"/>
  <c r="D1" i="7"/>
  <c r="D1" i="14"/>
  <c r="D1" i="6"/>
  <c r="D1" i="5"/>
  <c r="H40" i="3"/>
  <c r="L39" i="3"/>
  <c r="H39" i="3"/>
  <c r="D43" i="3"/>
  <c r="D27" i="3" s="1"/>
  <c r="AS48" i="2"/>
  <c r="AR48" i="2"/>
  <c r="AQ48" i="2"/>
  <c r="AP48" i="2"/>
  <c r="AO48" i="2"/>
  <c r="AN48" i="2"/>
  <c r="AM48" i="2"/>
  <c r="AL48" i="2"/>
  <c r="AK48" i="2"/>
  <c r="AJ48" i="2"/>
  <c r="AI48" i="2"/>
  <c r="AH48" i="2"/>
  <c r="AO3" i="14"/>
  <c r="AP3" i="14" s="1"/>
  <c r="AL3" i="14"/>
  <c r="AM3" i="14" s="1"/>
  <c r="AI3" i="14"/>
  <c r="AJ3" i="14" s="1"/>
  <c r="AF3" i="14"/>
  <c r="AG3" i="14" s="1"/>
  <c r="AC3" i="14"/>
  <c r="Z3" i="14"/>
  <c r="AA3" i="14" s="1"/>
  <c r="W3" i="14"/>
  <c r="X3" i="14" s="1"/>
  <c r="T3" i="14"/>
  <c r="U3" i="14" s="1"/>
  <c r="Q3" i="14"/>
  <c r="N3" i="14"/>
  <c r="O3" i="14" s="1"/>
  <c r="K3" i="14"/>
  <c r="L3" i="14" s="1"/>
  <c r="H3" i="14"/>
  <c r="E3" i="14" s="1"/>
  <c r="AO3" i="8"/>
  <c r="AL3" i="8"/>
  <c r="AL48" i="8" s="1"/>
  <c r="AM48" i="8" s="1"/>
  <c r="AI3" i="8"/>
  <c r="AI48" i="8" s="1"/>
  <c r="AJ48" i="8" s="1"/>
  <c r="AF3" i="8"/>
  <c r="AF48" i="8" s="1"/>
  <c r="AG48" i="8" s="1"/>
  <c r="AC3" i="8"/>
  <c r="AC48" i="8" s="1"/>
  <c r="AD48" i="8" s="1"/>
  <c r="Z3" i="8"/>
  <c r="Z48" i="8" s="1"/>
  <c r="AA48" i="8" s="1"/>
  <c r="W3" i="8"/>
  <c r="W48" i="8" s="1"/>
  <c r="X48" i="8" s="1"/>
  <c r="T3" i="8"/>
  <c r="T48" i="8" s="1"/>
  <c r="U48" i="8" s="1"/>
  <c r="Q3" i="8"/>
  <c r="Q48" i="8" s="1"/>
  <c r="R48" i="8" s="1"/>
  <c r="N3" i="8"/>
  <c r="N48" i="8" s="1"/>
  <c r="O48" i="8" s="1"/>
  <c r="K3" i="8"/>
  <c r="K48" i="8" s="1"/>
  <c r="L48" i="8" s="1"/>
  <c r="H3" i="8"/>
  <c r="AO3" i="13"/>
  <c r="AL3" i="13"/>
  <c r="AI3" i="13"/>
  <c r="AF3" i="13"/>
  <c r="AC3" i="13"/>
  <c r="Z3" i="13"/>
  <c r="W3" i="13"/>
  <c r="T3" i="13"/>
  <c r="Q3" i="13"/>
  <c r="N3" i="13"/>
  <c r="K3" i="13"/>
  <c r="H3" i="13"/>
  <c r="E3" i="13" s="1"/>
  <c r="AO3" i="12"/>
  <c r="AL3" i="12"/>
  <c r="AI3" i="12"/>
  <c r="AF3" i="12"/>
  <c r="AC3" i="12"/>
  <c r="Z3" i="12"/>
  <c r="W3" i="12"/>
  <c r="T3" i="12"/>
  <c r="Q3" i="12"/>
  <c r="N3" i="12"/>
  <c r="K3" i="12"/>
  <c r="H3" i="12"/>
  <c r="E3" i="12" s="1"/>
  <c r="AO3" i="9"/>
  <c r="AL3" i="9"/>
  <c r="AI3" i="9"/>
  <c r="AF3" i="9"/>
  <c r="AC3" i="9"/>
  <c r="Z3" i="9"/>
  <c r="W3" i="9"/>
  <c r="T3" i="9"/>
  <c r="Q3" i="9"/>
  <c r="N3" i="9"/>
  <c r="K3" i="9"/>
  <c r="H3" i="9"/>
  <c r="E3" i="9" s="1"/>
  <c r="AN49" i="14"/>
  <c r="AK49" i="14"/>
  <c r="AH49" i="14"/>
  <c r="AE49" i="14"/>
  <c r="AB49" i="14"/>
  <c r="Y49" i="14"/>
  <c r="V49" i="14"/>
  <c r="S49" i="14"/>
  <c r="P49" i="14"/>
  <c r="M49" i="14"/>
  <c r="J49" i="14"/>
  <c r="G49" i="14"/>
  <c r="AN48" i="14"/>
  <c r="AK48" i="14"/>
  <c r="AH48" i="14"/>
  <c r="AE48" i="14"/>
  <c r="AB48" i="14"/>
  <c r="Y48" i="14"/>
  <c r="V48" i="14"/>
  <c r="S48" i="14"/>
  <c r="P48" i="14"/>
  <c r="M48" i="14"/>
  <c r="J48" i="14"/>
  <c r="G48" i="14"/>
  <c r="H3" i="6"/>
  <c r="E3" i="6" s="1"/>
  <c r="K3" i="6"/>
  <c r="L3" i="6" s="1"/>
  <c r="N3" i="6"/>
  <c r="O3" i="6" s="1"/>
  <c r="Q3" i="6"/>
  <c r="R3" i="6" s="1"/>
  <c r="T3" i="6"/>
  <c r="U3" i="6" s="1"/>
  <c r="W3" i="6"/>
  <c r="X3" i="6" s="1"/>
  <c r="Z3" i="6"/>
  <c r="AA3" i="6" s="1"/>
  <c r="AC3" i="6"/>
  <c r="AD3" i="6" s="1"/>
  <c r="AF3" i="6"/>
  <c r="AG3" i="6" s="1"/>
  <c r="AI3" i="6"/>
  <c r="AJ3" i="6" s="1"/>
  <c r="AL3" i="6"/>
  <c r="AM3" i="6" s="1"/>
  <c r="AO3" i="6"/>
  <c r="AP3" i="6" s="1"/>
  <c r="EV49" i="2"/>
  <c r="EU49" i="2"/>
  <c r="ET49" i="2"/>
  <c r="ES49" i="2"/>
  <c r="ER49" i="2"/>
  <c r="EQ49" i="2"/>
  <c r="EP49" i="2"/>
  <c r="EO49" i="2"/>
  <c r="EN49" i="2"/>
  <c r="EM49" i="2"/>
  <c r="EL49" i="2"/>
  <c r="EK49" i="2"/>
  <c r="EV48" i="2"/>
  <c r="EU48" i="2"/>
  <c r="ET48" i="2"/>
  <c r="ES48" i="2"/>
  <c r="ER48" i="2"/>
  <c r="EQ48" i="2"/>
  <c r="EP48" i="2"/>
  <c r="EO48" i="2"/>
  <c r="EN48" i="2"/>
  <c r="EM48" i="2"/>
  <c r="EL48" i="2"/>
  <c r="EK48" i="2"/>
  <c r="L40" i="3"/>
  <c r="EW3" i="2"/>
  <c r="DK48" i="2"/>
  <c r="L29" i="3"/>
  <c r="EW3" i="1"/>
  <c r="M39" i="3"/>
  <c r="EJ3" i="1"/>
  <c r="DK3" i="1"/>
  <c r="CX3" i="1"/>
  <c r="CK3" i="1"/>
  <c r="H48" i="8" l="1"/>
  <c r="I48" i="8" s="1"/>
  <c r="E3" i="8"/>
  <c r="D49" i="14"/>
  <c r="D19" i="3"/>
  <c r="AO48" i="8"/>
  <c r="AP48" i="8" s="1"/>
  <c r="M40" i="3"/>
  <c r="I3" i="14"/>
  <c r="F3" i="6"/>
  <c r="D40" i="3"/>
  <c r="N39" i="3"/>
  <c r="D39" i="3"/>
  <c r="D29" i="3"/>
  <c r="EW49" i="2"/>
  <c r="N49" i="14"/>
  <c r="O49" i="14" s="1"/>
  <c r="Z49" i="14"/>
  <c r="AA49" i="14" s="1"/>
  <c r="AL49" i="14"/>
  <c r="AM49" i="14" s="1"/>
  <c r="AC49" i="14"/>
  <c r="AD49" i="14" s="1"/>
  <c r="T48" i="14"/>
  <c r="U48" i="14" s="1"/>
  <c r="AT48" i="2"/>
  <c r="M11" i="3" s="1"/>
  <c r="Q49" i="14"/>
  <c r="R49" i="14" s="1"/>
  <c r="AO49" i="14"/>
  <c r="AP49" i="14" s="1"/>
  <c r="W49" i="14"/>
  <c r="X49" i="14" s="1"/>
  <c r="H48" i="14"/>
  <c r="I48" i="14" s="1"/>
  <c r="AF48" i="14"/>
  <c r="AG48" i="14" s="1"/>
  <c r="K48" i="14"/>
  <c r="L48" i="14" s="1"/>
  <c r="W48" i="14"/>
  <c r="X48" i="14" s="1"/>
  <c r="AI48" i="14"/>
  <c r="AJ48" i="14" s="1"/>
  <c r="H49" i="14"/>
  <c r="I49" i="14" s="1"/>
  <c r="T49" i="14"/>
  <c r="U49" i="14" s="1"/>
  <c r="AF49" i="14"/>
  <c r="AG49" i="14" s="1"/>
  <c r="N48" i="14"/>
  <c r="O48" i="14" s="1"/>
  <c r="Z48" i="14"/>
  <c r="AL48" i="14"/>
  <c r="AM48" i="14" s="1"/>
  <c r="K49" i="14"/>
  <c r="L49" i="14" s="1"/>
  <c r="AI49" i="14"/>
  <c r="AJ49" i="14" s="1"/>
  <c r="AD3" i="14"/>
  <c r="D48" i="14"/>
  <c r="Q48" i="14"/>
  <c r="R48" i="14" s="1"/>
  <c r="AC48" i="14"/>
  <c r="AD48" i="14" s="1"/>
  <c r="AO48" i="14"/>
  <c r="AP48" i="14" s="1"/>
  <c r="R3" i="14"/>
  <c r="I3" i="6"/>
  <c r="EW48" i="2"/>
  <c r="EJ48" i="1"/>
  <c r="E48" i="8" l="1"/>
  <c r="F48" i="8" s="1"/>
  <c r="M18" i="3"/>
  <c r="M19" i="3"/>
  <c r="E48" i="6"/>
  <c r="E48" i="13"/>
  <c r="E48" i="12"/>
  <c r="F48" i="12" s="1"/>
  <c r="E49" i="12"/>
  <c r="I40" i="3"/>
  <c r="AA48" i="14"/>
  <c r="I27" i="3"/>
  <c r="I39" i="3"/>
  <c r="J39" i="3" s="1"/>
  <c r="E48" i="14"/>
  <c r="F48" i="14" s="1"/>
  <c r="E49" i="14"/>
  <c r="F49" i="14" s="1"/>
  <c r="F3" i="14"/>
  <c r="BV3" i="1" l="1"/>
  <c r="BX3" i="1" s="1"/>
  <c r="BG3" i="1"/>
  <c r="BI3" i="1"/>
  <c r="AT3" i="1"/>
  <c r="AF3" i="1"/>
  <c r="AG3" i="1" s="1"/>
  <c r="M27" i="3"/>
  <c r="BW3" i="1" l="1"/>
  <c r="EV49" i="1" l="1"/>
  <c r="EU49" i="1"/>
  <c r="ET49" i="1"/>
  <c r="ES49" i="1"/>
  <c r="ER49" i="1"/>
  <c r="EQ49" i="1"/>
  <c r="EP49" i="1"/>
  <c r="EO49" i="1"/>
  <c r="EN49" i="1"/>
  <c r="EM49" i="1"/>
  <c r="EL49" i="1"/>
  <c r="EK49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AI48" i="1"/>
  <c r="AH48" i="1"/>
  <c r="AS48" i="1"/>
  <c r="AR48" i="1"/>
  <c r="AQ48" i="1"/>
  <c r="AP48" i="1"/>
  <c r="AO48" i="1"/>
  <c r="AN48" i="1"/>
  <c r="AM48" i="1"/>
  <c r="AL48" i="1"/>
  <c r="AK48" i="1"/>
  <c r="AJ48" i="1"/>
  <c r="EW49" i="1" l="1"/>
  <c r="EW48" i="1"/>
  <c r="AT48" i="1"/>
  <c r="L11" i="3" s="1"/>
  <c r="N11" i="3" s="1"/>
  <c r="L38" i="3" l="1"/>
  <c r="M38" i="3"/>
  <c r="H31" i="3"/>
  <c r="O3" i="12"/>
  <c r="O3" i="13"/>
  <c r="O3" i="8"/>
  <c r="N3" i="10"/>
  <c r="N3" i="11"/>
  <c r="N3" i="7"/>
  <c r="N3" i="5"/>
  <c r="O3" i="5" s="1"/>
  <c r="N3" i="4"/>
  <c r="O3" i="4" s="1"/>
  <c r="C47" i="3"/>
  <c r="C48" i="3" s="1"/>
  <c r="C49" i="3" s="1"/>
  <c r="AO3" i="4"/>
  <c r="AL3" i="4"/>
  <c r="AI3" i="4"/>
  <c r="AF3" i="4"/>
  <c r="AG3" i="4" s="1"/>
  <c r="AC3" i="4"/>
  <c r="AD3" i="4" s="1"/>
  <c r="Z3" i="4"/>
  <c r="AA3" i="4" s="1"/>
  <c r="W3" i="4"/>
  <c r="X3" i="4" s="1"/>
  <c r="T3" i="4"/>
  <c r="Q3" i="4"/>
  <c r="R3" i="4" s="1"/>
  <c r="K3" i="4"/>
  <c r="L3" i="4" s="1"/>
  <c r="H3" i="4"/>
  <c r="E3" i="4" s="1"/>
  <c r="AO3" i="5"/>
  <c r="AP3" i="5" s="1"/>
  <c r="AL3" i="5"/>
  <c r="AM3" i="5" s="1"/>
  <c r="AI3" i="5"/>
  <c r="AJ3" i="5" s="1"/>
  <c r="AF3" i="5"/>
  <c r="AC3" i="5"/>
  <c r="AD3" i="5" s="1"/>
  <c r="Z3" i="5"/>
  <c r="AA3" i="5" s="1"/>
  <c r="W3" i="5"/>
  <c r="X3" i="5" s="1"/>
  <c r="T3" i="5"/>
  <c r="U3" i="5" s="1"/>
  <c r="Q3" i="5"/>
  <c r="R3" i="5" s="1"/>
  <c r="K3" i="5"/>
  <c r="H3" i="5"/>
  <c r="E3" i="5" s="1"/>
  <c r="AO3" i="7"/>
  <c r="AP3" i="7" s="1"/>
  <c r="AL3" i="7"/>
  <c r="AI3" i="7"/>
  <c r="AF3" i="7"/>
  <c r="AC3" i="7"/>
  <c r="Z3" i="7"/>
  <c r="W3" i="7"/>
  <c r="T3" i="7"/>
  <c r="U3" i="7" s="1"/>
  <c r="Q3" i="7"/>
  <c r="R3" i="7" s="1"/>
  <c r="K3" i="7"/>
  <c r="H3" i="7"/>
  <c r="E3" i="7" s="1"/>
  <c r="AO3" i="11"/>
  <c r="AP3" i="11" s="1"/>
  <c r="AL3" i="11"/>
  <c r="AM3" i="11" s="1"/>
  <c r="AI3" i="11"/>
  <c r="AJ3" i="11" s="1"/>
  <c r="AF3" i="11"/>
  <c r="AG3" i="11" s="1"/>
  <c r="AC3" i="11"/>
  <c r="AD3" i="11" s="1"/>
  <c r="Z3" i="11"/>
  <c r="AA3" i="11" s="1"/>
  <c r="W3" i="11"/>
  <c r="T3" i="11"/>
  <c r="Q3" i="11"/>
  <c r="K3" i="11"/>
  <c r="H3" i="11"/>
  <c r="E3" i="11" s="1"/>
  <c r="AO3" i="10"/>
  <c r="AL3" i="10"/>
  <c r="AI3" i="10"/>
  <c r="AF3" i="10"/>
  <c r="AC3" i="10"/>
  <c r="Z3" i="10"/>
  <c r="AA3" i="10" s="1"/>
  <c r="W3" i="10"/>
  <c r="T3" i="10"/>
  <c r="U3" i="10" s="1"/>
  <c r="Q3" i="10"/>
  <c r="R3" i="10" s="1"/>
  <c r="K3" i="10"/>
  <c r="L3" i="10" s="1"/>
  <c r="H3" i="10"/>
  <c r="E3" i="10" s="1"/>
  <c r="AM3" i="9"/>
  <c r="AJ3" i="9"/>
  <c r="AD3" i="9"/>
  <c r="AA3" i="9"/>
  <c r="X3" i="9"/>
  <c r="U3" i="9"/>
  <c r="R3" i="9"/>
  <c r="L3" i="9"/>
  <c r="I3" i="9"/>
  <c r="AN48" i="13"/>
  <c r="AK48" i="13"/>
  <c r="AH48" i="13"/>
  <c r="AE48" i="13"/>
  <c r="AB48" i="13"/>
  <c r="Y48" i="13"/>
  <c r="V48" i="13"/>
  <c r="S48" i="13"/>
  <c r="P48" i="13"/>
  <c r="M48" i="13"/>
  <c r="J48" i="13"/>
  <c r="G48" i="13"/>
  <c r="AP3" i="8"/>
  <c r="AG3" i="8"/>
  <c r="AD3" i="8"/>
  <c r="AA3" i="8"/>
  <c r="R3" i="8"/>
  <c r="AM3" i="13"/>
  <c r="AG3" i="13"/>
  <c r="L3" i="13"/>
  <c r="AN49" i="12"/>
  <c r="AK49" i="12"/>
  <c r="AH49" i="12"/>
  <c r="AE49" i="12"/>
  <c r="AB49" i="12"/>
  <c r="Y49" i="12"/>
  <c r="V49" i="12"/>
  <c r="S49" i="12"/>
  <c r="P49" i="12"/>
  <c r="M49" i="12"/>
  <c r="J49" i="12"/>
  <c r="G49" i="12"/>
  <c r="AN48" i="12"/>
  <c r="AK48" i="12"/>
  <c r="AH48" i="12"/>
  <c r="AE48" i="12"/>
  <c r="AB48" i="12"/>
  <c r="Y48" i="12"/>
  <c r="V48" i="12"/>
  <c r="S48" i="12"/>
  <c r="P48" i="12"/>
  <c r="M48" i="12"/>
  <c r="J48" i="12"/>
  <c r="G48" i="12"/>
  <c r="H27" i="3"/>
  <c r="AJ3" i="12"/>
  <c r="AN49" i="11"/>
  <c r="AK49" i="11"/>
  <c r="AH49" i="11"/>
  <c r="AE49" i="11"/>
  <c r="AB49" i="11"/>
  <c r="Y49" i="11"/>
  <c r="V49" i="11"/>
  <c r="S49" i="11"/>
  <c r="P49" i="11"/>
  <c r="M49" i="11"/>
  <c r="J49" i="11"/>
  <c r="G49" i="11"/>
  <c r="AN48" i="11"/>
  <c r="AK48" i="11"/>
  <c r="AH48" i="11"/>
  <c r="AE48" i="11"/>
  <c r="AB48" i="11"/>
  <c r="Y48" i="11"/>
  <c r="V48" i="11"/>
  <c r="S48" i="11"/>
  <c r="P48" i="11"/>
  <c r="M48" i="11"/>
  <c r="J48" i="11"/>
  <c r="G48" i="11"/>
  <c r="D15" i="3" s="1"/>
  <c r="H35" i="3"/>
  <c r="AN49" i="10"/>
  <c r="AK49" i="10"/>
  <c r="AH49" i="10"/>
  <c r="AE49" i="10"/>
  <c r="AB49" i="10"/>
  <c r="Y49" i="10"/>
  <c r="V49" i="10"/>
  <c r="S49" i="10"/>
  <c r="P49" i="10"/>
  <c r="M49" i="10"/>
  <c r="J49" i="10"/>
  <c r="G49" i="10"/>
  <c r="AN48" i="10"/>
  <c r="AK48" i="10"/>
  <c r="AH48" i="10"/>
  <c r="AE48" i="10"/>
  <c r="AB48" i="10"/>
  <c r="Y48" i="10"/>
  <c r="V48" i="10"/>
  <c r="S48" i="10"/>
  <c r="P48" i="10"/>
  <c r="M48" i="10"/>
  <c r="J48" i="10"/>
  <c r="G48" i="10"/>
  <c r="D14" i="3" s="1"/>
  <c r="H34" i="3"/>
  <c r="AN49" i="9"/>
  <c r="AK49" i="9"/>
  <c r="AH49" i="9"/>
  <c r="AE49" i="9"/>
  <c r="AB49" i="9"/>
  <c r="Y49" i="9"/>
  <c r="V49" i="9"/>
  <c r="S49" i="9"/>
  <c r="P49" i="9"/>
  <c r="M49" i="9"/>
  <c r="J49" i="9"/>
  <c r="G49" i="9"/>
  <c r="AN48" i="9"/>
  <c r="AK48" i="9"/>
  <c r="AH48" i="9"/>
  <c r="AE48" i="9"/>
  <c r="D13" i="3" s="1"/>
  <c r="AB48" i="9"/>
  <c r="Y48" i="9"/>
  <c r="V48" i="9"/>
  <c r="S48" i="9"/>
  <c r="P48" i="9"/>
  <c r="M48" i="9"/>
  <c r="J48" i="9"/>
  <c r="G48" i="9"/>
  <c r="H33" i="3"/>
  <c r="AN49" i="8"/>
  <c r="AK49" i="8"/>
  <c r="AH49" i="8"/>
  <c r="AE49" i="8"/>
  <c r="AB49" i="8"/>
  <c r="Y49" i="8"/>
  <c r="V49" i="8"/>
  <c r="S49" i="8"/>
  <c r="P49" i="8"/>
  <c r="M49" i="8"/>
  <c r="J49" i="8"/>
  <c r="G49" i="8"/>
  <c r="H29" i="3"/>
  <c r="AN49" i="7"/>
  <c r="AK49" i="7"/>
  <c r="AH49" i="7"/>
  <c r="AE49" i="7"/>
  <c r="AB49" i="7"/>
  <c r="Y49" i="7"/>
  <c r="V49" i="7"/>
  <c r="S49" i="7"/>
  <c r="P49" i="7"/>
  <c r="M49" i="7"/>
  <c r="J49" i="7"/>
  <c r="G49" i="7"/>
  <c r="AN48" i="7"/>
  <c r="AK48" i="7"/>
  <c r="AH48" i="7"/>
  <c r="AE48" i="7"/>
  <c r="AB48" i="7"/>
  <c r="Y48" i="7"/>
  <c r="V48" i="7"/>
  <c r="S48" i="7"/>
  <c r="P48" i="7"/>
  <c r="M48" i="7"/>
  <c r="J48" i="7"/>
  <c r="G48" i="7"/>
  <c r="D17" i="3" s="1"/>
  <c r="H37" i="3"/>
  <c r="AN49" i="6"/>
  <c r="AK49" i="6"/>
  <c r="AH49" i="6"/>
  <c r="AE49" i="6"/>
  <c r="AB49" i="6"/>
  <c r="Y49" i="6"/>
  <c r="V49" i="6"/>
  <c r="S49" i="6"/>
  <c r="P49" i="6"/>
  <c r="M49" i="6"/>
  <c r="J49" i="6"/>
  <c r="G49" i="6"/>
  <c r="AN48" i="6"/>
  <c r="AK48" i="6"/>
  <c r="AH48" i="6"/>
  <c r="AE48" i="6"/>
  <c r="AB48" i="6"/>
  <c r="Y48" i="6"/>
  <c r="V48" i="6"/>
  <c r="S48" i="6"/>
  <c r="P48" i="6"/>
  <c r="M48" i="6"/>
  <c r="J48" i="6"/>
  <c r="G48" i="6"/>
  <c r="D16" i="3" s="1"/>
  <c r="H36" i="3"/>
  <c r="AN49" i="4"/>
  <c r="AK49" i="4"/>
  <c r="AH49" i="4"/>
  <c r="AE49" i="4"/>
  <c r="AB49" i="4"/>
  <c r="Y49" i="4"/>
  <c r="V49" i="4"/>
  <c r="S49" i="4"/>
  <c r="P49" i="4"/>
  <c r="M49" i="4"/>
  <c r="J49" i="4"/>
  <c r="AB48" i="4"/>
  <c r="AN48" i="4"/>
  <c r="AK48" i="4"/>
  <c r="AH48" i="4"/>
  <c r="AE48" i="4"/>
  <c r="Y48" i="4"/>
  <c r="D18" i="3" s="1"/>
  <c r="V48" i="4"/>
  <c r="S48" i="4"/>
  <c r="P48" i="4"/>
  <c r="M48" i="4"/>
  <c r="J48" i="4"/>
  <c r="G49" i="4"/>
  <c r="G48" i="4"/>
  <c r="EI49" i="2"/>
  <c r="EH49" i="2"/>
  <c r="EG49" i="2"/>
  <c r="EF49" i="2"/>
  <c r="EE49" i="2"/>
  <c r="ED49" i="2"/>
  <c r="EC49" i="2"/>
  <c r="EB49" i="2"/>
  <c r="EA49" i="2"/>
  <c r="DZ49" i="2"/>
  <c r="DY49" i="2"/>
  <c r="DX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H49" i="2"/>
  <c r="O49" i="2"/>
  <c r="N49" i="2"/>
  <c r="M49" i="2"/>
  <c r="L49" i="2"/>
  <c r="K49" i="2"/>
  <c r="J49" i="2"/>
  <c r="I49" i="2"/>
  <c r="H49" i="2"/>
  <c r="G49" i="2"/>
  <c r="F49" i="2"/>
  <c r="E49" i="2"/>
  <c r="D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E49" i="2"/>
  <c r="AD49" i="2"/>
  <c r="AC49" i="2"/>
  <c r="AB49" i="2"/>
  <c r="AA49" i="2"/>
  <c r="Z49" i="2"/>
  <c r="Y49" i="2"/>
  <c r="X49" i="2"/>
  <c r="W49" i="2"/>
  <c r="V49" i="2"/>
  <c r="U49" i="2"/>
  <c r="T49" i="2"/>
  <c r="R49" i="2"/>
  <c r="Q49" i="2"/>
  <c r="EI48" i="2"/>
  <c r="EH48" i="2"/>
  <c r="EG48" i="2"/>
  <c r="EF48" i="2"/>
  <c r="EE48" i="2"/>
  <c r="ED48" i="2"/>
  <c r="EC48" i="2"/>
  <c r="EB48" i="2"/>
  <c r="EA48" i="2"/>
  <c r="DZ48" i="2"/>
  <c r="DY48" i="2"/>
  <c r="DX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H48" i="2"/>
  <c r="O48" i="2"/>
  <c r="N48" i="2"/>
  <c r="M48" i="2"/>
  <c r="L48" i="2"/>
  <c r="K48" i="2"/>
  <c r="J48" i="2"/>
  <c r="I48" i="2"/>
  <c r="H48" i="2"/>
  <c r="G48" i="2"/>
  <c r="F48" i="2"/>
  <c r="E48" i="2"/>
  <c r="D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E48" i="2"/>
  <c r="AD48" i="2"/>
  <c r="AC48" i="2"/>
  <c r="AB48" i="2"/>
  <c r="AA48" i="2"/>
  <c r="Z48" i="2"/>
  <c r="Y48" i="2"/>
  <c r="X48" i="2"/>
  <c r="W48" i="2"/>
  <c r="V48" i="2"/>
  <c r="U48" i="2"/>
  <c r="T48" i="2"/>
  <c r="R48" i="2"/>
  <c r="Q48" i="2"/>
  <c r="L37" i="3"/>
  <c r="L36" i="3"/>
  <c r="L35" i="3"/>
  <c r="L33" i="3"/>
  <c r="L27" i="3"/>
  <c r="BV3" i="2"/>
  <c r="BI3" i="2"/>
  <c r="P3" i="2"/>
  <c r="BG3" i="2"/>
  <c r="AT3" i="2"/>
  <c r="AF3" i="2"/>
  <c r="EI49" i="1"/>
  <c r="EH49" i="1"/>
  <c r="EG49" i="1"/>
  <c r="EF49" i="1"/>
  <c r="EE49" i="1"/>
  <c r="ED49" i="1"/>
  <c r="EC49" i="1"/>
  <c r="EB49" i="1"/>
  <c r="EA49" i="1"/>
  <c r="DZ49" i="1"/>
  <c r="DY49" i="1"/>
  <c r="DX49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BY49" i="1"/>
  <c r="BY48" i="1"/>
  <c r="CJ49" i="1"/>
  <c r="CI49" i="1"/>
  <c r="CH49" i="1"/>
  <c r="CG49" i="1"/>
  <c r="CF49" i="1"/>
  <c r="CE49" i="1"/>
  <c r="CD49" i="1"/>
  <c r="CC49" i="1"/>
  <c r="CB49" i="1"/>
  <c r="CA49" i="1"/>
  <c r="BZ49" i="1"/>
  <c r="CJ48" i="1"/>
  <c r="CI48" i="1"/>
  <c r="CH48" i="1"/>
  <c r="CG48" i="1"/>
  <c r="CF48" i="1"/>
  <c r="CE48" i="1"/>
  <c r="CD48" i="1"/>
  <c r="CC48" i="1"/>
  <c r="CB48" i="1"/>
  <c r="CA48" i="1"/>
  <c r="BZ48" i="1"/>
  <c r="BH49" i="1"/>
  <c r="BH48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O49" i="1"/>
  <c r="N49" i="1"/>
  <c r="M49" i="1"/>
  <c r="L49" i="1"/>
  <c r="K49" i="1"/>
  <c r="J49" i="1"/>
  <c r="I49" i="1"/>
  <c r="H49" i="1"/>
  <c r="G49" i="1"/>
  <c r="F49" i="1"/>
  <c r="E49" i="1"/>
  <c r="D49" i="1"/>
  <c r="O48" i="1"/>
  <c r="N48" i="1"/>
  <c r="M48" i="1"/>
  <c r="L48" i="1"/>
  <c r="K48" i="1"/>
  <c r="J48" i="1"/>
  <c r="I48" i="1"/>
  <c r="H48" i="1"/>
  <c r="G48" i="1"/>
  <c r="F48" i="1"/>
  <c r="E48" i="1"/>
  <c r="D48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T48" i="1"/>
  <c r="R48" i="1"/>
  <c r="AE49" i="1"/>
  <c r="AD49" i="1"/>
  <c r="AC49" i="1"/>
  <c r="AB49" i="1"/>
  <c r="AA49" i="1"/>
  <c r="Z49" i="1"/>
  <c r="Y49" i="1"/>
  <c r="X49" i="1"/>
  <c r="W49" i="1"/>
  <c r="V49" i="1"/>
  <c r="U49" i="1"/>
  <c r="AE48" i="1"/>
  <c r="AD48" i="1"/>
  <c r="AC48" i="1"/>
  <c r="AB48" i="1"/>
  <c r="AA48" i="1"/>
  <c r="Z48" i="1"/>
  <c r="Y48" i="1"/>
  <c r="X48" i="1"/>
  <c r="W48" i="1"/>
  <c r="V48" i="1"/>
  <c r="U48" i="1"/>
  <c r="T49" i="1"/>
  <c r="R49" i="1"/>
  <c r="Q49" i="1"/>
  <c r="Q48" i="1"/>
  <c r="D49" i="6" l="1"/>
  <c r="D48" i="6"/>
  <c r="F48" i="6" s="1"/>
  <c r="D8" i="3"/>
  <c r="D9" i="3"/>
  <c r="D11" i="3"/>
  <c r="D5" i="3"/>
  <c r="D6" i="3"/>
  <c r="I3" i="10"/>
  <c r="I3" i="7"/>
  <c r="C50" i="3"/>
  <c r="C51" i="3" s="1"/>
  <c r="C52" i="3" s="1"/>
  <c r="C43" i="3"/>
  <c r="D48" i="10"/>
  <c r="H14" i="3" s="1"/>
  <c r="D49" i="8"/>
  <c r="H9" i="3" s="1"/>
  <c r="H5" i="3"/>
  <c r="BW3" i="2"/>
  <c r="BX3" i="2"/>
  <c r="BG48" i="2"/>
  <c r="L8" i="3" s="1"/>
  <c r="CK49" i="2"/>
  <c r="S48" i="2"/>
  <c r="BV48" i="2"/>
  <c r="L14" i="3" s="1"/>
  <c r="AF49" i="2"/>
  <c r="L6" i="3" s="1"/>
  <c r="L34" i="3"/>
  <c r="P49" i="2"/>
  <c r="L31" i="3"/>
  <c r="BV49" i="2"/>
  <c r="BG49" i="2"/>
  <c r="L9" i="3" s="1"/>
  <c r="EJ49" i="2"/>
  <c r="BI48" i="2"/>
  <c r="AF48" i="2"/>
  <c r="L5" i="3" s="1"/>
  <c r="CX49" i="2"/>
  <c r="DK49" i="2"/>
  <c r="M37" i="3"/>
  <c r="N37" i="3" s="1"/>
  <c r="M31" i="3"/>
  <c r="M36" i="3"/>
  <c r="N36" i="3" s="1"/>
  <c r="M35" i="3"/>
  <c r="N35" i="3" s="1"/>
  <c r="N40" i="3"/>
  <c r="D37" i="3"/>
  <c r="D35" i="3"/>
  <c r="M34" i="3"/>
  <c r="M29" i="3"/>
  <c r="N29" i="3" s="1"/>
  <c r="M33" i="3"/>
  <c r="N33" i="3" s="1"/>
  <c r="BI48" i="1"/>
  <c r="Z48" i="13"/>
  <c r="W48" i="13"/>
  <c r="X48" i="13" s="1"/>
  <c r="D34" i="3"/>
  <c r="N27" i="3"/>
  <c r="AI48" i="13"/>
  <c r="AJ48" i="13" s="1"/>
  <c r="AC49" i="10"/>
  <c r="AD49" i="10" s="1"/>
  <c r="D31" i="3"/>
  <c r="D33" i="3"/>
  <c r="D36" i="3"/>
  <c r="D38" i="3"/>
  <c r="H11" i="3"/>
  <c r="T48" i="13"/>
  <c r="U48" i="13" s="1"/>
  <c r="O3" i="10"/>
  <c r="N38" i="3"/>
  <c r="O3" i="9"/>
  <c r="O3" i="11"/>
  <c r="D49" i="12"/>
  <c r="H6" i="3" s="1"/>
  <c r="H48" i="13"/>
  <c r="I48" i="13" s="1"/>
  <c r="AO48" i="13"/>
  <c r="AP48" i="13" s="1"/>
  <c r="Q48" i="13"/>
  <c r="R48" i="13" s="1"/>
  <c r="D49" i="11"/>
  <c r="D49" i="7"/>
  <c r="AC48" i="13"/>
  <c r="AD48" i="13" s="1"/>
  <c r="K49" i="10"/>
  <c r="L49" i="10" s="1"/>
  <c r="T49" i="12"/>
  <c r="U49" i="12" s="1"/>
  <c r="K48" i="7"/>
  <c r="L48" i="7" s="1"/>
  <c r="W49" i="12"/>
  <c r="X49" i="12" s="1"/>
  <c r="N49" i="7"/>
  <c r="O49" i="7" s="1"/>
  <c r="AF49" i="8"/>
  <c r="AG49" i="8" s="1"/>
  <c r="Q49" i="11"/>
  <c r="R49" i="11" s="1"/>
  <c r="K48" i="13"/>
  <c r="L48" i="13" s="1"/>
  <c r="R3" i="11"/>
  <c r="N48" i="13"/>
  <c r="AF48" i="13"/>
  <c r="AG48" i="13" s="1"/>
  <c r="W49" i="11"/>
  <c r="X49" i="11" s="1"/>
  <c r="AC49" i="6"/>
  <c r="AD49" i="6" s="1"/>
  <c r="AL49" i="12"/>
  <c r="AM49" i="12" s="1"/>
  <c r="AM3" i="12"/>
  <c r="AL48" i="13"/>
  <c r="AM48" i="13" s="1"/>
  <c r="AL49" i="11"/>
  <c r="AM49" i="11" s="1"/>
  <c r="AO49" i="10"/>
  <c r="AP49" i="10" s="1"/>
  <c r="H8" i="3"/>
  <c r="DK49" i="1"/>
  <c r="L3" i="5"/>
  <c r="AF49" i="12"/>
  <c r="AG49" i="12" s="1"/>
  <c r="AG3" i="12"/>
  <c r="AI49" i="6"/>
  <c r="AJ49" i="6" s="1"/>
  <c r="K49" i="12"/>
  <c r="L49" i="12" s="1"/>
  <c r="F3" i="12"/>
  <c r="L3" i="12"/>
  <c r="AL48" i="9"/>
  <c r="AM48" i="9" s="1"/>
  <c r="AP3" i="13"/>
  <c r="AL48" i="10"/>
  <c r="AM48" i="10" s="1"/>
  <c r="AM3" i="10"/>
  <c r="K49" i="11"/>
  <c r="L49" i="11" s="1"/>
  <c r="L3" i="11"/>
  <c r="AJ3" i="8"/>
  <c r="AF48" i="4"/>
  <c r="AG48" i="4" s="1"/>
  <c r="Q49" i="4"/>
  <c r="R49" i="4" s="1"/>
  <c r="AL49" i="4"/>
  <c r="AM49" i="4" s="1"/>
  <c r="AI49" i="7"/>
  <c r="AJ49" i="7" s="1"/>
  <c r="AJ3" i="7"/>
  <c r="U3" i="13"/>
  <c r="N48" i="6"/>
  <c r="AC48" i="6"/>
  <c r="AD48" i="6" s="1"/>
  <c r="Q49" i="7"/>
  <c r="R49" i="7" s="1"/>
  <c r="Q49" i="8"/>
  <c r="R49" i="8" s="1"/>
  <c r="T49" i="10"/>
  <c r="U49" i="10" s="1"/>
  <c r="AF48" i="11"/>
  <c r="AG48" i="11" s="1"/>
  <c r="Q49" i="6"/>
  <c r="R49" i="6" s="1"/>
  <c r="AL48" i="6"/>
  <c r="AM48" i="6" s="1"/>
  <c r="AL49" i="7"/>
  <c r="AM49" i="7" s="1"/>
  <c r="N49" i="11"/>
  <c r="O49" i="11" s="1"/>
  <c r="N48" i="12"/>
  <c r="AI49" i="12"/>
  <c r="AJ49" i="12" s="1"/>
  <c r="T48" i="7"/>
  <c r="U48" i="7" s="1"/>
  <c r="AM3" i="7"/>
  <c r="T49" i="8"/>
  <c r="U49" i="8" s="1"/>
  <c r="AF48" i="9"/>
  <c r="AG48" i="9" s="1"/>
  <c r="W49" i="10"/>
  <c r="X49" i="10" s="1"/>
  <c r="AP3" i="10"/>
  <c r="X3" i="13"/>
  <c r="T49" i="6"/>
  <c r="U49" i="6" s="1"/>
  <c r="AO49" i="6"/>
  <c r="AP49" i="6" s="1"/>
  <c r="AO49" i="7"/>
  <c r="AP49" i="7" s="1"/>
  <c r="AG3" i="9"/>
  <c r="X3" i="10"/>
  <c r="Q49" i="12"/>
  <c r="R49" i="12" s="1"/>
  <c r="AL48" i="12"/>
  <c r="AM48" i="12" s="1"/>
  <c r="AL49" i="6"/>
  <c r="AM49" i="6" s="1"/>
  <c r="W49" i="7"/>
  <c r="X49" i="7" s="1"/>
  <c r="X3" i="8"/>
  <c r="R3" i="12"/>
  <c r="Q48" i="12"/>
  <c r="R48" i="12" s="1"/>
  <c r="AA3" i="13"/>
  <c r="W49" i="6"/>
  <c r="X49" i="6" s="1"/>
  <c r="X3" i="7"/>
  <c r="T48" i="11"/>
  <c r="U48" i="11" s="1"/>
  <c r="AO48" i="12"/>
  <c r="AP48" i="12" s="1"/>
  <c r="Z48" i="6"/>
  <c r="Z49" i="7"/>
  <c r="AA49" i="7" s="1"/>
  <c r="U3" i="11"/>
  <c r="AO49" i="11"/>
  <c r="AP49" i="11" s="1"/>
  <c r="U3" i="12"/>
  <c r="I3" i="13"/>
  <c r="AD3" i="13"/>
  <c r="H48" i="7"/>
  <c r="I48" i="7" s="1"/>
  <c r="AA3" i="7"/>
  <c r="I3" i="8"/>
  <c r="AC49" i="8"/>
  <c r="AD49" i="8" s="1"/>
  <c r="AD3" i="10"/>
  <c r="AC49" i="7"/>
  <c r="AD49" i="7" s="1"/>
  <c r="T49" i="7"/>
  <c r="U49" i="7" s="1"/>
  <c r="AO49" i="9"/>
  <c r="AP49" i="9" s="1"/>
  <c r="AF49" i="10"/>
  <c r="AG49" i="10" s="1"/>
  <c r="X3" i="11"/>
  <c r="Z48" i="12"/>
  <c r="H49" i="6"/>
  <c r="I49" i="6" s="1"/>
  <c r="K49" i="7"/>
  <c r="L49" i="7" s="1"/>
  <c r="AD3" i="7"/>
  <c r="L3" i="8"/>
  <c r="AP3" i="9"/>
  <c r="N48" i="10"/>
  <c r="AG3" i="10"/>
  <c r="AC49" i="12"/>
  <c r="AD49" i="12" s="1"/>
  <c r="AC48" i="12"/>
  <c r="AD48" i="12" s="1"/>
  <c r="Z49" i="12"/>
  <c r="K49" i="6"/>
  <c r="L49" i="6" s="1"/>
  <c r="L3" i="7"/>
  <c r="AF48" i="7"/>
  <c r="AG48" i="7" s="1"/>
  <c r="AI49" i="10"/>
  <c r="AJ49" i="10" s="1"/>
  <c r="AC49" i="11"/>
  <c r="AD49" i="11" s="1"/>
  <c r="H49" i="12"/>
  <c r="I49" i="12" s="1"/>
  <c r="AD3" i="12"/>
  <c r="AP3" i="12"/>
  <c r="I3" i="12"/>
  <c r="AA3" i="12"/>
  <c r="H48" i="12"/>
  <c r="T48" i="12"/>
  <c r="U48" i="12" s="1"/>
  <c r="AF48" i="12"/>
  <c r="AG48" i="12" s="1"/>
  <c r="AO49" i="12"/>
  <c r="AP49" i="12" s="1"/>
  <c r="R3" i="13"/>
  <c r="AJ3" i="13"/>
  <c r="X3" i="12"/>
  <c r="K48" i="12"/>
  <c r="L48" i="12" s="1"/>
  <c r="W48" i="12"/>
  <c r="X48" i="12" s="1"/>
  <c r="AI48" i="12"/>
  <c r="AJ48" i="12" s="1"/>
  <c r="N49" i="12"/>
  <c r="AM3" i="8"/>
  <c r="AI49" i="8"/>
  <c r="AJ49" i="8" s="1"/>
  <c r="K49" i="9"/>
  <c r="L49" i="9" s="1"/>
  <c r="H48" i="11"/>
  <c r="I48" i="11" s="1"/>
  <c r="K48" i="9"/>
  <c r="L48" i="9" s="1"/>
  <c r="W49" i="8"/>
  <c r="X49" i="8" s="1"/>
  <c r="AL49" i="8"/>
  <c r="AM49" i="8" s="1"/>
  <c r="Q49" i="9"/>
  <c r="R49" i="9" s="1"/>
  <c r="AI49" i="9"/>
  <c r="AJ49" i="9" s="1"/>
  <c r="K49" i="8"/>
  <c r="L49" i="8" s="1"/>
  <c r="Z49" i="8"/>
  <c r="AI49" i="11"/>
  <c r="AJ49" i="11" s="1"/>
  <c r="AO49" i="8"/>
  <c r="AP49" i="8" s="1"/>
  <c r="T48" i="9"/>
  <c r="U48" i="9" s="1"/>
  <c r="AL49" i="9"/>
  <c r="AM49" i="9" s="1"/>
  <c r="AC49" i="9"/>
  <c r="AD49" i="9" s="1"/>
  <c r="N49" i="9"/>
  <c r="O49" i="9" s="1"/>
  <c r="N49" i="8"/>
  <c r="D49" i="9"/>
  <c r="D48" i="9"/>
  <c r="H13" i="3" s="1"/>
  <c r="D49" i="10"/>
  <c r="Z48" i="10"/>
  <c r="H49" i="8"/>
  <c r="I49" i="8" s="1"/>
  <c r="W49" i="9"/>
  <c r="X49" i="9" s="1"/>
  <c r="H49" i="10"/>
  <c r="I49" i="10" s="1"/>
  <c r="U3" i="8"/>
  <c r="H48" i="9"/>
  <c r="H49" i="9"/>
  <c r="I49" i="9" s="1"/>
  <c r="Z49" i="9"/>
  <c r="AA49" i="9" s="1"/>
  <c r="Z48" i="9"/>
  <c r="W48" i="9"/>
  <c r="X48" i="9" s="1"/>
  <c r="AI48" i="9"/>
  <c r="AJ48" i="9" s="1"/>
  <c r="T49" i="9"/>
  <c r="U49" i="9" s="1"/>
  <c r="AF49" i="9"/>
  <c r="AG49" i="9" s="1"/>
  <c r="Q48" i="10"/>
  <c r="R48" i="10" s="1"/>
  <c r="AC48" i="10"/>
  <c r="AD48" i="10" s="1"/>
  <c r="AO48" i="10"/>
  <c r="AP48" i="10" s="1"/>
  <c r="N49" i="10"/>
  <c r="O49" i="10" s="1"/>
  <c r="Z49" i="10"/>
  <c r="AA49" i="10" s="1"/>
  <c r="AL49" i="10"/>
  <c r="AM49" i="10" s="1"/>
  <c r="K48" i="11"/>
  <c r="L48" i="11" s="1"/>
  <c r="W48" i="11"/>
  <c r="X48" i="11" s="1"/>
  <c r="AI48" i="11"/>
  <c r="AJ48" i="11" s="1"/>
  <c r="H49" i="11"/>
  <c r="I49" i="11" s="1"/>
  <c r="T49" i="11"/>
  <c r="U49" i="11" s="1"/>
  <c r="AF49" i="11"/>
  <c r="AG49" i="11" s="1"/>
  <c r="N48" i="9"/>
  <c r="H48" i="10"/>
  <c r="T48" i="10"/>
  <c r="U48" i="10" s="1"/>
  <c r="AF48" i="10"/>
  <c r="AG48" i="10" s="1"/>
  <c r="Q49" i="10"/>
  <c r="R49" i="10" s="1"/>
  <c r="N48" i="11"/>
  <c r="Z48" i="11"/>
  <c r="AL48" i="11"/>
  <c r="AM48" i="11" s="1"/>
  <c r="D48" i="11"/>
  <c r="H15" i="3" s="1"/>
  <c r="Q48" i="9"/>
  <c r="R48" i="9" s="1"/>
  <c r="AC48" i="9"/>
  <c r="AD48" i="9" s="1"/>
  <c r="AO48" i="9"/>
  <c r="AP48" i="9" s="1"/>
  <c r="K48" i="10"/>
  <c r="L48" i="10" s="1"/>
  <c r="W48" i="10"/>
  <c r="X48" i="10" s="1"/>
  <c r="AI48" i="10"/>
  <c r="AJ48" i="10" s="1"/>
  <c r="Q48" i="11"/>
  <c r="R48" i="11" s="1"/>
  <c r="AC48" i="11"/>
  <c r="AD48" i="11" s="1"/>
  <c r="AO48" i="11"/>
  <c r="AP48" i="11" s="1"/>
  <c r="Z49" i="11"/>
  <c r="AA49" i="11" s="1"/>
  <c r="AJ3" i="10"/>
  <c r="I3" i="11"/>
  <c r="D48" i="7"/>
  <c r="H17" i="3" s="1"/>
  <c r="Z49" i="6"/>
  <c r="AA49" i="6" s="1"/>
  <c r="W48" i="7"/>
  <c r="X48" i="7" s="1"/>
  <c r="AI48" i="7"/>
  <c r="AJ48" i="7" s="1"/>
  <c r="AF49" i="7"/>
  <c r="AG49" i="7" s="1"/>
  <c r="O3" i="7"/>
  <c r="AG3" i="7"/>
  <c r="N49" i="6"/>
  <c r="O49" i="6" s="1"/>
  <c r="H49" i="7"/>
  <c r="I49" i="7" s="1"/>
  <c r="Q48" i="6"/>
  <c r="R48" i="6" s="1"/>
  <c r="AO48" i="6"/>
  <c r="AP48" i="6" s="1"/>
  <c r="H48" i="6"/>
  <c r="I48" i="6" s="1"/>
  <c r="T48" i="6"/>
  <c r="U48" i="6" s="1"/>
  <c r="AF48" i="6"/>
  <c r="AG48" i="6" s="1"/>
  <c r="N48" i="7"/>
  <c r="Z48" i="7"/>
  <c r="AL48" i="7"/>
  <c r="AM48" i="7" s="1"/>
  <c r="K48" i="6"/>
  <c r="L48" i="6" s="1"/>
  <c r="W48" i="6"/>
  <c r="X48" i="6" s="1"/>
  <c r="AI48" i="6"/>
  <c r="AJ48" i="6" s="1"/>
  <c r="AF49" i="6"/>
  <c r="AG49" i="6" s="1"/>
  <c r="Q48" i="7"/>
  <c r="R48" i="7" s="1"/>
  <c r="AC48" i="7"/>
  <c r="AD48" i="7" s="1"/>
  <c r="AO48" i="7"/>
  <c r="AP48" i="7" s="1"/>
  <c r="AG3" i="5"/>
  <c r="I3" i="5"/>
  <c r="Q48" i="4"/>
  <c r="R48" i="4" s="1"/>
  <c r="T48" i="4"/>
  <c r="U48" i="4" s="1"/>
  <c r="W49" i="4"/>
  <c r="X49" i="4" s="1"/>
  <c r="Z48" i="4"/>
  <c r="Z49" i="4"/>
  <c r="AA49" i="4" s="1"/>
  <c r="AC48" i="4"/>
  <c r="AD48" i="4" s="1"/>
  <c r="AC49" i="4"/>
  <c r="AD49" i="4" s="1"/>
  <c r="AF49" i="4"/>
  <c r="AG49" i="4" s="1"/>
  <c r="AI48" i="4"/>
  <c r="AJ48" i="4" s="1"/>
  <c r="AL48" i="4"/>
  <c r="AM48" i="4" s="1"/>
  <c r="AO49" i="4"/>
  <c r="AP49" i="4" s="1"/>
  <c r="AP3" i="4"/>
  <c r="AO48" i="4"/>
  <c r="AP48" i="4" s="1"/>
  <c r="AM3" i="4"/>
  <c r="AI49" i="4"/>
  <c r="AJ49" i="4" s="1"/>
  <c r="AJ3" i="4"/>
  <c r="W48" i="4"/>
  <c r="X48" i="4" s="1"/>
  <c r="T49" i="4"/>
  <c r="U49" i="4" s="1"/>
  <c r="U3" i="4"/>
  <c r="K49" i="4"/>
  <c r="L49" i="4" s="1"/>
  <c r="N48" i="4"/>
  <c r="N49" i="4"/>
  <c r="O49" i="4" s="1"/>
  <c r="K48" i="4"/>
  <c r="L48" i="4" s="1"/>
  <c r="I3" i="4"/>
  <c r="H48" i="4"/>
  <c r="H49" i="4"/>
  <c r="I49" i="4" s="1"/>
  <c r="D48" i="4"/>
  <c r="D49" i="4"/>
  <c r="P48" i="2"/>
  <c r="L13" i="3" s="1"/>
  <c r="S49" i="2"/>
  <c r="AG3" i="2"/>
  <c r="CK48" i="2"/>
  <c r="L15" i="3" s="1"/>
  <c r="CX48" i="2"/>
  <c r="L16" i="3" s="1"/>
  <c r="L17" i="3"/>
  <c r="EJ48" i="2"/>
  <c r="CX49" i="1"/>
  <c r="EJ49" i="1"/>
  <c r="DK48" i="1"/>
  <c r="M17" i="3" s="1"/>
  <c r="CX48" i="1"/>
  <c r="M16" i="3" s="1"/>
  <c r="CK49" i="1"/>
  <c r="CK48" i="1"/>
  <c r="M15" i="3" s="1"/>
  <c r="AF49" i="1"/>
  <c r="M6" i="3" s="1"/>
  <c r="S48" i="1"/>
  <c r="S49" i="1"/>
  <c r="AF48" i="1"/>
  <c r="M5" i="3" s="1"/>
  <c r="BV49" i="1"/>
  <c r="BV48" i="1"/>
  <c r="M14" i="3" s="1"/>
  <c r="P49" i="1"/>
  <c r="P48" i="1"/>
  <c r="M13" i="3" s="1"/>
  <c r="BG49" i="1"/>
  <c r="M9" i="3" s="1"/>
  <c r="BG48" i="1"/>
  <c r="H16" i="3" l="1"/>
  <c r="E48" i="11"/>
  <c r="E48" i="9"/>
  <c r="E48" i="10"/>
  <c r="C53" i="3"/>
  <c r="C54" i="3" s="1"/>
  <c r="C55" i="3" s="1"/>
  <c r="E19" i="3"/>
  <c r="F19" i="3" s="1"/>
  <c r="AA48" i="7"/>
  <c r="E17" i="3"/>
  <c r="F17" i="3" s="1"/>
  <c r="E8" i="3"/>
  <c r="F8" i="3" s="1"/>
  <c r="AA48" i="11"/>
  <c r="E15" i="3"/>
  <c r="F15" i="3" s="1"/>
  <c r="AA48" i="10"/>
  <c r="E14" i="3"/>
  <c r="F14" i="3" s="1"/>
  <c r="AA49" i="8"/>
  <c r="E9" i="3"/>
  <c r="F9" i="3" s="1"/>
  <c r="AA48" i="4"/>
  <c r="E18" i="3"/>
  <c r="AA48" i="6"/>
  <c r="E16" i="3"/>
  <c r="F16" i="3" s="1"/>
  <c r="AA48" i="9"/>
  <c r="E13" i="3"/>
  <c r="F13" i="3" s="1"/>
  <c r="AA49" i="12"/>
  <c r="E6" i="3"/>
  <c r="F6" i="3" s="1"/>
  <c r="AA48" i="13"/>
  <c r="E11" i="3"/>
  <c r="F11" i="3" s="1"/>
  <c r="AA48" i="12"/>
  <c r="E5" i="3"/>
  <c r="F5" i="3" s="1"/>
  <c r="L18" i="3"/>
  <c r="L19" i="3"/>
  <c r="E48" i="7"/>
  <c r="E48" i="4"/>
  <c r="I18" i="3" s="1"/>
  <c r="H19" i="3"/>
  <c r="H18" i="3"/>
  <c r="N6" i="3"/>
  <c r="N5" i="3"/>
  <c r="E36" i="3"/>
  <c r="F36" i="3" s="1"/>
  <c r="E40" i="3"/>
  <c r="F40" i="3" s="1"/>
  <c r="E38" i="3"/>
  <c r="F38" i="3" s="1"/>
  <c r="E37" i="3"/>
  <c r="F37" i="3" s="1"/>
  <c r="E33" i="3"/>
  <c r="F33" i="3" s="1"/>
  <c r="E34" i="3"/>
  <c r="F34" i="3" s="1"/>
  <c r="E35" i="3"/>
  <c r="F35" i="3" s="1"/>
  <c r="E29" i="3"/>
  <c r="F29" i="3" s="1"/>
  <c r="E39" i="3"/>
  <c r="F39" i="3" s="1"/>
  <c r="E31" i="3"/>
  <c r="F31" i="3" s="1"/>
  <c r="E27" i="3"/>
  <c r="F27" i="3" s="1"/>
  <c r="N14" i="3"/>
  <c r="M8" i="3"/>
  <c r="N8" i="3" s="1"/>
  <c r="N9" i="3"/>
  <c r="BW49" i="2"/>
  <c r="BW48" i="2"/>
  <c r="N34" i="3"/>
  <c r="BX48" i="2"/>
  <c r="N31" i="3"/>
  <c r="N15" i="3"/>
  <c r="N16" i="3"/>
  <c r="N13" i="3"/>
  <c r="N17" i="3"/>
  <c r="I31" i="3"/>
  <c r="J31" i="3" s="1"/>
  <c r="BX48" i="1"/>
  <c r="I36" i="3"/>
  <c r="J36" i="3" s="1"/>
  <c r="I29" i="3"/>
  <c r="J29" i="3" s="1"/>
  <c r="I35" i="3"/>
  <c r="J35" i="3" s="1"/>
  <c r="BW48" i="1"/>
  <c r="BW49" i="1"/>
  <c r="AG48" i="1"/>
  <c r="F3" i="8"/>
  <c r="F3" i="4"/>
  <c r="J40" i="3"/>
  <c r="F3" i="7"/>
  <c r="I37" i="3"/>
  <c r="J37" i="3" s="1"/>
  <c r="F3" i="9"/>
  <c r="I33" i="3"/>
  <c r="J33" i="3" s="1"/>
  <c r="J27" i="3"/>
  <c r="F3" i="10"/>
  <c r="I34" i="3"/>
  <c r="J34" i="3" s="1"/>
  <c r="O48" i="13"/>
  <c r="O48" i="7"/>
  <c r="O49" i="12"/>
  <c r="O48" i="12"/>
  <c r="O48" i="6"/>
  <c r="O48" i="4"/>
  <c r="O49" i="8"/>
  <c r="O48" i="11"/>
  <c r="O48" i="10"/>
  <c r="O48" i="9"/>
  <c r="E49" i="6"/>
  <c r="F49" i="6" s="1"/>
  <c r="E49" i="8"/>
  <c r="F3" i="13"/>
  <c r="I48" i="12"/>
  <c r="I48" i="10"/>
  <c r="E49" i="10"/>
  <c r="F49" i="10" s="1"/>
  <c r="I48" i="9"/>
  <c r="E49" i="9"/>
  <c r="F49" i="9" s="1"/>
  <c r="E49" i="11"/>
  <c r="F49" i="11" s="1"/>
  <c r="F3" i="11"/>
  <c r="E49" i="7"/>
  <c r="F49" i="7" s="1"/>
  <c r="F3" i="5"/>
  <c r="E49" i="4"/>
  <c r="F49" i="4" s="1"/>
  <c r="I48" i="4"/>
  <c r="AG48" i="2"/>
  <c r="AG49" i="2"/>
  <c r="AG49" i="1"/>
  <c r="F18" i="3" l="1"/>
  <c r="N18" i="3"/>
  <c r="N19" i="3"/>
  <c r="F48" i="13"/>
  <c r="I11" i="3"/>
  <c r="J11" i="3" s="1"/>
  <c r="I5" i="3"/>
  <c r="J5" i="3" s="1"/>
  <c r="F49" i="12"/>
  <c r="I6" i="3"/>
  <c r="J6" i="3" s="1"/>
  <c r="I8" i="3"/>
  <c r="J8" i="3" s="1"/>
  <c r="F49" i="8"/>
  <c r="I9" i="3"/>
  <c r="J9" i="3" s="1"/>
  <c r="F48" i="4"/>
  <c r="I19" i="3"/>
  <c r="J19" i="3" s="1"/>
  <c r="F48" i="10"/>
  <c r="I14" i="3"/>
  <c r="J14" i="3" s="1"/>
  <c r="I16" i="3"/>
  <c r="J16" i="3" s="1"/>
  <c r="F48" i="7"/>
  <c r="I17" i="3"/>
  <c r="J17" i="3" s="1"/>
  <c r="F48" i="11"/>
  <c r="I15" i="3"/>
  <c r="J15" i="3" s="1"/>
  <c r="F48" i="9"/>
  <c r="I13" i="3"/>
  <c r="J13" i="3" s="1"/>
  <c r="J18" i="3" l="1"/>
</calcChain>
</file>

<file path=xl/sharedStrings.xml><?xml version="1.0" encoding="utf-8"?>
<sst xmlns="http://schemas.openxmlformats.org/spreadsheetml/2006/main" count="1231" uniqueCount="117">
  <si>
    <t>Project Name</t>
  </si>
  <si>
    <t>Nr. Units</t>
  </si>
  <si>
    <t>Sales Launch</t>
  </si>
  <si>
    <t>Marketing Budget</t>
  </si>
  <si>
    <t>Schematics Approval</t>
  </si>
  <si>
    <t>Tender</t>
  </si>
  <si>
    <t>Start Construction</t>
  </si>
  <si>
    <t>Construction %</t>
  </si>
  <si>
    <t>Handover</t>
  </si>
  <si>
    <t># Non-Sellable Units</t>
  </si>
  <si>
    <t># Sellable Units</t>
  </si>
  <si>
    <t>Total Sales</t>
  </si>
  <si>
    <t>Total</t>
  </si>
  <si>
    <t>Sales Goals (#Units)</t>
  </si>
  <si>
    <t>Sales Income (€/Sq. M.)</t>
  </si>
  <si>
    <t>Sales Income (€)</t>
  </si>
  <si>
    <t>Avg.</t>
  </si>
  <si>
    <t>Project Info</t>
  </si>
  <si>
    <t>Pinto Bessa</t>
  </si>
  <si>
    <t>Panorama</t>
  </si>
  <si>
    <t>Setúbal Sea View</t>
  </si>
  <si>
    <t>Red Clip</t>
  </si>
  <si>
    <t>TU (%)</t>
  </si>
  <si>
    <t>Total (TU%)</t>
  </si>
  <si>
    <t>Budget (Left)</t>
  </si>
  <si>
    <t>Budget (Total)</t>
  </si>
  <si>
    <t>Avg (Unit)</t>
  </si>
  <si>
    <t>Sales</t>
  </si>
  <si>
    <t>Units</t>
  </si>
  <si>
    <t>Units (TU)</t>
  </si>
  <si>
    <t xml:space="preserve">Income </t>
  </si>
  <si>
    <t>Income</t>
  </si>
  <si>
    <t>Income (TU)</t>
  </si>
  <si>
    <t>Key Performance Indicators</t>
  </si>
  <si>
    <t>Sales launch (units, 100%)</t>
  </si>
  <si>
    <t>Marketing (€, 100%)</t>
  </si>
  <si>
    <t>Schematics Approval (units, 100%)</t>
  </si>
  <si>
    <t>Tender (units, 100%)</t>
  </si>
  <si>
    <t>Construction - Start (units, 100%)</t>
  </si>
  <si>
    <t>Handover (units, 100%)</t>
  </si>
  <si>
    <t>Actual</t>
  </si>
  <si>
    <t>Budget</t>
  </si>
  <si>
    <t>Gap</t>
  </si>
  <si>
    <t>Forecast</t>
  </si>
  <si>
    <t>KPIs</t>
  </si>
  <si>
    <t>€ / Sq. M.</t>
  </si>
  <si>
    <t xml:space="preserve">€ / Sq. M. </t>
  </si>
  <si>
    <t>Project</t>
  </si>
  <si>
    <t>Construction -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</si>
  <si>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</si>
  <si>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</si>
  <si>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</si>
  <si>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</si>
  <si>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</si>
  <si>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</si>
  <si>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</si>
  <si>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</si>
  <si>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</si>
  <si>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</si>
  <si>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</si>
  <si>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</si>
  <si>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of Analysis</t>
  </si>
  <si>
    <t>Parkview</t>
  </si>
  <si>
    <t>Eleven</t>
  </si>
  <si>
    <t>#NSellableUnits</t>
  </si>
  <si>
    <t>#SellableUnits</t>
  </si>
  <si>
    <t xml:space="preserve">Sales Goals </t>
  </si>
  <si>
    <t>Deeds</t>
  </si>
  <si>
    <t>Saldouro - 6</t>
  </si>
  <si>
    <t>Saldouro - 8</t>
  </si>
  <si>
    <t>Saldouro - 9</t>
  </si>
  <si>
    <t>Saldouro - 10</t>
  </si>
  <si>
    <t>Saldouro - 12.2</t>
  </si>
  <si>
    <t>Saldouro - 17.2</t>
  </si>
  <si>
    <t>Verde Vale - H1</t>
  </si>
  <si>
    <t>Coimbra Celas - 4</t>
  </si>
  <si>
    <t>Coimbra Celas - 5</t>
  </si>
  <si>
    <t>Coimbra Celas - 6</t>
  </si>
  <si>
    <t>Coimbra Celas - 7</t>
  </si>
  <si>
    <t>Coimbra Celas - 8</t>
  </si>
  <si>
    <t>Coimbra Celas - 9</t>
  </si>
  <si>
    <t>Bélgica - 1</t>
  </si>
  <si>
    <t>Bélgica - 2</t>
  </si>
  <si>
    <t>Bélgica - 3</t>
  </si>
  <si>
    <t>Bélgica - 4</t>
  </si>
  <si>
    <t>Antas South - Resi</t>
  </si>
  <si>
    <t>Vila do Conde - Phase 1</t>
  </si>
  <si>
    <t>Vila do Conde - Phase 2</t>
  </si>
  <si>
    <t>Vila do Conde - Phase 3</t>
  </si>
  <si>
    <t>Verde Vale - H2</t>
  </si>
  <si>
    <t>Verde Vale - H3</t>
  </si>
  <si>
    <t>Verde Vale - H4</t>
  </si>
  <si>
    <t>Verde Vale - S1</t>
  </si>
  <si>
    <t>Antas South - S. Apts.</t>
  </si>
  <si>
    <t>Deeds (units, 100%)</t>
  </si>
  <si>
    <t>Month</t>
  </si>
  <si>
    <t>Inv. (1.2026)</t>
  </si>
  <si>
    <t>Inv. (12.2026)</t>
  </si>
  <si>
    <t>Antas North</t>
  </si>
  <si>
    <t>?</t>
  </si>
  <si>
    <t>Clip Stage A</t>
  </si>
  <si>
    <t>Clip Stage B</t>
  </si>
  <si>
    <t>TUMAIA II - A</t>
  </si>
  <si>
    <t>TUMAIA II - B</t>
  </si>
  <si>
    <t>TUMAIA II - C</t>
  </si>
  <si>
    <t>Madalena</t>
  </si>
  <si>
    <t>Setúbal Alentejo</t>
  </si>
  <si>
    <t>Inventory (01.01.2026)</t>
  </si>
  <si>
    <t>Inventory (12.2026)</t>
  </si>
  <si>
    <t>Accumulated - 1-01/2026</t>
  </si>
  <si>
    <t>2026 Forecast</t>
  </si>
  <si>
    <t>Coutinho 80</t>
  </si>
  <si>
    <t>Benfica</t>
  </si>
  <si>
    <t>Villa do Conde - Allotment</t>
  </si>
  <si>
    <t>Clip Allotment</t>
  </si>
  <si>
    <t>TUMAIA II - Allotment</t>
  </si>
  <si>
    <t>Vila do Conde - Allotment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</si>
</sst>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_ ;_ * \-#,##0.0_ ;_ * &quot;-&quot;??_ ;_ @_ "/>
    <numFmt numFmtId="165" formatCode="#,##0_ ;\-#,##0\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5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263">
    <xf numFmtId="0" fontId="0" fillId="0" borderId="0" xfId="0"/>
    <xf numFmtId="0" fontId="0" fillId="0" borderId="0" xfId="0" applyAlignment="1">
      <alignment horizontal="center" vertical="center"/>
    </xf>
    <xf numFmtId="0" fontId="2" fillId="16" borderId="39" xfId="0" applyFont="1" applyFill="1" applyBorder="1" applyAlignment="1">
      <alignment horizontal="center" vertical="center"/>
    </xf>
    <xf numFmtId="0" fontId="3" fillId="16" borderId="40" xfId="0" applyFont="1" applyFill="1" applyBorder="1" applyAlignment="1">
      <alignment horizontal="center" vertical="center"/>
    </xf>
    <xf numFmtId="0" fontId="3" fillId="16" borderId="39" xfId="0" applyFont="1" applyFill="1" applyBorder="1" applyAlignment="1">
      <alignment horizontal="center" vertical="center"/>
    </xf>
    <xf numFmtId="0" fontId="2" fillId="16" borderId="41" xfId="0" applyFont="1" applyFill="1" applyBorder="1" applyAlignment="1">
      <alignment horizontal="center" vertical="center"/>
    </xf>
    <xf numFmtId="0" fontId="3" fillId="16" borderId="42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3" fillId="16" borderId="44" xfId="0" applyFont="1" applyFill="1" applyBorder="1" applyAlignment="1">
      <alignment horizontal="center" vertical="center"/>
    </xf>
    <xf numFmtId="3" fontId="3" fillId="16" borderId="45" xfId="0" applyNumberFormat="1" applyFont="1" applyFill="1" applyBorder="1" applyAlignment="1">
      <alignment horizontal="center" vertical="center"/>
    </xf>
    <xf numFmtId="3" fontId="3" fillId="16" borderId="46" xfId="0" applyNumberFormat="1" applyFont="1" applyFill="1" applyBorder="1" applyAlignment="1">
      <alignment horizontal="center" vertical="center"/>
    </xf>
    <xf numFmtId="9" fontId="3" fillId="16" borderId="47" xfId="2" applyFont="1" applyFill="1" applyBorder="1" applyAlignment="1">
      <alignment horizontal="center" vertical="center"/>
    </xf>
    <xf numFmtId="3" fontId="3" fillId="16" borderId="9" xfId="0" applyNumberFormat="1" applyFont="1" applyFill="1" applyBorder="1" applyAlignment="1">
      <alignment horizontal="center" vertical="center"/>
    </xf>
    <xf numFmtId="9" fontId="3" fillId="16" borderId="10" xfId="2" applyFont="1" applyFill="1" applyBorder="1" applyAlignment="1">
      <alignment horizontal="center" vertical="center"/>
    </xf>
    <xf numFmtId="9" fontId="3" fillId="16" borderId="44" xfId="2" applyFont="1" applyFill="1" applyBorder="1" applyAlignment="1">
      <alignment horizontal="center" vertical="center"/>
    </xf>
    <xf numFmtId="3" fontId="3" fillId="16" borderId="48" xfId="0" applyNumberFormat="1" applyFont="1" applyFill="1" applyBorder="1" applyAlignment="1">
      <alignment horizontal="center" vertical="center"/>
    </xf>
    <xf numFmtId="3" fontId="3" fillId="16" borderId="49" xfId="0" applyNumberFormat="1" applyFont="1" applyFill="1" applyBorder="1" applyAlignment="1">
      <alignment horizontal="center" vertical="center"/>
    </xf>
    <xf numFmtId="0" fontId="3" fillId="16" borderId="41" xfId="0" applyFont="1" applyFill="1" applyBorder="1" applyAlignment="1">
      <alignment horizontal="center" vertical="center"/>
    </xf>
    <xf numFmtId="0" fontId="3" fillId="16" borderId="48" xfId="0" applyFont="1" applyFill="1" applyBorder="1" applyAlignment="1">
      <alignment horizontal="center" vertical="center"/>
    </xf>
    <xf numFmtId="0" fontId="3" fillId="16" borderId="49" xfId="0" applyFont="1" applyFill="1" applyBorder="1" applyAlignment="1">
      <alignment horizontal="center" vertical="center"/>
    </xf>
    <xf numFmtId="3" fontId="3" fillId="16" borderId="11" xfId="0" applyNumberFormat="1" applyFont="1" applyFill="1" applyBorder="1" applyAlignment="1">
      <alignment horizontal="center" vertical="center"/>
    </xf>
    <xf numFmtId="3" fontId="3" fillId="16" borderId="12" xfId="0" applyNumberFormat="1" applyFont="1" applyFill="1" applyBorder="1" applyAlignment="1">
      <alignment horizontal="center" vertical="center"/>
    </xf>
    <xf numFmtId="9" fontId="3" fillId="16" borderId="13" xfId="2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3" fontId="3" fillId="16" borderId="0" xfId="0" applyNumberFormat="1" applyFont="1" applyFill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 wrapText="1"/>
    </xf>
    <xf numFmtId="0" fontId="4" fillId="17" borderId="11" xfId="0" applyFont="1" applyFill="1" applyBorder="1" applyAlignment="1">
      <alignment horizontal="center" vertical="center" wrapText="1"/>
    </xf>
    <xf numFmtId="0" fontId="4" fillId="17" borderId="12" xfId="0" applyFont="1" applyFill="1" applyBorder="1" applyAlignment="1">
      <alignment horizontal="center" vertical="center" wrapText="1"/>
    </xf>
    <xf numFmtId="0" fontId="4" fillId="17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16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2" fillId="16" borderId="49" xfId="0" applyFont="1" applyFill="1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9" fontId="3" fillId="0" borderId="15" xfId="2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165" fontId="3" fillId="0" borderId="24" xfId="0" applyNumberFormat="1" applyFont="1" applyBorder="1" applyAlignment="1">
      <alignment horizontal="center" vertical="center"/>
    </xf>
    <xf numFmtId="9" fontId="3" fillId="0" borderId="14" xfId="2" applyFont="1" applyBorder="1" applyAlignment="1">
      <alignment horizontal="center" vertical="center"/>
    </xf>
    <xf numFmtId="9" fontId="3" fillId="0" borderId="25" xfId="2" applyFont="1" applyBorder="1" applyAlignment="1">
      <alignment horizontal="center" vertical="center"/>
    </xf>
    <xf numFmtId="9" fontId="3" fillId="0" borderId="16" xfId="2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9" fontId="3" fillId="0" borderId="18" xfId="2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165" fontId="3" fillId="0" borderId="27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65" fontId="3" fillId="0" borderId="22" xfId="0" applyNumberFormat="1" applyFont="1" applyBorder="1" applyAlignment="1">
      <alignment horizontal="center" vertical="center"/>
    </xf>
    <xf numFmtId="165" fontId="3" fillId="0" borderId="26" xfId="0" applyNumberFormat="1" applyFont="1" applyBorder="1" applyAlignment="1">
      <alignment horizontal="center" vertical="center"/>
    </xf>
    <xf numFmtId="9" fontId="3" fillId="0" borderId="17" xfId="2" applyFont="1" applyBorder="1" applyAlignment="1">
      <alignment horizontal="center" vertical="center"/>
    </xf>
    <xf numFmtId="9" fontId="3" fillId="0" borderId="27" xfId="2" applyFont="1" applyBorder="1" applyAlignment="1">
      <alignment horizontal="center" vertical="center"/>
    </xf>
    <xf numFmtId="9" fontId="3" fillId="0" borderId="19" xfId="2" applyFont="1" applyBorder="1" applyAlignment="1">
      <alignment horizontal="center" vertical="center"/>
    </xf>
    <xf numFmtId="165" fontId="3" fillId="0" borderId="17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27" xfId="0" applyNumberFormat="1" applyFont="1" applyBorder="1" applyAlignment="1">
      <alignment vertical="center"/>
    </xf>
    <xf numFmtId="0" fontId="3" fillId="0" borderId="48" xfId="0" applyFont="1" applyBorder="1" applyAlignment="1">
      <alignment horizontal="center" vertical="center"/>
    </xf>
    <xf numFmtId="9" fontId="3" fillId="0" borderId="49" xfId="2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165" fontId="3" fillId="0" borderId="48" xfId="0" applyNumberFormat="1" applyFont="1" applyBorder="1" applyAlignment="1">
      <alignment horizontal="center" vertical="center"/>
    </xf>
    <xf numFmtId="165" fontId="3" fillId="0" borderId="49" xfId="0" applyNumberFormat="1" applyFont="1" applyBorder="1" applyAlignment="1">
      <alignment horizontal="center" vertical="center"/>
    </xf>
    <xf numFmtId="165" fontId="3" fillId="0" borderId="57" xfId="0" applyNumberFormat="1" applyFont="1" applyBorder="1" applyAlignment="1">
      <alignment horizontal="center" vertical="center"/>
    </xf>
    <xf numFmtId="165" fontId="3" fillId="0" borderId="44" xfId="0" applyNumberFormat="1" applyFont="1" applyBorder="1" applyAlignment="1">
      <alignment horizontal="center" vertical="center"/>
    </xf>
    <xf numFmtId="165" fontId="3" fillId="0" borderId="55" xfId="0" applyNumberFormat="1" applyFont="1" applyBorder="1" applyAlignment="1">
      <alignment horizontal="center" vertical="center"/>
    </xf>
    <xf numFmtId="165" fontId="3" fillId="0" borderId="56" xfId="0" applyNumberFormat="1" applyFont="1" applyBorder="1" applyAlignment="1">
      <alignment horizontal="center" vertical="center"/>
    </xf>
    <xf numFmtId="9" fontId="3" fillId="0" borderId="48" xfId="2" applyFont="1" applyBorder="1" applyAlignment="1">
      <alignment horizontal="center" vertical="center"/>
    </xf>
    <xf numFmtId="9" fontId="3" fillId="0" borderId="57" xfId="2" applyFont="1" applyBorder="1" applyAlignment="1">
      <alignment horizontal="center" vertical="center"/>
    </xf>
    <xf numFmtId="9" fontId="3" fillId="0" borderId="44" xfId="2" applyFont="1" applyBorder="1" applyAlignment="1">
      <alignment horizontal="center" vertical="center"/>
    </xf>
    <xf numFmtId="164" fontId="5" fillId="11" borderId="11" xfId="3" applyNumberFormat="1" applyFont="1" applyFill="1" applyBorder="1" applyAlignment="1">
      <alignment horizontal="center" vertical="center" wrapText="1"/>
    </xf>
    <xf numFmtId="164" fontId="5" fillId="11" borderId="12" xfId="3" applyNumberFormat="1" applyFont="1" applyFill="1" applyBorder="1" applyAlignment="1">
      <alignment horizontal="center" vertical="center" wrapText="1"/>
    </xf>
    <xf numFmtId="164" fontId="5" fillId="11" borderId="13" xfId="3" applyNumberFormat="1" applyFont="1" applyFill="1" applyBorder="1" applyAlignment="1">
      <alignment horizontal="center" vertical="center" wrapText="1"/>
    </xf>
    <xf numFmtId="164" fontId="5" fillId="8" borderId="11" xfId="3" applyNumberFormat="1" applyFont="1" applyFill="1" applyBorder="1" applyAlignment="1">
      <alignment horizontal="center" vertical="center" wrapText="1"/>
    </xf>
    <xf numFmtId="164" fontId="5" fillId="8" borderId="12" xfId="3" applyNumberFormat="1" applyFont="1" applyFill="1" applyBorder="1" applyAlignment="1">
      <alignment horizontal="center" vertical="center" wrapText="1"/>
    </xf>
    <xf numFmtId="164" fontId="5" fillId="8" borderId="31" xfId="3" applyNumberFormat="1" applyFont="1" applyFill="1" applyBorder="1" applyAlignment="1">
      <alignment horizontal="center" vertical="center" wrapText="1"/>
    </xf>
    <xf numFmtId="17" fontId="5" fillId="5" borderId="12" xfId="1" applyNumberFormat="1" applyFont="1" applyFill="1" applyBorder="1" applyAlignment="1">
      <alignment horizontal="center" vertical="center" wrapText="1"/>
    </xf>
    <xf numFmtId="17" fontId="5" fillId="5" borderId="29" xfId="1" applyNumberFormat="1" applyFont="1" applyFill="1" applyBorder="1" applyAlignment="1">
      <alignment horizontal="center" vertical="center" wrapText="1"/>
    </xf>
    <xf numFmtId="17" fontId="5" fillId="5" borderId="32" xfId="1" applyNumberFormat="1" applyFont="1" applyFill="1" applyBorder="1" applyAlignment="1">
      <alignment horizontal="center" vertical="center" wrapText="1"/>
    </xf>
    <xf numFmtId="17" fontId="5" fillId="11" borderId="11" xfId="1" applyNumberFormat="1" applyFont="1" applyFill="1" applyBorder="1" applyAlignment="1">
      <alignment horizontal="center" vertical="center" wrapText="1"/>
    </xf>
    <xf numFmtId="17" fontId="5" fillId="11" borderId="12" xfId="1" applyNumberFormat="1" applyFont="1" applyFill="1" applyBorder="1" applyAlignment="1">
      <alignment horizontal="center" vertical="center" wrapText="1"/>
    </xf>
    <xf numFmtId="17" fontId="5" fillId="11" borderId="29" xfId="1" applyNumberFormat="1" applyFont="1" applyFill="1" applyBorder="1" applyAlignment="1">
      <alignment horizontal="center" vertical="center" wrapText="1"/>
    </xf>
    <xf numFmtId="17" fontId="5" fillId="11" borderId="13" xfId="1" applyNumberFormat="1" applyFont="1" applyFill="1" applyBorder="1" applyAlignment="1">
      <alignment horizontal="center" vertical="center" wrapText="1"/>
    </xf>
    <xf numFmtId="17" fontId="5" fillId="7" borderId="11" xfId="1" applyNumberFormat="1" applyFont="1" applyFill="1" applyBorder="1" applyAlignment="1">
      <alignment horizontal="center" vertical="center" wrapText="1"/>
    </xf>
    <xf numFmtId="17" fontId="5" fillId="7" borderId="12" xfId="1" applyNumberFormat="1" applyFont="1" applyFill="1" applyBorder="1" applyAlignment="1">
      <alignment horizontal="center" vertical="center" wrapText="1"/>
    </xf>
    <xf numFmtId="17" fontId="5" fillId="7" borderId="29" xfId="1" applyNumberFormat="1" applyFont="1" applyFill="1" applyBorder="1" applyAlignment="1">
      <alignment horizontal="center" vertical="center" wrapText="1"/>
    </xf>
    <xf numFmtId="17" fontId="5" fillId="7" borderId="13" xfId="1" applyNumberFormat="1" applyFont="1" applyFill="1" applyBorder="1" applyAlignment="1">
      <alignment horizontal="center" vertical="center" wrapText="1"/>
    </xf>
    <xf numFmtId="17" fontId="5" fillId="12" borderId="12" xfId="1" applyNumberFormat="1" applyFont="1" applyFill="1" applyBorder="1" applyAlignment="1">
      <alignment horizontal="center" vertical="center" wrapText="1"/>
    </xf>
    <xf numFmtId="17" fontId="5" fillId="12" borderId="29" xfId="1" applyNumberFormat="1" applyFont="1" applyFill="1" applyBorder="1" applyAlignment="1">
      <alignment horizontal="center" vertical="center" wrapText="1"/>
    </xf>
    <xf numFmtId="17" fontId="5" fillId="12" borderId="13" xfId="1" applyNumberFormat="1" applyFont="1" applyFill="1" applyBorder="1" applyAlignment="1">
      <alignment horizontal="center" vertical="center" wrapText="1"/>
    </xf>
    <xf numFmtId="17" fontId="5" fillId="14" borderId="35" xfId="1" applyNumberFormat="1" applyFont="1" applyFill="1" applyBorder="1" applyAlignment="1">
      <alignment horizontal="center" vertical="center" wrapText="1"/>
    </xf>
    <xf numFmtId="17" fontId="5" fillId="14" borderId="31" xfId="1" applyNumberFormat="1" applyFont="1" applyFill="1" applyBorder="1" applyAlignment="1">
      <alignment horizontal="center" vertical="center" wrapText="1"/>
    </xf>
    <xf numFmtId="17" fontId="5" fillId="15" borderId="36" xfId="1" applyNumberFormat="1" applyFont="1" applyFill="1" applyBorder="1" applyAlignment="1">
      <alignment horizontal="center" vertical="center" wrapText="1"/>
    </xf>
    <xf numFmtId="17" fontId="5" fillId="15" borderId="37" xfId="1" applyNumberFormat="1" applyFont="1" applyFill="1" applyBorder="1" applyAlignment="1">
      <alignment horizontal="center" vertical="center" wrapText="1"/>
    </xf>
    <xf numFmtId="17" fontId="5" fillId="15" borderId="38" xfId="1" applyNumberFormat="1" applyFont="1" applyFill="1" applyBorder="1" applyAlignment="1">
      <alignment horizontal="center" vertical="center" wrapText="1"/>
    </xf>
    <xf numFmtId="164" fontId="5" fillId="15" borderId="31" xfId="3" applyNumberFormat="1" applyFont="1" applyFill="1" applyBorder="1" applyAlignment="1">
      <alignment horizontal="center" vertical="center" wrapText="1"/>
    </xf>
    <xf numFmtId="164" fontId="5" fillId="14" borderId="12" xfId="3" applyNumberFormat="1" applyFont="1" applyFill="1" applyBorder="1" applyAlignment="1">
      <alignment horizontal="center" vertical="center" wrapText="1"/>
    </xf>
    <xf numFmtId="164" fontId="5" fillId="14" borderId="13" xfId="3" applyNumberFormat="1" applyFont="1" applyFill="1" applyBorder="1" applyAlignment="1">
      <alignment horizontal="center" vertical="center" wrapText="1"/>
    </xf>
    <xf numFmtId="17" fontId="5" fillId="9" borderId="11" xfId="1" applyNumberFormat="1" applyFont="1" applyFill="1" applyBorder="1" applyAlignment="1">
      <alignment horizontal="center" vertical="center" wrapText="1"/>
    </xf>
    <xf numFmtId="17" fontId="5" fillId="9" borderId="12" xfId="1" applyNumberFormat="1" applyFont="1" applyFill="1" applyBorder="1" applyAlignment="1">
      <alignment horizontal="center" vertical="center" wrapText="1"/>
    </xf>
    <xf numFmtId="17" fontId="5" fillId="9" borderId="29" xfId="1" applyNumberFormat="1" applyFont="1" applyFill="1" applyBorder="1" applyAlignment="1">
      <alignment horizontal="center" vertical="center" wrapText="1"/>
    </xf>
    <xf numFmtId="17" fontId="5" fillId="9" borderId="13" xfId="1" applyNumberFormat="1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/>
    </xf>
    <xf numFmtId="165" fontId="3" fillId="13" borderId="14" xfId="0" applyNumberFormat="1" applyFont="1" applyFill="1" applyBorder="1" applyAlignment="1">
      <alignment horizontal="center" vertical="center"/>
    </xf>
    <xf numFmtId="165" fontId="3" fillId="13" borderId="15" xfId="0" applyNumberFormat="1" applyFont="1" applyFill="1" applyBorder="1" applyAlignment="1">
      <alignment horizontal="center" vertical="center"/>
    </xf>
    <xf numFmtId="165" fontId="3" fillId="13" borderId="21" xfId="0" applyNumberFormat="1" applyFont="1" applyFill="1" applyBorder="1" applyAlignment="1">
      <alignment horizontal="center" vertical="center"/>
    </xf>
    <xf numFmtId="3" fontId="3" fillId="13" borderId="15" xfId="0" applyNumberFormat="1" applyFont="1" applyFill="1" applyBorder="1" applyAlignment="1">
      <alignment horizontal="center" vertical="center"/>
    </xf>
    <xf numFmtId="3" fontId="3" fillId="13" borderId="25" xfId="0" applyNumberFormat="1" applyFont="1" applyFill="1" applyBorder="1" applyAlignment="1">
      <alignment horizontal="center" vertical="center"/>
    </xf>
    <xf numFmtId="3" fontId="3" fillId="13" borderId="21" xfId="0" applyNumberFormat="1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165" fontId="3" fillId="13" borderId="3" xfId="0" applyNumberFormat="1" applyFont="1" applyFill="1" applyBorder="1" applyAlignment="1">
      <alignment horizontal="center" vertical="center"/>
    </xf>
    <xf numFmtId="165" fontId="3" fillId="13" borderId="25" xfId="0" applyNumberFormat="1" applyFont="1" applyFill="1" applyBorder="1" applyAlignment="1">
      <alignment horizontal="center" vertical="center"/>
    </xf>
    <xf numFmtId="165" fontId="3" fillId="13" borderId="16" xfId="0" applyNumberFormat="1" applyFont="1" applyFill="1" applyBorder="1" applyAlignment="1">
      <alignment horizontal="center" vertical="center"/>
    </xf>
    <xf numFmtId="165" fontId="3" fillId="13" borderId="24" xfId="0" applyNumberFormat="1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165" fontId="3" fillId="11" borderId="11" xfId="0" applyNumberFormat="1" applyFont="1" applyFill="1" applyBorder="1" applyAlignment="1">
      <alignment horizontal="center" vertical="center"/>
    </xf>
    <xf numFmtId="165" fontId="3" fillId="11" borderId="12" xfId="0" applyNumberFormat="1" applyFont="1" applyFill="1" applyBorder="1" applyAlignment="1">
      <alignment horizontal="center" vertical="center"/>
    </xf>
    <xf numFmtId="165" fontId="3" fillId="11" borderId="20" xfId="0" applyNumberFormat="1" applyFont="1" applyFill="1" applyBorder="1" applyAlignment="1">
      <alignment horizontal="center" vertical="center"/>
    </xf>
    <xf numFmtId="3" fontId="3" fillId="11" borderId="12" xfId="0" applyNumberFormat="1" applyFont="1" applyFill="1" applyBorder="1" applyAlignment="1">
      <alignment horizontal="center" vertical="center"/>
    </xf>
    <xf numFmtId="3" fontId="3" fillId="11" borderId="29" xfId="0" applyNumberFormat="1" applyFont="1" applyFill="1" applyBorder="1" applyAlignment="1">
      <alignment horizontal="center" vertical="center"/>
    </xf>
    <xf numFmtId="3" fontId="3" fillId="11" borderId="20" xfId="0" applyNumberFormat="1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11" borderId="29" xfId="0" applyFont="1" applyFill="1" applyBorder="1" applyAlignment="1">
      <alignment horizontal="center" vertical="center"/>
    </xf>
    <xf numFmtId="165" fontId="3" fillId="11" borderId="29" xfId="0" applyNumberFormat="1" applyFont="1" applyFill="1" applyBorder="1" applyAlignment="1">
      <alignment horizontal="center" vertical="center"/>
    </xf>
    <xf numFmtId="165" fontId="3" fillId="11" borderId="13" xfId="0" applyNumberFormat="1" applyFont="1" applyFill="1" applyBorder="1" applyAlignment="1">
      <alignment horizontal="center" vertical="center"/>
    </xf>
    <xf numFmtId="165" fontId="3" fillId="11" borderId="28" xfId="0" applyNumberFormat="1" applyFont="1" applyFill="1" applyBorder="1" applyAlignment="1">
      <alignment horizontal="center" vertical="center"/>
    </xf>
    <xf numFmtId="164" fontId="5" fillId="8" borderId="13" xfId="3" applyNumberFormat="1" applyFont="1" applyFill="1" applyBorder="1" applyAlignment="1">
      <alignment horizontal="center" vertical="center" wrapText="1"/>
    </xf>
    <xf numFmtId="17" fontId="5" fillId="12" borderId="11" xfId="1" applyNumberFormat="1" applyFont="1" applyFill="1" applyBorder="1" applyAlignment="1">
      <alignment horizontal="center" vertical="center" wrapText="1"/>
    </xf>
    <xf numFmtId="9" fontId="3" fillId="0" borderId="48" xfId="0" applyNumberFormat="1" applyFont="1" applyBorder="1" applyAlignment="1">
      <alignment horizontal="center" vertical="center"/>
    </xf>
    <xf numFmtId="9" fontId="3" fillId="0" borderId="49" xfId="0" applyNumberFormat="1" applyFont="1" applyBorder="1" applyAlignment="1">
      <alignment horizontal="center" vertical="center"/>
    </xf>
    <xf numFmtId="9" fontId="3" fillId="0" borderId="57" xfId="0" applyNumberFormat="1" applyFont="1" applyBorder="1" applyAlignment="1">
      <alignment horizontal="center" vertical="center"/>
    </xf>
    <xf numFmtId="9" fontId="3" fillId="16" borderId="9" xfId="2" applyFont="1" applyFill="1" applyBorder="1" applyAlignment="1">
      <alignment horizontal="center" vertical="center"/>
    </xf>
    <xf numFmtId="9" fontId="3" fillId="16" borderId="0" xfId="2" applyFont="1" applyFill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3" fontId="3" fillId="16" borderId="9" xfId="0" applyNumberFormat="1" applyFont="1" applyFill="1" applyBorder="1" applyAlignment="1">
      <alignment horizontal="center" vertical="center"/>
    </xf>
    <xf numFmtId="3" fontId="3" fillId="16" borderId="0" xfId="0" applyNumberFormat="1" applyFont="1" applyFill="1" applyAlignment="1">
      <alignment horizontal="center" vertical="center"/>
    </xf>
    <xf numFmtId="3" fontId="3" fillId="16" borderId="10" xfId="0" applyNumberFormat="1" applyFont="1" applyFill="1" applyBorder="1" applyAlignment="1">
      <alignment horizontal="center" vertical="center"/>
    </xf>
    <xf numFmtId="0" fontId="4" fillId="17" borderId="43" xfId="0" applyFont="1" applyFill="1" applyBorder="1" applyAlignment="1">
      <alignment horizontal="center" vertical="center"/>
    </xf>
    <xf numFmtId="0" fontId="4" fillId="17" borderId="4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164" fontId="5" fillId="6" borderId="15" xfId="3" applyNumberFormat="1" applyFont="1" applyFill="1" applyBorder="1" applyAlignment="1">
      <alignment horizontal="center" vertical="center" wrapText="1"/>
    </xf>
    <xf numFmtId="164" fontId="5" fillId="6" borderId="16" xfId="3" applyNumberFormat="1" applyFont="1" applyFill="1" applyBorder="1" applyAlignment="1">
      <alignment horizontal="center" vertical="center" wrapText="1"/>
    </xf>
    <xf numFmtId="9" fontId="3" fillId="13" borderId="2" xfId="2" applyFont="1" applyFill="1" applyBorder="1" applyAlignment="1">
      <alignment horizontal="center" vertical="center"/>
    </xf>
    <xf numFmtId="9" fontId="3" fillId="13" borderId="3" xfId="2" applyFont="1" applyFill="1" applyBorder="1" applyAlignment="1">
      <alignment horizontal="center" vertical="center"/>
    </xf>
    <xf numFmtId="9" fontId="3" fillId="13" borderId="4" xfId="2" applyFont="1" applyFill="1" applyBorder="1" applyAlignment="1">
      <alignment horizontal="center" vertical="center"/>
    </xf>
    <xf numFmtId="9" fontId="3" fillId="13" borderId="11" xfId="2" applyFont="1" applyFill="1" applyBorder="1" applyAlignment="1">
      <alignment horizontal="center" vertical="center"/>
    </xf>
    <xf numFmtId="9" fontId="3" fillId="13" borderId="12" xfId="2" applyFont="1" applyFill="1" applyBorder="1" applyAlignment="1">
      <alignment horizontal="center" vertical="center"/>
    </xf>
    <xf numFmtId="9" fontId="3" fillId="13" borderId="13" xfId="2" applyFont="1" applyFill="1" applyBorder="1" applyAlignment="1">
      <alignment horizontal="center" vertical="center"/>
    </xf>
    <xf numFmtId="164" fontId="5" fillId="10" borderId="14" xfId="3" applyNumberFormat="1" applyFont="1" applyFill="1" applyBorder="1" applyAlignment="1">
      <alignment horizontal="center" vertical="center" wrapText="1"/>
    </xf>
    <xf numFmtId="164" fontId="5" fillId="10" borderId="15" xfId="3" applyNumberFormat="1" applyFont="1" applyFill="1" applyBorder="1" applyAlignment="1">
      <alignment horizontal="center" vertical="center" wrapText="1"/>
    </xf>
    <xf numFmtId="164" fontId="5" fillId="10" borderId="16" xfId="3" applyNumberFormat="1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165" fontId="3" fillId="13" borderId="4" xfId="0" applyNumberFormat="1" applyFont="1" applyFill="1" applyBorder="1" applyAlignment="1">
      <alignment horizontal="center" vertical="center"/>
    </xf>
    <xf numFmtId="165" fontId="3" fillId="13" borderId="13" xfId="0" applyNumberFormat="1" applyFont="1" applyFill="1" applyBorder="1" applyAlignment="1">
      <alignment horizontal="center" vertical="center"/>
    </xf>
    <xf numFmtId="164" fontId="5" fillId="14" borderId="14" xfId="3" applyNumberFormat="1" applyFont="1" applyFill="1" applyBorder="1" applyAlignment="1">
      <alignment horizontal="center" vertical="center" wrapText="1"/>
    </xf>
    <xf numFmtId="164" fontId="5" fillId="14" borderId="15" xfId="3" applyNumberFormat="1" applyFont="1" applyFill="1" applyBorder="1" applyAlignment="1">
      <alignment horizontal="center" vertical="center" wrapText="1"/>
    </xf>
    <xf numFmtId="164" fontId="5" fillId="14" borderId="16" xfId="3" applyNumberFormat="1" applyFont="1" applyFill="1" applyBorder="1" applyAlignment="1">
      <alignment horizontal="center" vertical="center" wrapText="1"/>
    </xf>
    <xf numFmtId="165" fontId="3" fillId="13" borderId="30" xfId="0" applyNumberFormat="1" applyFont="1" applyFill="1" applyBorder="1" applyAlignment="1">
      <alignment horizontal="center" vertical="center"/>
    </xf>
    <xf numFmtId="165" fontId="3" fillId="13" borderId="20" xfId="0" applyNumberFormat="1" applyFont="1" applyFill="1" applyBorder="1" applyAlignment="1">
      <alignment horizontal="center" vertical="center"/>
    </xf>
    <xf numFmtId="164" fontId="5" fillId="6" borderId="14" xfId="3" applyNumberFormat="1" applyFont="1" applyFill="1" applyBorder="1" applyAlignment="1">
      <alignment horizontal="center" vertical="center" wrapText="1"/>
    </xf>
    <xf numFmtId="165" fontId="3" fillId="13" borderId="2" xfId="0" applyNumberFormat="1" applyFont="1" applyFill="1" applyBorder="1" applyAlignment="1">
      <alignment horizontal="center" vertical="center"/>
    </xf>
    <xf numFmtId="165" fontId="3" fillId="13" borderId="11" xfId="0" applyNumberFormat="1" applyFont="1" applyFill="1" applyBorder="1" applyAlignment="1">
      <alignment horizontal="center" vertical="center"/>
    </xf>
    <xf numFmtId="165" fontId="3" fillId="13" borderId="3" xfId="0" applyNumberFormat="1" applyFont="1" applyFill="1" applyBorder="1" applyAlignment="1">
      <alignment horizontal="center" vertical="center"/>
    </xf>
    <xf numFmtId="165" fontId="3" fillId="13" borderId="12" xfId="0" applyNumberFormat="1" applyFont="1" applyFill="1" applyBorder="1" applyAlignment="1">
      <alignment horizontal="center" vertical="center"/>
    </xf>
    <xf numFmtId="164" fontId="5" fillId="13" borderId="14" xfId="3" applyNumberFormat="1" applyFont="1" applyFill="1" applyBorder="1" applyAlignment="1">
      <alignment horizontal="center" vertical="center" wrapText="1"/>
    </xf>
    <xf numFmtId="164" fontId="5" fillId="13" borderId="15" xfId="3" applyNumberFormat="1" applyFont="1" applyFill="1" applyBorder="1" applyAlignment="1">
      <alignment horizontal="center" vertical="center" wrapText="1"/>
    </xf>
    <xf numFmtId="164" fontId="5" fillId="13" borderId="16" xfId="3" applyNumberFormat="1" applyFont="1" applyFill="1" applyBorder="1" applyAlignment="1">
      <alignment horizontal="center" vertical="center" wrapText="1"/>
    </xf>
    <xf numFmtId="165" fontId="3" fillId="13" borderId="52" xfId="0" applyNumberFormat="1" applyFont="1" applyFill="1" applyBorder="1" applyAlignment="1">
      <alignment horizontal="center" vertical="center"/>
    </xf>
    <xf numFmtId="165" fontId="3" fillId="13" borderId="29" xfId="0" applyNumberFormat="1" applyFont="1" applyFill="1" applyBorder="1" applyAlignment="1">
      <alignment horizontal="center" vertical="center"/>
    </xf>
    <xf numFmtId="165" fontId="3" fillId="13" borderId="53" xfId="0" applyNumberFormat="1" applyFont="1" applyFill="1" applyBorder="1" applyAlignment="1">
      <alignment horizontal="center" vertical="center"/>
    </xf>
    <xf numFmtId="165" fontId="3" fillId="13" borderId="54" xfId="0" applyNumberFormat="1" applyFont="1" applyFill="1" applyBorder="1" applyAlignment="1">
      <alignment horizontal="center" vertical="center"/>
    </xf>
    <xf numFmtId="164" fontId="5" fillId="4" borderId="14" xfId="3" applyNumberFormat="1" applyFont="1" applyFill="1" applyBorder="1" applyAlignment="1">
      <alignment horizontal="center" vertical="center" wrapText="1"/>
    </xf>
    <xf numFmtId="164" fontId="5" fillId="4" borderId="15" xfId="3" applyNumberFormat="1" applyFont="1" applyFill="1" applyBorder="1" applyAlignment="1">
      <alignment horizontal="center" vertical="center" wrapText="1"/>
    </xf>
    <xf numFmtId="164" fontId="5" fillId="4" borderId="16" xfId="3" applyNumberFormat="1" applyFont="1" applyFill="1" applyBorder="1" applyAlignment="1">
      <alignment horizontal="center" vertical="center" wrapText="1"/>
    </xf>
    <xf numFmtId="164" fontId="5" fillId="5" borderId="14" xfId="3" applyNumberFormat="1" applyFont="1" applyFill="1" applyBorder="1" applyAlignment="1">
      <alignment horizontal="center" vertical="center" wrapText="1"/>
    </xf>
    <xf numFmtId="164" fontId="5" fillId="5" borderId="15" xfId="3" applyNumberFormat="1" applyFont="1" applyFill="1" applyBorder="1" applyAlignment="1">
      <alignment horizontal="center" vertical="center" wrapText="1"/>
    </xf>
    <xf numFmtId="164" fontId="5" fillId="3" borderId="15" xfId="3" applyNumberFormat="1" applyFont="1" applyFill="1" applyBorder="1" applyAlignment="1">
      <alignment horizontal="center" vertical="center" wrapText="1"/>
    </xf>
    <xf numFmtId="164" fontId="5" fillId="3" borderId="16" xfId="3" applyNumberFormat="1" applyFont="1" applyFill="1" applyBorder="1" applyAlignment="1">
      <alignment horizontal="center" vertical="center" wrapText="1"/>
    </xf>
    <xf numFmtId="165" fontId="3" fillId="13" borderId="33" xfId="0" applyNumberFormat="1" applyFont="1" applyFill="1" applyBorder="1" applyAlignment="1">
      <alignment horizontal="center" vertical="center"/>
    </xf>
    <xf numFmtId="165" fontId="3" fillId="13" borderId="34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164" fontId="5" fillId="5" borderId="16" xfId="3" applyNumberFormat="1" applyFont="1" applyFill="1" applyBorder="1" applyAlignment="1">
      <alignment horizontal="center" vertical="center" wrapText="1"/>
    </xf>
    <xf numFmtId="164" fontId="5" fillId="3" borderId="14" xfId="3" applyNumberFormat="1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5" fillId="13" borderId="21" xfId="0" applyFont="1" applyFill="1" applyBorder="1" applyAlignment="1">
      <alignment horizontal="center" vertical="center"/>
    </xf>
    <xf numFmtId="17" fontId="5" fillId="3" borderId="15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64" fontId="5" fillId="12" borderId="11" xfId="3" applyNumberFormat="1" applyFont="1" applyFill="1" applyBorder="1" applyAlignment="1">
      <alignment horizontal="center" vertical="center" wrapText="1"/>
    </xf>
    <xf numFmtId="164" fontId="5" fillId="12" borderId="12" xfId="3" applyNumberFormat="1" applyFont="1" applyFill="1" applyBorder="1" applyAlignment="1">
      <alignment horizontal="center" vertical="center" wrapText="1"/>
    </xf>
    <xf numFmtId="164" fontId="5" fillId="12" borderId="13" xfId="3" applyNumberFormat="1" applyFont="1" applyFill="1" applyBorder="1" applyAlignment="1">
      <alignment horizontal="center" vertical="center" wrapText="1"/>
    </xf>
    <xf numFmtId="165" fontId="5" fillId="11" borderId="11" xfId="0" applyNumberFormat="1" applyFont="1" applyFill="1" applyBorder="1" applyAlignment="1">
      <alignment horizontal="center" vertical="center"/>
    </xf>
    <xf numFmtId="165" fontId="5" fillId="11" borderId="12" xfId="0" applyNumberFormat="1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165" fontId="8" fillId="12" borderId="12" xfId="0" applyNumberFormat="1" applyFont="1" applyFill="1" applyBorder="1" applyAlignment="1">
      <alignment horizontal="center" vertical="center"/>
    </xf>
    <xf numFmtId="0" fontId="8" fillId="12" borderId="29" xfId="0" applyFont="1" applyFill="1" applyBorder="1" applyAlignment="1">
      <alignment horizontal="center" vertical="center"/>
    </xf>
    <xf numFmtId="0" fontId="8" fillId="12" borderId="20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9" fontId="3" fillId="0" borderId="55" xfId="2" applyFont="1" applyBorder="1" applyAlignment="1">
      <alignment horizontal="center" vertical="center"/>
    </xf>
    <xf numFmtId="9" fontId="3" fillId="0" borderId="22" xfId="2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9" fontId="3" fillId="0" borderId="37" xfId="2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9" fontId="3" fillId="13" borderId="21" xfId="2" applyFont="1" applyFill="1" applyBorder="1" applyAlignment="1">
      <alignment horizontal="center" vertical="center"/>
    </xf>
    <xf numFmtId="9" fontId="3" fillId="13" borderId="25" xfId="2" applyFont="1" applyFill="1" applyBorder="1" applyAlignment="1">
      <alignment horizontal="center" vertical="center"/>
    </xf>
    <xf numFmtId="9" fontId="3" fillId="13" borderId="16" xfId="2" applyFont="1" applyFill="1" applyBorder="1" applyAlignment="1">
      <alignment horizontal="center" vertical="center"/>
    </xf>
    <xf numFmtId="0" fontId="2" fillId="11" borderId="35" xfId="0" applyFont="1" applyFill="1" applyBorder="1" applyAlignment="1">
      <alignment horizontal="center" vertical="center"/>
    </xf>
    <xf numFmtId="0" fontId="2" fillId="11" borderId="37" xfId="0" applyFont="1" applyFill="1" applyBorder="1" applyAlignment="1">
      <alignment horizontal="center" vertical="center"/>
    </xf>
    <xf numFmtId="0" fontId="2" fillId="11" borderId="50" xfId="0" applyFont="1" applyFill="1" applyBorder="1" applyAlignment="1">
      <alignment horizontal="center" vertical="center"/>
    </xf>
    <xf numFmtId="9" fontId="3" fillId="11" borderId="20" xfId="2" applyFont="1" applyFill="1" applyBorder="1" applyAlignment="1">
      <alignment horizontal="center" vertical="center"/>
    </xf>
    <xf numFmtId="9" fontId="3" fillId="11" borderId="29" xfId="2" applyFont="1" applyFill="1" applyBorder="1" applyAlignment="1">
      <alignment horizontal="center" vertical="center"/>
    </xf>
    <xf numFmtId="9" fontId="3" fillId="11" borderId="13" xfId="2" applyFont="1" applyFill="1" applyBorder="1" applyAlignment="1">
      <alignment horizontal="center" vertical="center"/>
    </xf>
    <xf numFmtId="9" fontId="3" fillId="0" borderId="35" xfId="2" applyFont="1" applyBorder="1" applyAlignment="1">
      <alignment horizontal="center" vertical="center"/>
    </xf>
    <xf numFmtId="9" fontId="3" fillId="0" borderId="31" xfId="2" applyFont="1" applyBorder="1" applyAlignment="1">
      <alignment horizontal="center" vertical="center"/>
    </xf>
    <xf numFmtId="9" fontId="3" fillId="0" borderId="38" xfId="2" applyFont="1" applyBorder="1" applyAlignment="1">
      <alignment horizontal="center" vertical="center"/>
    </xf>
    <xf numFmtId="9" fontId="3" fillId="0" borderId="50" xfId="2" applyFont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165" fontId="3" fillId="13" borderId="5" xfId="0" applyNumberFormat="1" applyFont="1" applyFill="1" applyBorder="1" applyAlignment="1">
      <alignment horizontal="center" vertical="center"/>
    </xf>
    <xf numFmtId="165" fontId="3" fillId="13" borderId="7" xfId="0" applyNumberFormat="1" applyFont="1" applyFill="1" applyBorder="1" applyAlignment="1">
      <alignment horizontal="center" vertical="center"/>
    </xf>
    <xf numFmtId="9" fontId="3" fillId="13" borderId="23" xfId="2" applyFont="1" applyFill="1" applyBorder="1" applyAlignment="1">
      <alignment horizontal="center" vertical="center"/>
    </xf>
    <xf numFmtId="9" fontId="3" fillId="13" borderId="51" xfId="2" applyFont="1" applyFill="1" applyBorder="1" applyAlignment="1">
      <alignment horizontal="center" vertical="center"/>
    </xf>
    <xf numFmtId="9" fontId="3" fillId="13" borderId="6" xfId="2" applyFont="1" applyFill="1" applyBorder="1" applyAlignment="1">
      <alignment horizontal="center" vertical="center"/>
    </xf>
    <xf numFmtId="0" fontId="3" fillId="0" borderId="0" xfId="0" applyFont="1"/>
    <xf numFmtId="3" fontId="3" fillId="0" borderId="0" xfId="0" applyNumberFormat="1" applyFont="1"/>
    <xf numFmtId="0" fontId="4" fillId="17" borderId="8" xfId="0" applyFont="1" applyFill="1" applyBorder="1" applyAlignment="1">
      <alignment horizontal="center" vertical="center"/>
    </xf>
    <xf numFmtId="0" fontId="4" fillId="17" borderId="7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25"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61E4-FC00-4A68-A041-6A291E0EACFA}">
  <sheetPr>
    <tabColor theme="8"/>
  </sheetPr>
  <dimension ref="B1:W56"/>
  <sheetViews>
    <sheetView showGridLines="0" topLeftCell="A17" zoomScaleNormal="100" workbookViewId="0">
      <selection activeCell="D25" sqref="D25"/>
    </sheetView>
  </sheetViews>
  <sheetFormatPr defaultColWidth="15.7109375" defaultRowHeight="24.95" customHeight="1" x14ac:dyDescent="0.25"/>
  <cols>
    <col min="1" max="1" width="15.7109375" style="258"/>
    <col min="2" max="2" width="31.140625" style="258" bestFit="1" customWidth="1"/>
    <col min="3" max="3" width="2.85546875" style="258" customWidth="1"/>
    <col min="4" max="6" width="15.7109375" style="258"/>
    <col min="7" max="7" width="2.28515625" style="258" customWidth="1"/>
    <col min="8" max="10" width="15.7109375" style="258"/>
    <col min="11" max="11" width="2.7109375" style="258" customWidth="1"/>
    <col min="12" max="16384" width="15.7109375" style="258"/>
  </cols>
  <sheetData>
    <row r="1" spans="2:14" ht="24.95" customHeight="1" thickBot="1" x14ac:dyDescent="0.3"/>
    <row r="2" spans="2:14" ht="24.95" customHeight="1" x14ac:dyDescent="0.25">
      <c r="B2" s="156" t="s">
        <v>44</v>
      </c>
      <c r="C2" s="25"/>
      <c r="D2" s="158" t="s">
        <v>95</v>
      </c>
      <c r="E2" s="159"/>
      <c r="F2" s="152" t="s">
        <v>49</v>
      </c>
      <c r="G2" s="25"/>
      <c r="H2" s="158" t="s">
        <v>109</v>
      </c>
      <c r="I2" s="159"/>
      <c r="J2" s="160"/>
      <c r="K2" s="25"/>
      <c r="L2" s="158" t="s">
        <v>110</v>
      </c>
      <c r="M2" s="159"/>
      <c r="N2" s="160"/>
    </row>
    <row r="3" spans="2:14" ht="24.95" customHeight="1" thickBot="1" x14ac:dyDescent="0.3">
      <c r="B3" s="157"/>
      <c r="C3" s="26"/>
      <c r="D3" s="27" t="s">
        <v>40</v>
      </c>
      <c r="E3" s="28" t="s">
        <v>41</v>
      </c>
      <c r="F3" s="29" t="s">
        <v>42</v>
      </c>
      <c r="G3" s="26"/>
      <c r="H3" s="27" t="s">
        <v>40</v>
      </c>
      <c r="I3" s="28" t="s">
        <v>41</v>
      </c>
      <c r="J3" s="29" t="s">
        <v>42</v>
      </c>
      <c r="K3" s="26"/>
      <c r="L3" s="27" t="s">
        <v>43</v>
      </c>
      <c r="M3" s="28" t="s">
        <v>41</v>
      </c>
      <c r="N3" s="29" t="s">
        <v>42</v>
      </c>
    </row>
    <row r="4" spans="2:14" ht="24.95" customHeight="1" x14ac:dyDescent="0.25">
      <c r="B4" s="2" t="s">
        <v>27</v>
      </c>
      <c r="C4" s="4"/>
      <c r="D4" s="7"/>
      <c r="E4" s="23"/>
      <c r="F4" s="8"/>
      <c r="G4" s="4"/>
      <c r="H4" s="7"/>
      <c r="I4" s="23"/>
      <c r="J4" s="8"/>
      <c r="K4" s="4"/>
      <c r="L4" s="7"/>
      <c r="M4" s="23"/>
      <c r="N4" s="8"/>
    </row>
    <row r="5" spans="2:14" ht="24.95" customHeight="1" x14ac:dyDescent="0.25">
      <c r="B5" s="3" t="s">
        <v>28</v>
      </c>
      <c r="C5" s="4"/>
      <c r="D5" s="9">
        <f>+VLOOKUP($B$5,'KPIs - Sales Goals'!$A$48:$AP$48,VLOOKUP('Dashboard - Overview &amp; Project'!$F$2,'Dashboard - Overview &amp; Project'!$B$44:$D$55,3,FALSE))</f>
        <v>0</v>
      </c>
      <c r="E5" s="10">
        <f>+VLOOKUP($B$5,'KPIs - Sales Goals'!$A$48:$AP$48,VLOOKUP('Dashboard - Overview &amp; Project'!$F$2,'Dashboard - Overview &amp; Project'!$B$44:$D$55,2,FALSE))</f>
        <v>0</v>
      </c>
      <c r="F5" s="13" t="str">
        <f>IF(AND(D5&gt;0,E5&gt;0),D5/E5,IF(AND(D5&gt;0,E5=0),100%,IF(AND(D5=0,E5&gt;0),0,IF(AND(D5=0,E5=0),"***",0))))</f>
        <v>***</v>
      </c>
      <c r="G5" s="4"/>
      <c r="H5" s="9">
        <f>+'KPIs - Sales Goals'!D48</f>
        <v>0</v>
      </c>
      <c r="I5" s="10">
        <f>+'KPIs - Sales Goals'!E48</f>
        <v>0</v>
      </c>
      <c r="J5" s="13" t="str">
        <f>IF(AND(H5&gt;0,I5&gt;0),H5/I5,IF(AND(H5&gt;0,I5=0),100%,IF(AND(H5=0,I5&gt;0),0,IF(AND(H5=0,I5=0),"***",0))))</f>
        <v>***</v>
      </c>
      <c r="K5" s="4"/>
      <c r="L5" s="9">
        <f>+'Goals &amp; Budget 2026 - Updated'!AF48</f>
        <v>0</v>
      </c>
      <c r="M5" s="10">
        <f>+'Goals &amp; Budget 2026'!AF48</f>
        <v>0</v>
      </c>
      <c r="N5" s="13" t="str">
        <f>IF(AND(L5&gt;0,M5&gt;0),L5/M5,IF(AND(L5&gt;0,M5=0),100%,IF(AND(L5=0,M5&gt;0),0,IF(AND(L5=0,M5=0),"***",0))))</f>
        <v>***</v>
      </c>
    </row>
    <row r="6" spans="2:14" ht="24.95" customHeight="1" x14ac:dyDescent="0.25">
      <c r="B6" s="4" t="s">
        <v>29</v>
      </c>
      <c r="C6" s="4"/>
      <c r="D6" s="12">
        <f>+VLOOKUP($B$5,'KPIs - Sales Goals'!$A$49:$AP$49,VLOOKUP('Dashboard - Overview &amp; Project'!$F$2,'Dashboard - Overview &amp; Project'!$B$44:$D$55,3,FALSE))</f>
        <v>0</v>
      </c>
      <c r="E6" s="24">
        <f>+VLOOKUP($B$5,'KPIs - Sales Goals'!$A$49:$AP$49,VLOOKUP('Dashboard - Overview &amp; Project'!$F$2,'Dashboard - Overview &amp; Project'!$B$44:$D$55,2,FALSE))</f>
        <v>0</v>
      </c>
      <c r="F6" s="13" t="str">
        <f>IF(AND(D6&gt;0,E6&gt;0),D6/E6,IF(AND(D6&gt;0,E6=0),100%,IF(AND(D6=0,E6&gt;0),0,IF(AND(D6=0,E6=0),"***",0))))</f>
        <v>***</v>
      </c>
      <c r="G6" s="4"/>
      <c r="H6" s="12">
        <f>+'KPIs - Sales Goals'!D49</f>
        <v>0</v>
      </c>
      <c r="I6" s="24">
        <f>+'KPIs - Sales Goals'!E49</f>
        <v>0</v>
      </c>
      <c r="J6" s="13" t="str">
        <f>IF(AND(H6&gt;0,I6&gt;0),H6/I6,IF(AND(H6&gt;0,I6=0),100%,IF(AND(H6=0,I6&gt;0),0,IF(AND(H6=0,I6=0),"***",0))))</f>
        <v>***</v>
      </c>
      <c r="K6" s="4"/>
      <c r="L6" s="12">
        <f>+'Goals &amp; Budget 2026 - Updated'!AF49</f>
        <v>0</v>
      </c>
      <c r="M6" s="24">
        <f>+'Goals &amp; Budget 2026'!AF49</f>
        <v>0</v>
      </c>
      <c r="N6" s="13" t="str">
        <f>IF(AND(L6&gt;0,M6&gt;0),L6/M6,IF(AND(L6&gt;0,M6=0),100%,IF(AND(L6=0,M6&gt;0),0,IF(AND(L6=0,M6=0),"***",0))))</f>
        <v>***</v>
      </c>
    </row>
    <row r="7" spans="2:14" ht="24.95" customHeight="1" x14ac:dyDescent="0.25">
      <c r="B7" s="5" t="s">
        <v>30</v>
      </c>
      <c r="C7" s="4"/>
      <c r="D7" s="15"/>
      <c r="E7" s="73"/>
      <c r="F7" s="14"/>
      <c r="G7" s="4"/>
      <c r="H7" s="15"/>
      <c r="I7" s="73"/>
      <c r="J7" s="14"/>
      <c r="K7" s="4"/>
      <c r="L7" s="15"/>
      <c r="M7" s="73"/>
      <c r="N7" s="14"/>
    </row>
    <row r="8" spans="2:14" ht="24.95" customHeight="1" x14ac:dyDescent="0.25">
      <c r="B8" s="3" t="s">
        <v>31</v>
      </c>
      <c r="C8" s="4"/>
      <c r="D8" s="12">
        <f>+VLOOKUP($B$5,'KPIs - Income'!$A$48:$AP$48,VLOOKUP('Dashboard - Overview &amp; Project'!$F$2,'Dashboard - Overview &amp; Project'!$B$44:$D$55,3,FALSE))</f>
        <v>0</v>
      </c>
      <c r="E8" s="24">
        <f>+VLOOKUP($B$5,'KPIs - Income'!$A$48:$AP$48,VLOOKUP('Dashboard - Overview &amp; Project'!$F$2,'Dashboard - Overview &amp; Project'!$B$44:$D$55,2,FALSE))</f>
        <v>0</v>
      </c>
      <c r="F8" s="13" t="str">
        <f t="shared" ref="F8:F9" si="0">IF(AND(D8&gt;0,E8&gt;0),D8/E8,IF(AND(D8&gt;0,E8=0),100%,IF(AND(D8=0,E8&gt;0),0,IF(AND(D8=0,E8=0),"***",0))))</f>
        <v>***</v>
      </c>
      <c r="G8" s="4"/>
      <c r="H8" s="12">
        <f>+'KPIs - Income'!D48</f>
        <v>0</v>
      </c>
      <c r="I8" s="24">
        <f>+'KPIs - Income'!E48</f>
        <v>0</v>
      </c>
      <c r="J8" s="13" t="str">
        <f t="shared" ref="J8:J9" si="1">IF(AND(H8&gt;0,I8&gt;0),H8/I8,IF(AND(H8&gt;0,I8=0),100%,IF(AND(H8=0,I8&gt;0),0,IF(AND(H8=0,I8=0),"***",0))))</f>
        <v>***</v>
      </c>
      <c r="K8" s="4"/>
      <c r="L8" s="12">
        <f>+'Goals &amp; Budget 2026 - Updated'!BG48</f>
        <v>0</v>
      </c>
      <c r="M8" s="24">
        <f>+'Goals &amp; Budget 2026'!BG48</f>
        <v>0</v>
      </c>
      <c r="N8" s="13" t="str">
        <f t="shared" ref="N8:N11" si="2">IF(AND(L8&gt;0,M8&gt;0),L8/M8,IF(AND(L8&gt;0,M8=0),100%,IF(AND(L8=0,M8&gt;0),0,IF(AND(L8=0,M8=0),"***",0))))</f>
        <v>***</v>
      </c>
    </row>
    <row r="9" spans="2:14" ht="24.95" customHeight="1" x14ac:dyDescent="0.25">
      <c r="B9" s="4" t="s">
        <v>32</v>
      </c>
      <c r="C9" s="4"/>
      <c r="D9" s="12">
        <f>+VLOOKUP($B$5,'KPIs - Income'!$A$48:$AP$49,VLOOKUP('Dashboard - Overview &amp; Project'!$F$2,'Dashboard - Overview &amp; Project'!$B$44:$D$55,3,FALSE))</f>
        <v>0</v>
      </c>
      <c r="E9" s="24">
        <f>+VLOOKUP($B$5,'KPIs - Income'!$A$48:$AP$49,VLOOKUP('Dashboard - Overview &amp; Project'!$F$2,'Dashboard - Overview &amp; Project'!$B$44:$D$55,2,FALSE))</f>
        <v>0</v>
      </c>
      <c r="F9" s="13" t="str">
        <f t="shared" si="0"/>
        <v>***</v>
      </c>
      <c r="G9" s="4"/>
      <c r="H9" s="12">
        <f>+'KPIs - Income'!D49</f>
        <v>0</v>
      </c>
      <c r="I9" s="24">
        <f>+'KPIs - Income'!E49</f>
        <v>0</v>
      </c>
      <c r="J9" s="13" t="str">
        <f t="shared" si="1"/>
        <v>***</v>
      </c>
      <c r="K9" s="4"/>
      <c r="L9" s="12">
        <f>+'Goals &amp; Budget 2026 - Updated'!BG49</f>
        <v>0</v>
      </c>
      <c r="M9" s="24">
        <f>+'Goals &amp; Budget 2026'!BG49</f>
        <v>0</v>
      </c>
      <c r="N9" s="13" t="str">
        <f t="shared" si="2"/>
        <v>***</v>
      </c>
    </row>
    <row r="10" spans="2:14" ht="24.95" customHeight="1" x14ac:dyDescent="0.25">
      <c r="B10" s="2" t="s">
        <v>45</v>
      </c>
      <c r="C10" s="4"/>
      <c r="D10" s="15"/>
      <c r="E10" s="73"/>
      <c r="F10" s="14"/>
      <c r="G10" s="4"/>
      <c r="H10" s="15"/>
      <c r="I10" s="73"/>
      <c r="J10" s="14"/>
      <c r="K10" s="4"/>
      <c r="L10" s="12"/>
      <c r="M10" s="30"/>
      <c r="N10" s="14"/>
    </row>
    <row r="11" spans="2:14" ht="24.95" customHeight="1" x14ac:dyDescent="0.25">
      <c r="B11" s="3" t="s">
        <v>46</v>
      </c>
      <c r="C11" s="4"/>
      <c r="D11" s="12">
        <f>+VLOOKUP($B$5,'KPIs - €Sq.M.'!$A$48:$AP$48,VLOOKUP('Dashboard - Overview &amp; Project'!$F$2,'Dashboard - Overview &amp; Project'!$B$44:$D$55,3,FALSE))</f>
        <v>0</v>
      </c>
      <c r="E11" s="24">
        <f>+VLOOKUP($B$5,'KPIs - €Sq.M.'!$A$48:$AP$48,VLOOKUP('Dashboard - Overview &amp; Project'!$F$2,'Dashboard - Overview &amp; Project'!$B$44:$D$55,2,FALSE))</f>
        <v>0</v>
      </c>
      <c r="F11" s="13" t="str">
        <f>IF(AND(D11&gt;0,E11&gt;0),D11/E11,IF(AND(D11&gt;0,E11=0),100%,IF(AND(D11=0,E11&gt;0),0,IF(AND(D11=0,E11=0),"***",0))))</f>
        <v>***</v>
      </c>
      <c r="G11" s="4"/>
      <c r="H11" s="12" t="e">
        <f>+'KPIs - €Sq.M.'!D48</f>
        <v>#DIV/0!</v>
      </c>
      <c r="I11" s="24" t="e">
        <f>+'KPIs - €Sq.M.'!E48</f>
        <v>#DIV/0!</v>
      </c>
      <c r="J11" s="13" t="e">
        <f t="shared" ref="J11" si="3">IF(AND(H11&gt;0,I11&gt;0),H11/I11,IF(AND(H11&gt;0,I11=0),100%,IF(AND(H11=0,I11&gt;0),0,IF(AND(H11=0,I11=0),"***",0))))</f>
        <v>#DIV/0!</v>
      </c>
      <c r="K11" s="4"/>
      <c r="L11" s="9">
        <f>+'Goals &amp; Budget 2026'!AT48</f>
        <v>0</v>
      </c>
      <c r="M11" s="10">
        <f>+'Goals &amp; Budget 2026 - Updated'!AT48</f>
        <v>0</v>
      </c>
      <c r="N11" s="13" t="str">
        <f t="shared" si="2"/>
        <v>***</v>
      </c>
    </row>
    <row r="12" spans="2:14" ht="24.95" customHeight="1" x14ac:dyDescent="0.25">
      <c r="B12" s="5" t="s">
        <v>33</v>
      </c>
      <c r="C12" s="4"/>
      <c r="D12" s="15"/>
      <c r="E12" s="16"/>
      <c r="F12" s="8"/>
      <c r="G12" s="17"/>
      <c r="H12" s="18"/>
      <c r="I12" s="19"/>
      <c r="J12" s="8"/>
      <c r="K12" s="17"/>
      <c r="L12" s="15"/>
      <c r="M12" s="16"/>
      <c r="N12" s="14"/>
    </row>
    <row r="13" spans="2:14" ht="24.95" customHeight="1" x14ac:dyDescent="0.25">
      <c r="B13" s="4" t="s">
        <v>34</v>
      </c>
      <c r="C13" s="4"/>
      <c r="D13" s="12">
        <f>+VLOOKUP($B$5,'KPIs - Sales Launch'!$A$48:$AP$48,VLOOKUP('Dashboard - Overview &amp; Project'!$F$2,'Dashboard - Overview &amp; Project'!$B$44:$D$55,3,FALSE))</f>
        <v>0</v>
      </c>
      <c r="E13" s="24">
        <f>+VLOOKUP($B$5,'KPIs - Sales Launch'!$A$48:$AP$48,VLOOKUP('Dashboard - Overview &amp; Project'!$F$2,'Dashboard - Overview &amp; Project'!$B$44:$D$55,2,FALSE))</f>
        <v>0</v>
      </c>
      <c r="F13" s="13" t="str">
        <f>IF(AND(D13&gt;0,E13&gt;0),D13/E13,IF(AND(D13&gt;0,E13=0),100%,IF(AND(D13=0,E13&gt;0),0,IF(AND(D13=0,E13=0),"***",0))))</f>
        <v>***</v>
      </c>
      <c r="G13" s="4"/>
      <c r="H13" s="12">
        <f>+'KPIs - Sales Launch'!D48</f>
        <v>0</v>
      </c>
      <c r="I13" s="24">
        <f>+'KPIs - Sales Launch'!E48</f>
        <v>0</v>
      </c>
      <c r="J13" s="13" t="str">
        <f>IF(AND(H13&gt;0,I13&gt;0),H13/I13,IF(AND(H13&gt;0,I13=0),100%,IF(AND(H13=0,I13&gt;0),0,IF(AND(H13=0,I13=0),"***",0))))</f>
        <v>***</v>
      </c>
      <c r="K13" s="4"/>
      <c r="L13" s="12">
        <f>+'Goals &amp; Budget 2026 - Updated'!P48</f>
        <v>0</v>
      </c>
      <c r="M13" s="24">
        <f>+'Goals &amp; Budget 2026'!P48</f>
        <v>0</v>
      </c>
      <c r="N13" s="13" t="str">
        <f>IF(AND(L13&gt;0,M13&gt;0),L13/M13,IF(AND(L13&gt;0,M13=0),100%,IF(AND(L13=0,M13&gt;0),0,IF(AND(L13=0,M13=0),"***",0))))</f>
        <v>***</v>
      </c>
    </row>
    <row r="14" spans="2:14" ht="24.95" customHeight="1" x14ac:dyDescent="0.25">
      <c r="B14" s="4" t="s">
        <v>35</v>
      </c>
      <c r="C14" s="4"/>
      <c r="D14" s="12">
        <f>+VLOOKUP($B$5,'KPIs - Marketing'!$A$48:$AP$48,VLOOKUP('Dashboard - Overview &amp; Project'!$F$2,'Dashboard - Overview &amp; Project'!$B$44:$D$55,3,FALSE))</f>
        <v>0</v>
      </c>
      <c r="E14" s="24">
        <f>+VLOOKUP($B$5,'KPIs - Marketing'!$A$48:$AP$48,VLOOKUP('Dashboard - Overview &amp; Project'!$F$2,'Dashboard - Overview &amp; Project'!$B$44:$D$55,2,FALSE))</f>
        <v>0</v>
      </c>
      <c r="F14" s="13" t="str">
        <f>IF(AND(D14&gt;0,E14&gt;0),D14/E14,IF(AND(D14&gt;0,E14=0),100%,IF(AND(D14=0,E14&gt;0),0,IF(AND(D14=0,E14=0),"***",0))))</f>
        <v>***</v>
      </c>
      <c r="G14" s="4"/>
      <c r="H14" s="12">
        <f>+'KPIs - Marketing'!D48</f>
        <v>0</v>
      </c>
      <c r="I14" s="24">
        <f>+'KPIs - Marketing'!E48</f>
        <v>0</v>
      </c>
      <c r="J14" s="13" t="str">
        <f>IF(AND(H14&gt;0,I14&gt;0),H14/I14,IF(AND(H14&gt;0,I14=0),100%,IF(AND(H14=0,I14&gt;0),0,IF(AND(H14=0,I14=0),"***",0))))</f>
        <v>***</v>
      </c>
      <c r="K14" s="4"/>
      <c r="L14" s="12">
        <f>+'Goals &amp; Budget 2026 - Updated'!BV48</f>
        <v>0</v>
      </c>
      <c r="M14" s="24">
        <f>+'Goals &amp; Budget 2026'!BV48</f>
        <v>0</v>
      </c>
      <c r="N14" s="13" t="str">
        <f>IF(AND(L14&gt;0,M14&gt;0),L14/M14,IF(AND(L14&gt;0,M14=0),100%,IF(AND(L14=0,M14&gt;0),0,IF(AND(L14=0,M14=0),"***",0))))</f>
        <v>***</v>
      </c>
    </row>
    <row r="15" spans="2:14" ht="24.95" customHeight="1" x14ac:dyDescent="0.25">
      <c r="B15" s="4" t="s">
        <v>36</v>
      </c>
      <c r="C15" s="4"/>
      <c r="D15" s="12">
        <f>+VLOOKUP($B$5,'KPIs - Schematics'!$A$48:$AP$48,VLOOKUP('Dashboard - Overview &amp; Project'!$F$2,'Dashboard - Overview &amp; Project'!$B$44:$D$55,3,FALSE))</f>
        <v>0</v>
      </c>
      <c r="E15" s="24">
        <f>+VLOOKUP($B$5,'KPIs - Schematics'!$A$48:$AP$48,VLOOKUP('Dashboard - Overview &amp; Project'!$F$2,'Dashboard - Overview &amp; Project'!$B$44:$D$55,2,FALSE))</f>
        <v>56</v>
      </c>
      <c r="F15" s="13">
        <f>IF(AND(D15&gt;0,E15&gt;0),D15/E15,IF(AND(D15&gt;0,E15=0),100%,IF(AND(D15=0,E15&gt;0),0,IF(AND(D15=0,E15=0),"***",0))))</f>
        <v>0</v>
      </c>
      <c r="G15" s="4"/>
      <c r="H15" s="12">
        <f>+'KPIs - Schematics'!D48</f>
        <v>0</v>
      </c>
      <c r="I15" s="24">
        <f>+'KPIs - Schematics'!E48</f>
        <v>56</v>
      </c>
      <c r="J15" s="13">
        <f>IF(AND(H15&gt;0,I15&gt;0),H15/I15,IF(AND(H15&gt;0,I15=0),100%,IF(AND(H15=0,I15&gt;0),0,IF(AND(H15=0,I15=0),"***",0))))</f>
        <v>0</v>
      </c>
      <c r="K15" s="4"/>
      <c r="L15" s="12">
        <f>+'Goals &amp; Budget 2026 - Updated'!CK48</f>
        <v>0</v>
      </c>
      <c r="M15" s="24">
        <f>+'Goals &amp; Budget 2026'!CK48</f>
        <v>760</v>
      </c>
      <c r="N15" s="13">
        <f>IF(AND(L15&gt;0,M15&gt;0),L15/M15,IF(AND(L15&gt;0,M15=0),100%,IF(AND(L15=0,M15&gt;0),0,IF(AND(L15=0,M15=0),"***",0))))</f>
        <v>0</v>
      </c>
    </row>
    <row r="16" spans="2:14" ht="24.95" customHeight="1" x14ac:dyDescent="0.25">
      <c r="B16" s="4" t="s">
        <v>37</v>
      </c>
      <c r="C16" s="4"/>
      <c r="D16" s="12">
        <f>+VLOOKUP($B$5,'KPIs - Tender'!$A$48:$AP$48,VLOOKUP('Dashboard - Overview &amp; Project'!$F$2,'Dashboard - Overview &amp; Project'!$B$44:$D$55,3,FALSE))</f>
        <v>0</v>
      </c>
      <c r="E16" s="24">
        <f>+VLOOKUP($B$5,'KPIs - Tender'!$A$48:$AP$48,VLOOKUP('Dashboard - Overview &amp; Project'!$F$2,'Dashboard - Overview &amp; Project'!$B$44:$D$55,2,FALSE))</f>
        <v>0</v>
      </c>
      <c r="F16" s="13" t="str">
        <f>IF(AND(D16&gt;0,E16&gt;0),D16/E16,IF(AND(D16&gt;0,E16=0),100%,IF(AND(D16=0,E16&gt;0),0,IF(AND(D16=0,E16=0),"***",0))))</f>
        <v>***</v>
      </c>
      <c r="G16" s="4"/>
      <c r="H16" s="12">
        <f>+'KPIs - Tender'!D48</f>
        <v>0</v>
      </c>
      <c r="I16" s="24">
        <f>+'KPIs - Tender'!E48</f>
        <v>0</v>
      </c>
      <c r="J16" s="13" t="str">
        <f>IF(AND(H16&gt;0,I16&gt;0),H16/I16,IF(AND(H16&gt;0,I16=0),100%,IF(AND(H16=0,I16&gt;0),0,IF(AND(H16=0,I16=0),"***",0))))</f>
        <v>***</v>
      </c>
      <c r="K16" s="4"/>
      <c r="L16" s="12">
        <f>+'Goals &amp; Budget 2026 - Updated'!CX48</f>
        <v>0</v>
      </c>
      <c r="M16" s="24">
        <f>+'Goals &amp; Budget 2026'!CX48</f>
        <v>625</v>
      </c>
      <c r="N16" s="13">
        <f>IF(AND(L16&gt;0,M16&gt;0),L16/M16,IF(AND(L16&gt;0,M16=0),100%,IF(AND(L16=0,M16&gt;0),0,IF(AND(L16=0,M16=0),"***",0))))</f>
        <v>0</v>
      </c>
    </row>
    <row r="17" spans="2:23" ht="24.95" customHeight="1" x14ac:dyDescent="0.25">
      <c r="B17" s="4" t="s">
        <v>38</v>
      </c>
      <c r="C17" s="4"/>
      <c r="D17" s="12">
        <f>+VLOOKUP($B$5,'KPIs - Construction Start'!$A$48:$AP$48,VLOOKUP('Dashboard - Overview &amp; Project'!$F$2,'Dashboard - Overview &amp; Project'!$B$44:$D$55,3,FALSE))</f>
        <v>0</v>
      </c>
      <c r="E17" s="24">
        <f>+VLOOKUP($B$5,'KPIs - Construction Start'!$A$48:$AP$48,VLOOKUP('Dashboard - Overview &amp; Project'!$F$2,'Dashboard - Overview &amp; Project'!$B$44:$D$55,2,FALSE))</f>
        <v>58</v>
      </c>
      <c r="F17" s="13">
        <f t="shared" ref="F17:F19" si="4">IF(AND(D17&gt;0,E17&gt;0),D17/E17,IF(AND(D17&gt;0,E17=0),100%,IF(AND(D17=0,E17&gt;0),0,IF(AND(D17=0,E17=0),"***",0))))</f>
        <v>0</v>
      </c>
      <c r="G17" s="4"/>
      <c r="H17" s="12">
        <f>+'KPIs - Construction Start'!D48</f>
        <v>0</v>
      </c>
      <c r="I17" s="24">
        <f>+'KPIs - Construction Start'!E48</f>
        <v>58</v>
      </c>
      <c r="J17" s="13">
        <f t="shared" ref="J17:J19" si="5">IF(AND(H17&gt;0,I17&gt;0),H17/I17,IF(AND(H17&gt;0,I17=0),100%,IF(AND(H17=0,I17&gt;0),0,IF(AND(H17=0,I17=0),"***",0))))</f>
        <v>0</v>
      </c>
      <c r="K17" s="4"/>
      <c r="L17" s="12">
        <f>+'Goals &amp; Budget 2026 - Updated'!DK48</f>
        <v>0</v>
      </c>
      <c r="M17" s="24">
        <f>+'Goals &amp; Budget 2026'!DK48</f>
        <v>371</v>
      </c>
      <c r="N17" s="13">
        <f t="shared" ref="N17" si="6">IF(AND(L17&gt;0,M17&gt;0),L17/M17,IF(AND(L17&gt;0,M17=0),100%,IF(AND(L17=0,M17&gt;0),0,IF(AND(L17=0,M17=0),"***",0))))</f>
        <v>0</v>
      </c>
    </row>
    <row r="18" spans="2:23" ht="24.95" customHeight="1" x14ac:dyDescent="0.25">
      <c r="B18" s="4" t="s">
        <v>39</v>
      </c>
      <c r="C18" s="4"/>
      <c r="D18" s="12">
        <f>+VLOOKUP($B$5,'KPIs- Handover'!$A$48:$AP$48,VLOOKUP('Dashboard - Overview &amp; Project'!$F$2,'Dashboard - Overview &amp; Project'!$B$44:$D$55,3,FALSE))</f>
        <v>0</v>
      </c>
      <c r="E18" s="24">
        <f>+VLOOKUP($B$5,'KPIs- Handover'!$A$48:$AP$48,VLOOKUP('Dashboard - Overview &amp; Project'!$F$2,'Dashboard - Overview &amp; Project'!$B$44:$D$55,2,FALSE))</f>
        <v>0</v>
      </c>
      <c r="F18" s="13" t="str">
        <f>IF(AND(D19&gt;0,E19&gt;0),D19/E19,IF(AND(D19&gt;0,E19=0),100%,IF(AND(D19=0,E19&gt;0),0,IF(AND(D19=0,E19=0),"***",0))))</f>
        <v>***</v>
      </c>
      <c r="G18" s="4"/>
      <c r="H18" s="12">
        <f>+'KPIs- Handover'!D48</f>
        <v>0</v>
      </c>
      <c r="I18" s="24">
        <f>+'KPIs- Handover'!E48</f>
        <v>0</v>
      </c>
      <c r="J18" s="13" t="str">
        <f>IF(AND(H19&gt;0,I19&gt;0),H19/I19,IF(AND(H19&gt;0,I19=0),100%,IF(AND(H19=0,I19&gt;0),0,IF(AND(H19=0,I19=0),"***",0))))</f>
        <v>***</v>
      </c>
      <c r="K18" s="4"/>
      <c r="L18" s="12">
        <f>+'Goals &amp; Budget 2026 - Updated'!EJ48</f>
        <v>0</v>
      </c>
      <c r="M18" s="24">
        <f>+'Goals &amp; Budget 2026'!EJ48</f>
        <v>523</v>
      </c>
      <c r="N18" s="13">
        <f>IF(AND(L19&gt;0,M19&gt;0),L19/M19,IF(AND(L19&gt;0,M19=0),100%,IF(AND(L19=0,M19&gt;0),0,IF(AND(L19=0,M19=0),"***",0))))</f>
        <v>0</v>
      </c>
    </row>
    <row r="19" spans="2:23" ht="24.95" customHeight="1" thickBot="1" x14ac:dyDescent="0.3">
      <c r="B19" s="6" t="s">
        <v>94</v>
      </c>
      <c r="C19" s="4"/>
      <c r="D19" s="20">
        <f>+VLOOKUP($B$5,'KPIs- Deeds'!$A$48:$AP$48,VLOOKUP('Dashboard - Overview &amp; Project'!$F$2,'Dashboard - Overview &amp; Project'!$B$44:$D$55,3,FALSE))</f>
        <v>0</v>
      </c>
      <c r="E19" s="21">
        <f>+VLOOKUP($B$5,'KPIs- Deeds'!$A$48:$AP$48,VLOOKUP('Dashboard - Overview &amp; Project'!$F$2,'Dashboard - Overview &amp; Project'!$B$44:$D$55,2,FALSE))</f>
        <v>0</v>
      </c>
      <c r="F19" s="22" t="str">
        <f t="shared" si="4"/>
        <v>***</v>
      </c>
      <c r="G19" s="4"/>
      <c r="H19" s="20">
        <f>+'KPIs- Handover'!D48</f>
        <v>0</v>
      </c>
      <c r="I19" s="21">
        <f>+'KPIs- Handover'!E48</f>
        <v>0</v>
      </c>
      <c r="J19" s="22" t="str">
        <f t="shared" si="5"/>
        <v>***</v>
      </c>
      <c r="K19" s="4"/>
      <c r="L19" s="20">
        <f>+'Goals &amp; Budget 2026 - Updated'!EJ48</f>
        <v>0</v>
      </c>
      <c r="M19" s="21">
        <f>+'Goals &amp; Budget 2026'!EJ48</f>
        <v>523</v>
      </c>
      <c r="N19" s="22">
        <f>IF(AND(L19&gt;0,M19&gt;0),L19/M19,IF(AND(L19&gt;0,M19=0),100%,IF(AND(L19=0,M19&gt;0),0,IF(AND(L19=0,M19=0),"***",0))))</f>
        <v>0</v>
      </c>
    </row>
    <row r="20" spans="2:23" ht="24.95" customHeight="1" x14ac:dyDescent="0.25">
      <c r="I20" s="259"/>
    </row>
    <row r="21" spans="2:23" ht="24.95" customHeight="1" thickBot="1" x14ac:dyDescent="0.3"/>
    <row r="22" spans="2:23" ht="24.95" customHeight="1" thickBot="1" x14ac:dyDescent="0.3">
      <c r="B22" s="260" t="s">
        <v>47</v>
      </c>
      <c r="C22" s="261" t="s">
        <v>71</v>
      </c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2"/>
    </row>
    <row r="23" spans="2:23" ht="24.95" customHeight="1" thickBot="1" x14ac:dyDescent="0.3"/>
    <row r="24" spans="2:23" ht="24.95" customHeight="1" x14ac:dyDescent="0.25">
      <c r="B24" s="156" t="s">
        <v>44</v>
      </c>
      <c r="C24" s="25"/>
      <c r="D24" s="158" t="str">
        <f>+B43</f>
        <v>January</v>
      </c>
      <c r="E24" s="159"/>
      <c r="F24" s="160"/>
      <c r="G24" s="25"/>
      <c r="H24" s="158" t="str">
        <f>+H2</f>
        <v>Accumulated - 1-01/2026</v>
      </c>
      <c r="I24" s="159"/>
      <c r="J24" s="160"/>
      <c r="K24" s="25"/>
      <c r="L24" s="158" t="s">
        <v>110</v>
      </c>
      <c r="M24" s="159"/>
      <c r="N24" s="160"/>
    </row>
    <row r="25" spans="2:23" ht="24.95" customHeight="1" thickBot="1" x14ac:dyDescent="0.3">
      <c r="B25" s="157"/>
      <c r="C25" s="26"/>
      <c r="D25" s="27" t="s">
        <v>40</v>
      </c>
      <c r="E25" s="28" t="s">
        <v>41</v>
      </c>
      <c r="F25" s="29" t="s">
        <v>42</v>
      </c>
      <c r="G25" s="26"/>
      <c r="H25" s="27" t="s">
        <v>40</v>
      </c>
      <c r="I25" s="28" t="s">
        <v>41</v>
      </c>
      <c r="J25" s="29" t="s">
        <v>42</v>
      </c>
      <c r="K25" s="26"/>
      <c r="L25" s="27" t="s">
        <v>43</v>
      </c>
      <c r="M25" s="28" t="s">
        <v>41</v>
      </c>
      <c r="N25" s="29" t="s">
        <v>42</v>
      </c>
    </row>
    <row r="26" spans="2:23" ht="24.95" customHeight="1" x14ac:dyDescent="0.25">
      <c r="B26" s="2" t="s">
        <v>27</v>
      </c>
      <c r="C26" s="4"/>
      <c r="D26" s="7"/>
      <c r="E26" s="23"/>
      <c r="F26" s="8"/>
      <c r="G26" s="4"/>
      <c r="H26" s="7"/>
      <c r="I26" s="23"/>
      <c r="J26" s="8"/>
      <c r="K26" s="4"/>
      <c r="L26" s="7"/>
      <c r="M26" s="23"/>
      <c r="N26" s="8"/>
    </row>
    <row r="27" spans="2:23" ht="24.95" customHeight="1" x14ac:dyDescent="0.25">
      <c r="B27" s="3" t="s">
        <v>28</v>
      </c>
      <c r="C27" s="4"/>
      <c r="D27" s="9">
        <f>+VLOOKUP($C$22,'KPIs - Sales Goals'!$A$3:$AP$49,$D$43,FALSE)</f>
        <v>0</v>
      </c>
      <c r="E27" s="10">
        <f>+VLOOKUP($C$22,'KPIs - Sales Goals'!$A$3:$AP$49,$C$43,FALSE)</f>
        <v>0</v>
      </c>
      <c r="F27" s="13" t="str">
        <f>IF(AND(D27&gt;0,E27&gt;0),D27/E27,IF(AND(D27&gt;0,E27=0),100%,IF(AND(D27=0,E27&gt;0),0,IF(AND(D27=0,E27=0),"***",0))))</f>
        <v>***</v>
      </c>
      <c r="G27" s="4"/>
      <c r="H27" s="9">
        <f>+VLOOKUP($C$22,'KPIs - Sales Goals'!$A$3:$AP$49,4,FALSE)</f>
        <v>0</v>
      </c>
      <c r="I27" s="10">
        <f>+VLOOKUP($C$22,'KPIs - Sales Goals'!$A$3:$AP$49,5,FALSE)</f>
        <v>0</v>
      </c>
      <c r="J27" s="13" t="str">
        <f>IF(AND(H27&gt;0,I27&gt;0),H27/I27,IF(AND(H27&gt;0,I27=0),100%,IF(AND(H27=0,I27&gt;0),0,IF(AND(H27=0,I27=0),"***",0))))</f>
        <v>***</v>
      </c>
      <c r="K27" s="4"/>
      <c r="L27" s="9">
        <f>+VLOOKUP($C$22,'Goals &amp; Budget 2026 - Updated'!$A$2:$EJ$49,19,FALSE)</f>
        <v>0</v>
      </c>
      <c r="M27" s="10">
        <f>+VLOOKUP($C$22,'Goals &amp; Budget 2026'!$A$2:$EJ$49,19,FALSE)</f>
        <v>0</v>
      </c>
      <c r="N27" s="13" t="str">
        <f>IF(AND(L27&gt;0,M27&gt;0),L27/M27,IF(AND(L27&gt;0,M27=0),100%,IF(AND(L27=0,M27&gt;0),0,IF(AND(L27=0,M27=0),"***",0))))</f>
        <v>***</v>
      </c>
      <c r="V27" s="30"/>
      <c r="W27" s="30"/>
    </row>
    <row r="28" spans="2:23" ht="24.95" customHeight="1" x14ac:dyDescent="0.25">
      <c r="B28" s="5" t="s">
        <v>30</v>
      </c>
      <c r="C28" s="4"/>
      <c r="D28" s="15"/>
      <c r="E28" s="73"/>
      <c r="F28" s="14"/>
      <c r="G28" s="4"/>
      <c r="H28" s="15"/>
      <c r="I28" s="73"/>
      <c r="J28" s="14"/>
      <c r="K28" s="4"/>
      <c r="L28" s="15"/>
      <c r="M28" s="73"/>
      <c r="N28" s="14"/>
      <c r="V28" s="30"/>
      <c r="W28" s="30"/>
    </row>
    <row r="29" spans="2:23" ht="24.95" customHeight="1" x14ac:dyDescent="0.25">
      <c r="B29" s="3" t="s">
        <v>31</v>
      </c>
      <c r="C29" s="4"/>
      <c r="D29" s="12">
        <f>+VLOOKUP($C$22,'KPIs - Income'!$A$3:$AP$49,$D$43,FALSE)</f>
        <v>0</v>
      </c>
      <c r="E29" s="24">
        <f>+VLOOKUP($C$22,'KPIs - Income'!$A$3:$AP$49,$C$43,FALSE)</f>
        <v>0</v>
      </c>
      <c r="F29" s="13" t="str">
        <f t="shared" ref="F29" si="7">IF(AND(D29&gt;0,E29&gt;0),D29/E29,IF(AND(D29&gt;0,E29=0),100%,IF(AND(D29=0,E29&gt;0),0,IF(AND(D29=0,E29=0),"***",0))))</f>
        <v>***</v>
      </c>
      <c r="G29" s="4"/>
      <c r="H29" s="12">
        <f>+VLOOKUP($C$22,'KPIs - Income'!$A$3:$AP$49,4,FALSE)</f>
        <v>0</v>
      </c>
      <c r="I29" s="24">
        <f>+VLOOKUP($C$22,'KPIs - Income'!$A$3:$AP$49,5,FALSE)</f>
        <v>0</v>
      </c>
      <c r="J29" s="13" t="str">
        <f t="shared" ref="J29" si="8">IF(AND(H29&gt;0,I29&gt;0),H29/I29,IF(AND(H29&gt;0,I29=0),100%,IF(AND(H29=0,I29&gt;0),0,IF(AND(H29=0,I29=0),"***",0))))</f>
        <v>***</v>
      </c>
      <c r="K29" s="4"/>
      <c r="L29" s="12">
        <f>+VLOOKUP($C$22,'Goals &amp; Budget 2026 - Updated'!$A$2:$EJ$49,46,FALSE)</f>
        <v>0</v>
      </c>
      <c r="M29" s="24">
        <f>+VLOOKUP($C$22,'Goals &amp; Budget 2026'!$A$2:$EJ$49,46,FALSE)</f>
        <v>0</v>
      </c>
      <c r="N29" s="13" t="str">
        <f t="shared" ref="N29" si="9">IF(AND(L29&gt;0,M29&gt;0),L29/M29,IF(AND(L29&gt;0,M29=0),100%,IF(AND(L29=0,M29&gt;0),0,IF(AND(L29=0,M29=0),"***",0))))</f>
        <v>***</v>
      </c>
      <c r="V29" s="30"/>
      <c r="W29" s="30"/>
    </row>
    <row r="30" spans="2:23" ht="24.95" customHeight="1" x14ac:dyDescent="0.25">
      <c r="B30" s="2" t="s">
        <v>45</v>
      </c>
      <c r="C30" s="4"/>
      <c r="D30" s="15"/>
      <c r="E30" s="73"/>
      <c r="F30" s="14"/>
      <c r="G30" s="4"/>
      <c r="H30" s="15"/>
      <c r="I30" s="73"/>
      <c r="J30" s="14"/>
      <c r="K30" s="4"/>
      <c r="L30" s="12"/>
      <c r="M30" s="30"/>
      <c r="N30" s="14"/>
      <c r="V30" s="30"/>
      <c r="W30" s="30"/>
    </row>
    <row r="31" spans="2:23" ht="24.95" customHeight="1" x14ac:dyDescent="0.25">
      <c r="B31" s="3" t="s">
        <v>46</v>
      </c>
      <c r="C31" s="4"/>
      <c r="D31" s="12">
        <f>+VLOOKUP($C$22,'KPIs - €Sq.M.'!$A$2:$AP$48,$D$43,FALSE)</f>
        <v>0</v>
      </c>
      <c r="E31" s="24">
        <f>+VLOOKUP($C$22,'KPIs - €Sq.M.'!$A$2:$AP$48,$C$43,FALSE)</f>
        <v>0</v>
      </c>
      <c r="F31" s="13" t="str">
        <f>IF(AND(D31&gt;0,E31&gt;0),D31/E31,IF(AND(D31&gt;0,E31=0),100%,IF(AND(D31=0,E31&gt;0),0,IF(AND(D31=0,E31=0),"***",0))))</f>
        <v>***</v>
      </c>
      <c r="G31" s="4"/>
      <c r="H31" s="12">
        <f>+VLOOKUP($C$22,'KPIs - €Sq.M.'!$A$2:$AP$48,4,FALSE)</f>
        <v>0</v>
      </c>
      <c r="I31" s="24">
        <f>+VLOOKUP($C$22,'KPIs - €Sq.M.'!$A$2:$AP$48,5,FALSE)</f>
        <v>0</v>
      </c>
      <c r="J31" s="13" t="str">
        <f t="shared" ref="J31" si="10">IF(AND(H31&gt;0,I31&gt;0),H31/I31,IF(AND(H31&gt;0,I31=0),100%,IF(AND(H31=0,I31&gt;0),0,IF(AND(H31=0,I31=0),"***",0))))</f>
        <v>***</v>
      </c>
      <c r="K31" s="4"/>
      <c r="L31" s="9">
        <f>+VLOOKUP($C$22,'Goals &amp; Budget 2026 - Updated'!$A$2:$EJ$49,33,FALSE)</f>
        <v>0</v>
      </c>
      <c r="M31" s="10">
        <f>+VLOOKUP($C$22,'Goals &amp; Budget 2026'!$A$2:$EJ$49,33,FALSE)</f>
        <v>0</v>
      </c>
      <c r="N31" s="11" t="str">
        <f t="shared" ref="N31" si="11">IF(AND(L31&gt;0,M31&gt;0),L31/M31,IF(AND(L31&gt;0,M31=0),100%,IF(AND(L31=0,M31&gt;0),0,IF(AND(L31=0,M31=0),"***",0))))</f>
        <v>***</v>
      </c>
      <c r="V31" s="30"/>
      <c r="W31" s="30"/>
    </row>
    <row r="32" spans="2:23" ht="24.95" customHeight="1" x14ac:dyDescent="0.25">
      <c r="B32" s="5" t="s">
        <v>33</v>
      </c>
      <c r="C32" s="4"/>
      <c r="D32" s="15"/>
      <c r="E32" s="16"/>
      <c r="F32" s="8"/>
      <c r="G32" s="17"/>
      <c r="H32" s="18"/>
      <c r="I32" s="19"/>
      <c r="J32" s="8"/>
      <c r="K32" s="17"/>
      <c r="L32" s="15"/>
      <c r="M32" s="16"/>
      <c r="N32" s="14"/>
      <c r="V32" s="30"/>
      <c r="W32" s="30"/>
    </row>
    <row r="33" spans="2:23" ht="24.95" customHeight="1" x14ac:dyDescent="0.25">
      <c r="B33" s="4" t="s">
        <v>34</v>
      </c>
      <c r="C33" s="4"/>
      <c r="D33" s="12">
        <f>+VLOOKUP($C$22,'KPIs - Sales Launch'!$A$2:$AP$49,$D$43,FALSE)</f>
        <v>0</v>
      </c>
      <c r="E33" s="24">
        <f>+VLOOKUP($C$22,'KPIs - Sales Launch'!$A$2:$AP$49,$C$43,FALSE)</f>
        <v>0</v>
      </c>
      <c r="F33" s="13" t="str">
        <f>IF(AND(D33&gt;0,E33&gt;0),D33/E33,IF(AND(D33&gt;0,E33=0),100%,IF(AND(D33=0,E33&gt;0),0,IF(AND(D33=0,E33=0),"***",0))))</f>
        <v>***</v>
      </c>
      <c r="G33" s="4"/>
      <c r="H33" s="12">
        <f>+VLOOKUP($C$22,'KPIs - Sales Launch'!$A$2:$AP$49,4,FALSE)</f>
        <v>0</v>
      </c>
      <c r="I33" s="24">
        <f>+VLOOKUP($C$22,'KPIs - Sales Launch'!$A$2:$AP$49,5,FALSE)</f>
        <v>0</v>
      </c>
      <c r="J33" s="13" t="str">
        <f>IF(AND(H33&gt;0,I33&gt;0),H33/I33,IF(AND(H33&gt;0,I33=0),100%,IF(AND(H33=0,I33&gt;0),0,IF(AND(H33=0,I33=0),"***",0))))</f>
        <v>***</v>
      </c>
      <c r="K33" s="4"/>
      <c r="L33" s="12">
        <f>+VLOOKUP($C$22,'Goals &amp; Budget 2026 - Updated'!$A$2:$EJ$49,59,FALSE)</f>
        <v>0</v>
      </c>
      <c r="M33" s="24">
        <f>+VLOOKUP($C$22,'Goals &amp; Budget 2026'!$A$2:$EJ$49,59,FALSE)</f>
        <v>0</v>
      </c>
      <c r="N33" s="13" t="str">
        <f>IF(AND(L33&gt;0,M33&gt;0),L33/M33,IF(AND(L33&gt;0,M33=0),100%,IF(AND(L33=0,M33&gt;0),0,IF(AND(L33=0,M33=0),"***",0))))</f>
        <v>***</v>
      </c>
      <c r="V33" s="30"/>
      <c r="W33" s="30"/>
    </row>
    <row r="34" spans="2:23" ht="24.95" customHeight="1" x14ac:dyDescent="0.25">
      <c r="B34" s="4" t="s">
        <v>35</v>
      </c>
      <c r="C34" s="4"/>
      <c r="D34" s="12">
        <f>+VLOOKUP($C$22,'KPIs - Marketing'!$A$2:$AP$49,$D$43,FALSE)</f>
        <v>0</v>
      </c>
      <c r="E34" s="24">
        <f>+VLOOKUP($C$22,'KPIs - Marketing'!$A$2:$AP$49,$C$43,FALSE)</f>
        <v>0</v>
      </c>
      <c r="F34" s="13" t="str">
        <f>IF(AND(D34&gt;0,E34&gt;0),D34/E34,IF(AND(D34&gt;0,E34=0),100%,IF(AND(D34=0,E34&gt;0),0,IF(AND(D34=0,E34=0),"***",0))))</f>
        <v>***</v>
      </c>
      <c r="G34" s="4"/>
      <c r="H34" s="12">
        <f>+VLOOKUP($C$22,'KPIs - Marketing'!$A$2:$AP$49,4,FALSE)</f>
        <v>0</v>
      </c>
      <c r="I34" s="24">
        <f>+VLOOKUP($C$22,'KPIs - Marketing'!$A$2:$AP$49,5,FALSE)</f>
        <v>0</v>
      </c>
      <c r="J34" s="13" t="str">
        <f>IF(AND(H34&gt;0,I34&gt;0),H34/I34,IF(AND(H34&gt;0,I34=0),100%,IF(AND(H34=0,I34&gt;0),0,IF(AND(H34=0,I34=0),"***",0))))</f>
        <v>***</v>
      </c>
      <c r="K34" s="4"/>
      <c r="L34" s="12">
        <f>+VLOOKUP($C$22,'Goals &amp; Budget 2026 - Updated'!$A$2:$EJ$49,74,FALSE)</f>
        <v>0</v>
      </c>
      <c r="M34" s="24">
        <f>+VLOOKUP($C$22,'Goals &amp; Budget 2026'!$A$2:$EJ$49,74,FALSE)</f>
        <v>0</v>
      </c>
      <c r="N34" s="13" t="str">
        <f>IF(AND(L34&gt;0,M34&gt;0),L34/M34,IF(AND(L34&gt;0,M34=0),100%,IF(AND(L34=0,M34&gt;0),0,IF(AND(L34=0,M34=0),"***",0))))</f>
        <v>***</v>
      </c>
      <c r="V34" s="30"/>
      <c r="W34" s="30"/>
    </row>
    <row r="35" spans="2:23" ht="24.95" customHeight="1" x14ac:dyDescent="0.25">
      <c r="B35" s="4" t="s">
        <v>36</v>
      </c>
      <c r="C35" s="4"/>
      <c r="D35" s="12">
        <f>+VLOOKUP($C$22,'KPIs - Schematics'!$A$2:$AP$49,$D$43,FALSE)</f>
        <v>0</v>
      </c>
      <c r="E35" s="24">
        <f>+VLOOKUP($C$22,'KPIs - Schematics'!$A$2:$AP$49,$C$43,FALSE)</f>
        <v>0</v>
      </c>
      <c r="F35" s="13" t="str">
        <f>IF(AND(D35&gt;0,E35&gt;0),D35/E35,IF(AND(D35&gt;0,E35=0),100%,IF(AND(D35=0,E35&gt;0),0,IF(AND(D35=0,E35=0),"***",0))))</f>
        <v>***</v>
      </c>
      <c r="G35" s="4"/>
      <c r="H35" s="12">
        <f>+VLOOKUP($C$22,'KPIs - Schematics'!$A$2:$AP$49,4,FALSE)</f>
        <v>0</v>
      </c>
      <c r="I35" s="24">
        <f>+VLOOKUP($C$22,'KPIs - Schematics'!$A$2:$AP$49,5,FALSE)</f>
        <v>0</v>
      </c>
      <c r="J35" s="13" t="str">
        <f>IF(AND(H35&gt;0,I35&gt;0),H35/I35,IF(AND(H35&gt;0,I35=0),100%,IF(AND(H35=0,I35&gt;0),0,IF(AND(H35=0,I35=0),"***",0))))</f>
        <v>***</v>
      </c>
      <c r="K35" s="4"/>
      <c r="L35" s="12">
        <f>+VLOOKUP($C$22,'Goals &amp; Budget 2026 - Updated'!$A$2:$EJ$49,89,FALSE)</f>
        <v>0</v>
      </c>
      <c r="M35" s="24">
        <f>+VLOOKUP($C$22,'Goals &amp; Budget 2026'!$A$2:$EJ$49,89,FALSE)</f>
        <v>0</v>
      </c>
      <c r="N35" s="13" t="str">
        <f>IF(AND(L35&gt;0,M35&gt;0),L35/M35,IF(AND(L35&gt;0,M35=0),100%,IF(AND(L35=0,M35&gt;0),0,IF(AND(L35=0,M35=0),"***",0))))</f>
        <v>***</v>
      </c>
      <c r="V35" s="30"/>
      <c r="W35" s="30"/>
    </row>
    <row r="36" spans="2:23" ht="24.95" customHeight="1" x14ac:dyDescent="0.25">
      <c r="B36" s="4" t="s">
        <v>37</v>
      </c>
      <c r="C36" s="4"/>
      <c r="D36" s="12">
        <f>+VLOOKUP($C$22,'KPIs - Tender'!$A$2:$AP$49,$D$43,FALSE)</f>
        <v>0</v>
      </c>
      <c r="E36" s="24">
        <f>+VLOOKUP($C$22,'KPIs - Tender'!$A$2:$AP$49,$C$43,FALSE)</f>
        <v>0</v>
      </c>
      <c r="F36" s="13" t="str">
        <f>IF(AND(D36&gt;0,E36&gt;0),D36/E36,IF(AND(D36&gt;0,E36=0),100%,IF(AND(D36=0,E36&gt;0),0,IF(AND(D36=0,E36=0),"***",0))))</f>
        <v>***</v>
      </c>
      <c r="G36" s="4"/>
      <c r="H36" s="12">
        <f>+VLOOKUP($C$22,'KPIs - Tender'!$A$2:$AP$49,4,FALSE)</f>
        <v>0</v>
      </c>
      <c r="I36" s="24">
        <f>+VLOOKUP($C$22,'KPIs - Tender'!$A$2:$AP$49,5,FALSE)</f>
        <v>0</v>
      </c>
      <c r="J36" s="13" t="str">
        <f>IF(AND(H36&gt;0,I36&gt;0),H36/I36,IF(AND(H36&gt;0,I36=0),100%,IF(AND(H36=0,I36&gt;0),0,IF(AND(H36=0,I36=0),"***",0))))</f>
        <v>***</v>
      </c>
      <c r="K36" s="4"/>
      <c r="L36" s="12">
        <f>+VLOOKUP($C$22,'Goals &amp; Budget 2026 - Updated'!$A$2:$EJ$49,102,FALSE)</f>
        <v>0</v>
      </c>
      <c r="M36" s="24">
        <f>+VLOOKUP($C$22,'Goals &amp; Budget 2026'!$A$2:$EJ$49,102,FALSE)</f>
        <v>0</v>
      </c>
      <c r="N36" s="13" t="str">
        <f>IF(AND(L36&gt;0,M36&gt;0),L36/M36,IF(AND(L36&gt;0,M36=0),100%,IF(AND(L36=0,M36&gt;0),0,IF(AND(L36=0,M36=0),"***",0))))</f>
        <v>***</v>
      </c>
      <c r="V36" s="30"/>
      <c r="W36" s="30"/>
    </row>
    <row r="37" spans="2:23" ht="24.95" customHeight="1" x14ac:dyDescent="0.25">
      <c r="B37" s="4" t="s">
        <v>38</v>
      </c>
      <c r="C37" s="4"/>
      <c r="D37" s="12">
        <f>+VLOOKUP($C$22,'KPIs - Construction Start'!$A$2:$AP$49,$D$43,FALSE)</f>
        <v>0</v>
      </c>
      <c r="E37" s="24">
        <f>+VLOOKUP($C$22,'KPIs - Construction Start'!$A$2:$AP$49,$C$43,FALSE)</f>
        <v>0</v>
      </c>
      <c r="F37" s="13" t="str">
        <f t="shared" ref="F37:F40" si="12">IF(AND(D37&gt;0,E37&gt;0),D37/E37,IF(AND(D37&gt;0,E37=0),100%,IF(AND(D37=0,E37&gt;0),0,IF(AND(D37=0,E37=0),"***",0))))</f>
        <v>***</v>
      </c>
      <c r="G37" s="4"/>
      <c r="H37" s="12">
        <f>+VLOOKUP($C$22,'KPIs - Construction Start'!$A$2:$AP$49,4,FALSE)</f>
        <v>0</v>
      </c>
      <c r="I37" s="24">
        <f>+VLOOKUP($C$22,'KPIs - Construction Start'!$A$2:$AP$49,5,FALSE)</f>
        <v>0</v>
      </c>
      <c r="J37" s="13" t="str">
        <f t="shared" ref="J37:J40" si="13">IF(AND(H37&gt;0,I37&gt;0),H37/I37,IF(AND(H37&gt;0,I37=0),100%,IF(AND(H37=0,I37&gt;0),0,IF(AND(H37=0,I37=0),"***",0))))</f>
        <v>***</v>
      </c>
      <c r="K37" s="4"/>
      <c r="L37" s="12">
        <f>+VLOOKUP($C$22,'Goals &amp; Budget 2026 - Updated'!$A$2:$EJ$49,115,FALSE)</f>
        <v>0</v>
      </c>
      <c r="M37" s="24">
        <f>+VLOOKUP($C$22,'Goals &amp; Budget 2026'!$A$2:$EJ$49,115,FALSE)</f>
        <v>0</v>
      </c>
      <c r="N37" s="13" t="str">
        <f t="shared" ref="N37:N40" si="14">IF(AND(L37&gt;0,M37&gt;0),L37/M37,IF(AND(L37&gt;0,M37=0),100%,IF(AND(L37=0,M37&gt;0),0,IF(AND(L37=0,M37=0),"***",0))))</f>
        <v>***</v>
      </c>
    </row>
    <row r="38" spans="2:23" ht="24.95" customHeight="1" x14ac:dyDescent="0.25">
      <c r="B38" s="4" t="s">
        <v>48</v>
      </c>
      <c r="C38" s="4"/>
      <c r="D38" s="150">
        <f>+VLOOKUP($C$22,'KPIs - Construction %'!$A$2:$AP$47,$D$43,FALSE)</f>
        <v>0</v>
      </c>
      <c r="E38" s="151">
        <f>+VLOOKUP($C$22,'KPIs - Construction %'!$A$2:$AP$47,$C$43,FALSE)</f>
        <v>0.52</v>
      </c>
      <c r="F38" s="13">
        <f t="shared" ref="F38:F39" si="15">IF(AND(D38&gt;0,E38&gt;0),D38/E38,IF(AND(D38&gt;0,E38=0),100%,IF(AND(D38=0,E38&gt;0),0,IF(AND(D38=0,E38=0),"***",0))))</f>
        <v>0</v>
      </c>
      <c r="G38" s="4"/>
      <c r="H38" s="153"/>
      <c r="I38" s="154"/>
      <c r="J38" s="155"/>
      <c r="K38" s="4"/>
      <c r="L38" s="150">
        <f>+VLOOKUP($C$22,'Goals &amp; Budget 2026 - Updated'!$A$2:$EJ$49,127,FALSE)</f>
        <v>0</v>
      </c>
      <c r="M38" s="151">
        <f>+VLOOKUP($C$22,'Goals &amp; Budget 2026'!$A$2:$EJ$49,127,FALSE)</f>
        <v>0</v>
      </c>
      <c r="N38" s="13" t="str">
        <f t="shared" ref="N38:N39" si="16">IF(AND(L38&gt;0,M38&gt;0),L38/M38,IF(AND(L38&gt;0,M38=0),100%,IF(AND(L38=0,M38&gt;0),0,IF(AND(L38=0,M38=0),"***",0))))</f>
        <v>***</v>
      </c>
    </row>
    <row r="39" spans="2:23" ht="24.95" customHeight="1" x14ac:dyDescent="0.25">
      <c r="B39" s="4" t="s">
        <v>39</v>
      </c>
      <c r="C39" s="4"/>
      <c r="D39" s="12">
        <f>+VLOOKUP($C$22,'KPIs- Handover'!$A$2:$AP$49,$D$43,FALSE)</f>
        <v>0</v>
      </c>
      <c r="E39" s="24">
        <f>+VLOOKUP($C$22,'KPIs- Handover'!$A$2:$AP$49,$C$43,FALSE)</f>
        <v>0</v>
      </c>
      <c r="F39" s="13" t="str">
        <f t="shared" si="15"/>
        <v>***</v>
      </c>
      <c r="G39" s="4"/>
      <c r="H39" s="12">
        <f>+VLOOKUP($C$22,'KPIs- Handover'!$A$2:$AP$49,4,FALSE)</f>
        <v>0</v>
      </c>
      <c r="I39" s="24">
        <f>+VLOOKUP($C$22,'KPIs- Handover'!$A$2:$AP$49,5,FALSE)</f>
        <v>0</v>
      </c>
      <c r="J39" s="13" t="str">
        <f t="shared" ref="J39" si="17">IF(AND(H39&gt;0,I39&gt;0),H39/I39,IF(AND(H39&gt;0,I39=0),100%,IF(AND(H39=0,I39&gt;0),0,IF(AND(H39=0,I39=0),"***",0))))</f>
        <v>***</v>
      </c>
      <c r="K39" s="4"/>
      <c r="L39" s="12">
        <f>+VLOOKUP($C$22,'Goals &amp; Budget 2026 - Updated'!$A$2:$EJ$49,140,FALSE)</f>
        <v>0</v>
      </c>
      <c r="M39" s="24">
        <f>+VLOOKUP($C$22,'Goals &amp; Budget 2026'!$A$2:$EJ$49,140,FALSE)</f>
        <v>62</v>
      </c>
      <c r="N39" s="13">
        <f t="shared" si="16"/>
        <v>0</v>
      </c>
    </row>
    <row r="40" spans="2:23" ht="24.95" customHeight="1" thickBot="1" x14ac:dyDescent="0.3">
      <c r="B40" s="6" t="s">
        <v>94</v>
      </c>
      <c r="C40" s="4"/>
      <c r="D40" s="20">
        <f>+VLOOKUP($C$22,'KPIs- Deeds'!$A$2:$AP$43,$D$43,FALSE)</f>
        <v>0</v>
      </c>
      <c r="E40" s="21">
        <f>+VLOOKUP($C$22,'KPIs- Deeds'!$A$2:$AP$43,$C$43,FALSE)</f>
        <v>0</v>
      </c>
      <c r="F40" s="22" t="str">
        <f t="shared" si="12"/>
        <v>***</v>
      </c>
      <c r="G40" s="4"/>
      <c r="H40" s="20">
        <f>+VLOOKUP($C$22,'KPIs- Deeds'!$A$2:$AP$43,4,FALSE)</f>
        <v>0</v>
      </c>
      <c r="I40" s="21">
        <f>+VLOOKUP($C$22,'KPIs- Deeds'!$A$2:$AP$43,5,FALSE)</f>
        <v>0</v>
      </c>
      <c r="J40" s="22" t="str">
        <f t="shared" si="13"/>
        <v>***</v>
      </c>
      <c r="K40" s="4"/>
      <c r="L40" s="20">
        <f>+VLOOKUP($C$22,'Goals &amp; Budget 2026 - Updated'!$A$2:$EW$49,153,FALSE)</f>
        <v>0</v>
      </c>
      <c r="M40" s="21">
        <f>+VLOOKUP($C$22,'Goals &amp; Budget 2026'!$A$2:$EW$49,153,FALSE)</f>
        <v>0</v>
      </c>
      <c r="N40" s="22" t="str">
        <f t="shared" si="14"/>
        <v>***</v>
      </c>
    </row>
    <row r="42" spans="2:23" ht="24.95" customHeight="1" x14ac:dyDescent="0.25">
      <c r="B42" s="33" t="s">
        <v>61</v>
      </c>
      <c r="C42" s="31"/>
      <c r="D42" s="31"/>
    </row>
    <row r="43" spans="2:23" ht="24.95" customHeight="1" x14ac:dyDescent="0.25">
      <c r="B43" s="34" t="s">
        <v>49</v>
      </c>
      <c r="C43" s="32">
        <f>+VLOOKUP(B43,B44:C55,2,FALSE)</f>
        <v>8</v>
      </c>
      <c r="D43" s="32">
        <f>+VLOOKUP(B43,B44:D55,3,FALSE)</f>
        <v>7</v>
      </c>
    </row>
    <row r="44" spans="2:23" ht="24.95" hidden="1" customHeight="1" x14ac:dyDescent="0.25">
      <c r="B44" s="23" t="s">
        <v>49</v>
      </c>
      <c r="C44" s="30">
        <v>8</v>
      </c>
      <c r="D44" s="30">
        <v>7</v>
      </c>
    </row>
    <row r="45" spans="2:23" ht="24.95" hidden="1" customHeight="1" x14ac:dyDescent="0.25">
      <c r="B45" s="23" t="s">
        <v>50</v>
      </c>
      <c r="C45" s="30">
        <v>11</v>
      </c>
      <c r="D45" s="30">
        <v>10</v>
      </c>
    </row>
    <row r="46" spans="2:23" ht="24.95" hidden="1" customHeight="1" x14ac:dyDescent="0.25">
      <c r="B46" s="23" t="s">
        <v>51</v>
      </c>
      <c r="C46" s="30">
        <v>14</v>
      </c>
      <c r="D46" s="30">
        <v>13</v>
      </c>
    </row>
    <row r="47" spans="2:23" ht="24.95" hidden="1" customHeight="1" x14ac:dyDescent="0.25">
      <c r="B47" s="23" t="s">
        <v>52</v>
      </c>
      <c r="C47" s="30">
        <f t="shared" ref="C47:C55" si="18">+C46+3</f>
        <v>17</v>
      </c>
      <c r="D47" s="30">
        <v>16</v>
      </c>
    </row>
    <row r="48" spans="2:23" ht="24.95" hidden="1" customHeight="1" x14ac:dyDescent="0.25">
      <c r="B48" s="23" t="s">
        <v>53</v>
      </c>
      <c r="C48" s="30">
        <f t="shared" si="18"/>
        <v>20</v>
      </c>
      <c r="D48" s="30">
        <v>19</v>
      </c>
    </row>
    <row r="49" spans="2:4" ht="24.95" hidden="1" customHeight="1" x14ac:dyDescent="0.25">
      <c r="B49" s="23" t="s">
        <v>54</v>
      </c>
      <c r="C49" s="30">
        <f t="shared" si="18"/>
        <v>23</v>
      </c>
      <c r="D49" s="30">
        <v>22</v>
      </c>
    </row>
    <row r="50" spans="2:4" ht="24.95" hidden="1" customHeight="1" x14ac:dyDescent="0.25">
      <c r="B50" s="23" t="s">
        <v>55</v>
      </c>
      <c r="C50" s="30">
        <f t="shared" si="18"/>
        <v>26</v>
      </c>
      <c r="D50" s="30">
        <v>25</v>
      </c>
    </row>
    <row r="51" spans="2:4" ht="24.95" hidden="1" customHeight="1" x14ac:dyDescent="0.25">
      <c r="B51" s="23" t="s">
        <v>56</v>
      </c>
      <c r="C51" s="30">
        <f t="shared" si="18"/>
        <v>29</v>
      </c>
      <c r="D51" s="30">
        <v>28</v>
      </c>
    </row>
    <row r="52" spans="2:4" ht="24.95" hidden="1" customHeight="1" x14ac:dyDescent="0.25">
      <c r="B52" s="23" t="s">
        <v>57</v>
      </c>
      <c r="C52" s="30">
        <f t="shared" si="18"/>
        <v>32</v>
      </c>
      <c r="D52" s="30">
        <v>31</v>
      </c>
    </row>
    <row r="53" spans="2:4" ht="24.95" hidden="1" customHeight="1" x14ac:dyDescent="0.25">
      <c r="B53" s="23" t="s">
        <v>58</v>
      </c>
      <c r="C53" s="30">
        <f t="shared" si="18"/>
        <v>35</v>
      </c>
      <c r="D53" s="30">
        <v>34</v>
      </c>
    </row>
    <row r="54" spans="2:4" ht="24.95" hidden="1" customHeight="1" x14ac:dyDescent="0.25">
      <c r="B54" s="23" t="s">
        <v>59</v>
      </c>
      <c r="C54" s="30">
        <f t="shared" si="18"/>
        <v>38</v>
      </c>
      <c r="D54" s="30">
        <v>37</v>
      </c>
    </row>
    <row r="55" spans="2:4" ht="24.95" hidden="1" customHeight="1" x14ac:dyDescent="0.25">
      <c r="B55" s="23" t="s">
        <v>60</v>
      </c>
      <c r="C55" s="30">
        <f t="shared" si="18"/>
        <v>41</v>
      </c>
      <c r="D55" s="30">
        <v>40</v>
      </c>
    </row>
    <row r="56" spans="2:4" ht="24.95" customHeight="1" x14ac:dyDescent="0.25">
      <c r="D56" s="23"/>
    </row>
  </sheetData>
  <mergeCells count="10">
    <mergeCell ref="H38:J38"/>
    <mergeCell ref="B2:B3"/>
    <mergeCell ref="H2:J2"/>
    <mergeCell ref="L2:N2"/>
    <mergeCell ref="B24:B25"/>
    <mergeCell ref="D24:F24"/>
    <mergeCell ref="H24:J24"/>
    <mergeCell ref="L24:N24"/>
    <mergeCell ref="C22:N22"/>
    <mergeCell ref="D2:E2"/>
  </mergeCells>
  <conditionalFormatting sqref="F5:F19 J5:J19 N5:N19 J27 F27:F40 N27:N40 J29 J31 J33:J37 J39:J40">
    <cfRule type="cellIs" dxfId="24" priority="1" stopIfTrue="1" operator="equal">
      <formula>"***"</formula>
    </cfRule>
    <cfRule type="cellIs" dxfId="23" priority="2" operator="greaterThanOrEqual">
      <formula>1</formula>
    </cfRule>
    <cfRule type="cellIs" dxfId="22" priority="3" operator="lessThan">
      <formula>1</formula>
    </cfRule>
  </conditionalFormatting>
  <dataValidations count="1">
    <dataValidation type="list" allowBlank="1" showInputMessage="1" showErrorMessage="1" sqref="B43 F2" xr:uid="{B4B1BBCF-7771-4CDB-898D-81EF6AFA166A}">
      <formula1>$B$44:$B$55</formula1>
    </dataValidation>
  </dataValidations>
  <pageMargins left="0.7" right="0.7" top="0.75" bottom="0.75" header="0.3" footer="0.3"/>
  <pageSetup paperSize="9" orientation="landscape" r:id="rId1"/>
  <ignoredErrors>
    <ignoredError sqref="F18 J18 N18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C2964F-A319-4E26-A85A-606FF8DA817B}">
          <x14:formula1>
            <xm:f>'Goals &amp; Budget 2026'!$A$3:$A$47</xm:f>
          </x14:formula1>
          <xm:sqref>C22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B32B-142D-4B20-ADED-04AEFFF2E168}">
  <sheetPr>
    <tabColor theme="9"/>
    <pageSetUpPr fitToPage="1"/>
  </sheetPr>
  <dimension ref="A1:EW49"/>
  <sheetViews>
    <sheetView showGridLines="0" tabSelected="1" zoomScaleNormal="100" workbookViewId="0">
      <pane xSplit="3" ySplit="2" topLeftCell="BY29" activePane="bottomRight" state="frozen"/>
      <selection activeCell="DI15" sqref="DI15"/>
      <selection pane="topRight" activeCell="DI15" sqref="DI15"/>
      <selection pane="bottomLeft" activeCell="DI15" sqref="DI15"/>
      <selection pane="bottomRight" activeCell="CZ32" sqref="CZ32"/>
    </sheetView>
  </sheetViews>
  <sheetFormatPr defaultRowHeight="20.100000000000001" customHeight="1" x14ac:dyDescent="0.25"/>
  <cols>
    <col min="1" max="1" width="20.42578125" style="30" bestFit="1" customWidth="1"/>
    <col min="2" max="2" width="7.140625" style="30" customWidth="1"/>
    <col min="3" max="3" width="8.140625" style="30" bestFit="1" customWidth="1"/>
    <col min="4" max="4" width="6.85546875" style="30" hidden="1" customWidth="1"/>
    <col min="5" max="6" width="7.28515625" style="30" hidden="1" customWidth="1"/>
    <col min="7" max="7" width="7" style="30" hidden="1" customWidth="1"/>
    <col min="8" max="8" width="7.42578125" style="30" hidden="1" customWidth="1"/>
    <col min="9" max="9" width="7" style="30" hidden="1" customWidth="1"/>
    <col min="10" max="10" width="6.42578125" style="30" hidden="1" customWidth="1"/>
    <col min="11" max="12" width="7.28515625" style="30" hidden="1" customWidth="1"/>
    <col min="13" max="13" width="7" style="30" hidden="1" customWidth="1"/>
    <col min="14" max="15" width="7.42578125" style="30" hidden="1" customWidth="1"/>
    <col min="16" max="16" width="5.42578125" style="30" hidden="1" customWidth="1"/>
    <col min="17" max="17" width="12.7109375" style="30" hidden="1" customWidth="1"/>
    <col min="18" max="18" width="16" style="30" hidden="1" customWidth="1"/>
    <col min="19" max="19" width="14.5703125" style="30" hidden="1" customWidth="1"/>
    <col min="20" max="20" width="6.85546875" style="30" hidden="1" customWidth="1"/>
    <col min="21" max="22" width="7.28515625" style="30" hidden="1" customWidth="1"/>
    <col min="23" max="23" width="7" style="30" hidden="1" customWidth="1"/>
    <col min="24" max="24" width="7.42578125" style="30" hidden="1" customWidth="1"/>
    <col min="25" max="25" width="7" style="30" hidden="1" customWidth="1"/>
    <col min="26" max="26" width="6.42578125" style="30" hidden="1" customWidth="1"/>
    <col min="27" max="28" width="7.28515625" style="30" hidden="1" customWidth="1"/>
    <col min="29" max="29" width="7" style="30" hidden="1" customWidth="1"/>
    <col min="30" max="31" width="7.42578125" style="30" hidden="1" customWidth="1"/>
    <col min="32" max="32" width="10.7109375" style="30" hidden="1" customWidth="1"/>
    <col min="33" max="33" width="13.28515625" style="30" hidden="1" customWidth="1"/>
    <col min="34" max="46" width="7.5703125" style="30" hidden="1" customWidth="1"/>
    <col min="47" max="49" width="11.42578125" style="30" hidden="1" customWidth="1"/>
    <col min="50" max="52" width="10.28515625" style="30" hidden="1" customWidth="1"/>
    <col min="53" max="57" width="11.42578125" style="30" hidden="1" customWidth="1"/>
    <col min="58" max="58" width="10.28515625" style="30" hidden="1" customWidth="1"/>
    <col min="59" max="59" width="12.5703125" style="30" hidden="1" customWidth="1"/>
    <col min="60" max="60" width="13.7109375" style="30" hidden="1" customWidth="1"/>
    <col min="61" max="61" width="10.28515625" style="30" hidden="1" customWidth="1"/>
    <col min="62" max="62" width="7.5703125" style="30" hidden="1" customWidth="1"/>
    <col min="63" max="64" width="7.28515625" style="30" hidden="1" customWidth="1"/>
    <col min="65" max="65" width="7" style="30" hidden="1" customWidth="1"/>
    <col min="66" max="66" width="8.7109375" style="30" hidden="1" customWidth="1"/>
    <col min="67" max="68" width="7.5703125" style="30" hidden="1" customWidth="1"/>
    <col min="69" max="70" width="7.28515625" style="30" hidden="1" customWidth="1"/>
    <col min="71" max="71" width="7.5703125" style="30" hidden="1" customWidth="1"/>
    <col min="72" max="73" width="7.42578125" style="30" hidden="1" customWidth="1"/>
    <col min="74" max="74" width="8.7109375" style="30" hidden="1" customWidth="1"/>
    <col min="75" max="75" width="13.28515625" style="30" hidden="1" customWidth="1"/>
    <col min="76" max="76" width="11.42578125" style="30" hidden="1" customWidth="1"/>
    <col min="77" max="77" width="6.85546875" style="30" customWidth="1"/>
    <col min="78" max="79" width="7.28515625" style="30" customWidth="1"/>
    <col min="80" max="80" width="7" style="30" customWidth="1"/>
    <col min="81" max="81" width="7.42578125" style="30" customWidth="1"/>
    <col min="82" max="82" width="7" style="30" customWidth="1"/>
    <col min="83" max="83" width="6.42578125" style="30" customWidth="1"/>
    <col min="84" max="85" width="7.28515625" style="30" customWidth="1"/>
    <col min="86" max="86" width="7" style="30" customWidth="1"/>
    <col min="87" max="88" width="7.42578125" style="30" customWidth="1"/>
    <col min="89" max="89" width="5.42578125" style="30" customWidth="1"/>
    <col min="90" max="90" width="6.85546875" style="30" hidden="1" customWidth="1"/>
    <col min="91" max="92" width="7.28515625" style="30" hidden="1" customWidth="1"/>
    <col min="93" max="93" width="7" style="30" hidden="1" customWidth="1"/>
    <col min="94" max="94" width="7.42578125" style="30" hidden="1" customWidth="1"/>
    <col min="95" max="95" width="7" style="30" hidden="1" customWidth="1"/>
    <col min="96" max="96" width="6.42578125" style="30" hidden="1" customWidth="1"/>
    <col min="97" max="98" width="7.28515625" style="30" hidden="1" customWidth="1"/>
    <col min="99" max="99" width="7" style="30" hidden="1" customWidth="1"/>
    <col min="100" max="101" width="7.42578125" style="30" hidden="1" customWidth="1"/>
    <col min="102" max="102" width="4.85546875" style="30" hidden="1" customWidth="1"/>
    <col min="103" max="103" width="6.85546875" style="30" customWidth="1"/>
    <col min="104" max="105" width="7.28515625" style="30" customWidth="1"/>
    <col min="106" max="106" width="7" style="30" customWidth="1"/>
    <col min="107" max="107" width="7.42578125" style="30" customWidth="1"/>
    <col min="108" max="108" width="7" style="30" customWidth="1"/>
    <col min="109" max="109" width="6.42578125" style="30" customWidth="1"/>
    <col min="110" max="111" width="7.28515625" style="30" customWidth="1"/>
    <col min="112" max="112" width="6.28515625" style="30" bestFit="1" customWidth="1"/>
    <col min="113" max="114" width="6.5703125" style="30" bestFit="1" customWidth="1"/>
    <col min="115" max="115" width="4.85546875" style="30" bestFit="1" customWidth="1"/>
    <col min="116" max="116" width="6.85546875" style="30" hidden="1" customWidth="1"/>
    <col min="117" max="118" width="7.28515625" style="30" hidden="1" customWidth="1"/>
    <col min="119" max="119" width="7" style="30" hidden="1" customWidth="1"/>
    <col min="120" max="120" width="7.42578125" style="30" hidden="1" customWidth="1"/>
    <col min="121" max="121" width="7" style="30" hidden="1" customWidth="1"/>
    <col min="122" max="122" width="6.5703125" style="30" hidden="1" customWidth="1"/>
    <col min="123" max="124" width="7.28515625" style="30" hidden="1" customWidth="1"/>
    <col min="125" max="125" width="7" style="30" hidden="1" customWidth="1"/>
    <col min="126" max="126" width="7.42578125" style="30" hidden="1" customWidth="1"/>
    <col min="127" max="127" width="6.5703125" style="30" hidden="1" customWidth="1"/>
    <col min="128" max="128" width="6.85546875" style="30" customWidth="1"/>
    <col min="129" max="130" width="7.28515625" style="30" customWidth="1"/>
    <col min="131" max="131" width="7" style="30" customWidth="1"/>
    <col min="132" max="132" width="7.42578125" style="30" customWidth="1"/>
    <col min="133" max="133" width="7" style="30" customWidth="1"/>
    <col min="134" max="134" width="6.42578125" style="30" customWidth="1"/>
    <col min="135" max="136" width="7.28515625" style="30" customWidth="1"/>
    <col min="137" max="137" width="7" style="30" customWidth="1"/>
    <col min="138" max="139" width="7.42578125" style="30" customWidth="1"/>
    <col min="140" max="140" width="5.42578125" style="30" customWidth="1"/>
    <col min="141" max="16384" width="9.140625" style="30"/>
  </cols>
  <sheetData>
    <row r="1" spans="1:153" ht="20.100000000000001" customHeight="1" x14ac:dyDescent="0.25">
      <c r="A1" s="169" t="s">
        <v>17</v>
      </c>
      <c r="B1" s="170"/>
      <c r="C1" s="171"/>
      <c r="D1" s="188" t="s">
        <v>2</v>
      </c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90"/>
      <c r="Q1" s="198" t="s">
        <v>66</v>
      </c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5" t="s">
        <v>14</v>
      </c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7"/>
      <c r="AU1" s="200" t="s">
        <v>15</v>
      </c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1"/>
      <c r="BH1" s="178" t="s">
        <v>3</v>
      </c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80"/>
      <c r="BY1" s="183" t="s">
        <v>4</v>
      </c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2"/>
      <c r="CL1" s="169" t="s">
        <v>5</v>
      </c>
      <c r="CM1" s="170"/>
      <c r="CN1" s="170"/>
      <c r="CO1" s="170"/>
      <c r="CP1" s="170"/>
      <c r="CQ1" s="170"/>
      <c r="CR1" s="170"/>
      <c r="CS1" s="170"/>
      <c r="CT1" s="170"/>
      <c r="CU1" s="170"/>
      <c r="CV1" s="170"/>
      <c r="CW1" s="170"/>
      <c r="CX1" s="171"/>
      <c r="CY1" s="183" t="s">
        <v>6</v>
      </c>
      <c r="CZ1" s="161"/>
      <c r="DA1" s="161"/>
      <c r="DB1" s="161"/>
      <c r="DC1" s="161"/>
      <c r="DD1" s="161"/>
      <c r="DE1" s="161"/>
      <c r="DF1" s="161"/>
      <c r="DG1" s="161"/>
      <c r="DH1" s="161"/>
      <c r="DI1" s="161"/>
      <c r="DJ1" s="161"/>
      <c r="DK1" s="162"/>
      <c r="DL1" s="169" t="s">
        <v>7</v>
      </c>
      <c r="DM1" s="170"/>
      <c r="DN1" s="170"/>
      <c r="DO1" s="170"/>
      <c r="DP1" s="170"/>
      <c r="DQ1" s="170"/>
      <c r="DR1" s="170"/>
      <c r="DS1" s="170"/>
      <c r="DT1" s="170"/>
      <c r="DU1" s="170"/>
      <c r="DV1" s="170"/>
      <c r="DW1" s="171"/>
      <c r="DX1" s="161" t="s">
        <v>8</v>
      </c>
      <c r="DY1" s="161"/>
      <c r="DZ1" s="161"/>
      <c r="EA1" s="161"/>
      <c r="EB1" s="161"/>
      <c r="EC1" s="161"/>
      <c r="ED1" s="161"/>
      <c r="EE1" s="161"/>
      <c r="EF1" s="161"/>
      <c r="EG1" s="161"/>
      <c r="EH1" s="161"/>
      <c r="EI1" s="161"/>
      <c r="EJ1" s="162"/>
      <c r="EK1" s="161" t="s">
        <v>67</v>
      </c>
      <c r="EL1" s="161"/>
      <c r="EM1" s="161"/>
      <c r="EN1" s="161"/>
      <c r="EO1" s="161"/>
      <c r="EP1" s="161"/>
      <c r="EQ1" s="161"/>
      <c r="ER1" s="161"/>
      <c r="ES1" s="161"/>
      <c r="ET1" s="161"/>
      <c r="EU1" s="161"/>
      <c r="EV1" s="161"/>
      <c r="EW1" s="162"/>
    </row>
    <row r="2" spans="1:153" ht="20.100000000000001" customHeight="1" thickBot="1" x14ac:dyDescent="0.3">
      <c r="A2" s="86" t="s">
        <v>0</v>
      </c>
      <c r="B2" s="87" t="s">
        <v>22</v>
      </c>
      <c r="C2" s="88" t="s">
        <v>1</v>
      </c>
      <c r="D2" s="95">
        <v>46023</v>
      </c>
      <c r="E2" s="96">
        <v>46054</v>
      </c>
      <c r="F2" s="97">
        <v>46082</v>
      </c>
      <c r="G2" s="96">
        <v>46113</v>
      </c>
      <c r="H2" s="96">
        <v>46143</v>
      </c>
      <c r="I2" s="97">
        <v>46174</v>
      </c>
      <c r="J2" s="96">
        <v>46204</v>
      </c>
      <c r="K2" s="96">
        <v>46235</v>
      </c>
      <c r="L2" s="97">
        <v>46266</v>
      </c>
      <c r="M2" s="96">
        <v>46296</v>
      </c>
      <c r="N2" s="96">
        <v>46327</v>
      </c>
      <c r="O2" s="97">
        <v>46357</v>
      </c>
      <c r="P2" s="98" t="s">
        <v>12</v>
      </c>
      <c r="Q2" s="89" t="s">
        <v>96</v>
      </c>
      <c r="R2" s="90" t="s">
        <v>64</v>
      </c>
      <c r="S2" s="91" t="s">
        <v>65</v>
      </c>
      <c r="T2" s="92">
        <v>46023</v>
      </c>
      <c r="U2" s="92">
        <v>46054</v>
      </c>
      <c r="V2" s="93">
        <v>46082</v>
      </c>
      <c r="W2" s="92">
        <v>46113</v>
      </c>
      <c r="X2" s="92">
        <v>46143</v>
      </c>
      <c r="Y2" s="93">
        <v>46174</v>
      </c>
      <c r="Z2" s="92">
        <v>46204</v>
      </c>
      <c r="AA2" s="92">
        <v>46235</v>
      </c>
      <c r="AB2" s="93">
        <v>46266</v>
      </c>
      <c r="AC2" s="92">
        <v>46296</v>
      </c>
      <c r="AD2" s="92">
        <v>46327</v>
      </c>
      <c r="AE2" s="93">
        <v>46357</v>
      </c>
      <c r="AF2" s="94" t="s">
        <v>11</v>
      </c>
      <c r="AG2" s="90" t="s">
        <v>97</v>
      </c>
      <c r="AH2" s="99">
        <v>46023</v>
      </c>
      <c r="AI2" s="100">
        <v>46054</v>
      </c>
      <c r="AJ2" s="101">
        <v>46082</v>
      </c>
      <c r="AK2" s="100">
        <v>46113</v>
      </c>
      <c r="AL2" s="100">
        <v>46143</v>
      </c>
      <c r="AM2" s="101">
        <v>46174</v>
      </c>
      <c r="AN2" s="100">
        <v>46204</v>
      </c>
      <c r="AO2" s="100">
        <v>46235</v>
      </c>
      <c r="AP2" s="101">
        <v>46266</v>
      </c>
      <c r="AQ2" s="100">
        <v>46296</v>
      </c>
      <c r="AR2" s="100">
        <v>46327</v>
      </c>
      <c r="AS2" s="101">
        <v>46357</v>
      </c>
      <c r="AT2" s="102" t="s">
        <v>16</v>
      </c>
      <c r="AU2" s="103">
        <v>46023</v>
      </c>
      <c r="AV2" s="103">
        <v>46054</v>
      </c>
      <c r="AW2" s="104">
        <v>46082</v>
      </c>
      <c r="AX2" s="103">
        <v>46113</v>
      </c>
      <c r="AY2" s="103">
        <v>46143</v>
      </c>
      <c r="AZ2" s="104">
        <v>46174</v>
      </c>
      <c r="BA2" s="103">
        <v>46204</v>
      </c>
      <c r="BB2" s="103">
        <v>46235</v>
      </c>
      <c r="BC2" s="104">
        <v>46266</v>
      </c>
      <c r="BD2" s="103">
        <v>46296</v>
      </c>
      <c r="BE2" s="103">
        <v>46327</v>
      </c>
      <c r="BF2" s="104">
        <v>46357</v>
      </c>
      <c r="BG2" s="105" t="s">
        <v>12</v>
      </c>
      <c r="BH2" s="106" t="s">
        <v>25</v>
      </c>
      <c r="BI2" s="107" t="s">
        <v>26</v>
      </c>
      <c r="BJ2" s="108">
        <v>46023</v>
      </c>
      <c r="BK2" s="109">
        <v>46054</v>
      </c>
      <c r="BL2" s="110">
        <v>46082</v>
      </c>
      <c r="BM2" s="109">
        <v>46113</v>
      </c>
      <c r="BN2" s="109">
        <v>46143</v>
      </c>
      <c r="BO2" s="110">
        <v>46174</v>
      </c>
      <c r="BP2" s="109">
        <v>46204</v>
      </c>
      <c r="BQ2" s="109">
        <v>46235</v>
      </c>
      <c r="BR2" s="110">
        <v>46266</v>
      </c>
      <c r="BS2" s="109">
        <v>46296</v>
      </c>
      <c r="BT2" s="109">
        <v>46327</v>
      </c>
      <c r="BU2" s="110">
        <v>46357</v>
      </c>
      <c r="BV2" s="111" t="s">
        <v>12</v>
      </c>
      <c r="BW2" s="112" t="s">
        <v>24</v>
      </c>
      <c r="BX2" s="113" t="s">
        <v>26</v>
      </c>
      <c r="BY2" s="114">
        <v>46023</v>
      </c>
      <c r="BZ2" s="115">
        <v>46054</v>
      </c>
      <c r="CA2" s="116">
        <v>46082</v>
      </c>
      <c r="CB2" s="115">
        <v>46113</v>
      </c>
      <c r="CC2" s="115">
        <v>46143</v>
      </c>
      <c r="CD2" s="116">
        <v>46174</v>
      </c>
      <c r="CE2" s="115">
        <v>46204</v>
      </c>
      <c r="CF2" s="115">
        <v>46235</v>
      </c>
      <c r="CG2" s="116">
        <v>46266</v>
      </c>
      <c r="CH2" s="115">
        <v>46296</v>
      </c>
      <c r="CI2" s="115">
        <v>46327</v>
      </c>
      <c r="CJ2" s="116">
        <v>46357</v>
      </c>
      <c r="CK2" s="117" t="s">
        <v>12</v>
      </c>
      <c r="CL2" s="95">
        <v>46023</v>
      </c>
      <c r="CM2" s="96">
        <v>46054</v>
      </c>
      <c r="CN2" s="97">
        <v>46082</v>
      </c>
      <c r="CO2" s="96">
        <v>46113</v>
      </c>
      <c r="CP2" s="96">
        <v>46143</v>
      </c>
      <c r="CQ2" s="97">
        <v>46174</v>
      </c>
      <c r="CR2" s="96">
        <v>46204</v>
      </c>
      <c r="CS2" s="96">
        <v>46235</v>
      </c>
      <c r="CT2" s="97">
        <v>46266</v>
      </c>
      <c r="CU2" s="96">
        <v>46296</v>
      </c>
      <c r="CV2" s="96">
        <v>46327</v>
      </c>
      <c r="CW2" s="97">
        <v>46357</v>
      </c>
      <c r="CX2" s="98" t="s">
        <v>12</v>
      </c>
      <c r="CY2" s="114">
        <v>46023</v>
      </c>
      <c r="CZ2" s="115">
        <v>46054</v>
      </c>
      <c r="DA2" s="116">
        <v>46082</v>
      </c>
      <c r="DB2" s="115">
        <v>46113</v>
      </c>
      <c r="DC2" s="115">
        <v>46143</v>
      </c>
      <c r="DD2" s="116">
        <v>46174</v>
      </c>
      <c r="DE2" s="115">
        <v>46204</v>
      </c>
      <c r="DF2" s="115">
        <v>46235</v>
      </c>
      <c r="DG2" s="116">
        <v>46266</v>
      </c>
      <c r="DH2" s="115">
        <v>46296</v>
      </c>
      <c r="DI2" s="115">
        <v>46327</v>
      </c>
      <c r="DJ2" s="116">
        <v>46357</v>
      </c>
      <c r="DK2" s="117" t="s">
        <v>12</v>
      </c>
      <c r="DL2" s="95">
        <v>46023</v>
      </c>
      <c r="DM2" s="96">
        <v>46054</v>
      </c>
      <c r="DN2" s="97">
        <v>46082</v>
      </c>
      <c r="DO2" s="96">
        <v>46113</v>
      </c>
      <c r="DP2" s="96">
        <v>46143</v>
      </c>
      <c r="DQ2" s="97">
        <v>46174</v>
      </c>
      <c r="DR2" s="96">
        <v>46204</v>
      </c>
      <c r="DS2" s="96">
        <v>46235</v>
      </c>
      <c r="DT2" s="97">
        <v>46266</v>
      </c>
      <c r="DU2" s="96">
        <v>46296</v>
      </c>
      <c r="DV2" s="96">
        <v>46327</v>
      </c>
      <c r="DW2" s="98">
        <v>46357</v>
      </c>
      <c r="DX2" s="115">
        <v>46023</v>
      </c>
      <c r="DY2" s="115">
        <v>46054</v>
      </c>
      <c r="DZ2" s="116">
        <v>46082</v>
      </c>
      <c r="EA2" s="115">
        <v>46113</v>
      </c>
      <c r="EB2" s="115">
        <v>46143</v>
      </c>
      <c r="EC2" s="116">
        <v>46174</v>
      </c>
      <c r="ED2" s="115">
        <v>46204</v>
      </c>
      <c r="EE2" s="115">
        <v>46235</v>
      </c>
      <c r="EF2" s="116">
        <v>46266</v>
      </c>
      <c r="EG2" s="115">
        <v>46296</v>
      </c>
      <c r="EH2" s="115">
        <v>46327</v>
      </c>
      <c r="EI2" s="116">
        <v>46357</v>
      </c>
      <c r="EJ2" s="117" t="s">
        <v>12</v>
      </c>
      <c r="EK2" s="115">
        <v>46023</v>
      </c>
      <c r="EL2" s="115">
        <v>46054</v>
      </c>
      <c r="EM2" s="116">
        <v>46082</v>
      </c>
      <c r="EN2" s="115">
        <v>46113</v>
      </c>
      <c r="EO2" s="115">
        <v>46143</v>
      </c>
      <c r="EP2" s="116">
        <v>46174</v>
      </c>
      <c r="EQ2" s="115">
        <v>46204</v>
      </c>
      <c r="ER2" s="115">
        <v>46235</v>
      </c>
      <c r="ES2" s="116">
        <v>46266</v>
      </c>
      <c r="ET2" s="115">
        <v>46296</v>
      </c>
      <c r="EU2" s="115">
        <v>46327</v>
      </c>
      <c r="EV2" s="116">
        <v>46357</v>
      </c>
      <c r="EW2" s="117" t="s">
        <v>12</v>
      </c>
    </row>
    <row r="3" spans="1:153" ht="20.100000000000001" customHeight="1" x14ac:dyDescent="0.25">
      <c r="A3" s="35" t="s">
        <v>18</v>
      </c>
      <c r="B3" s="36">
        <v>1</v>
      </c>
      <c r="C3" s="37">
        <v>30</v>
      </c>
      <c r="D3" s="35"/>
      <c r="E3" s="38"/>
      <c r="F3" s="41"/>
      <c r="G3" s="38"/>
      <c r="H3" s="38"/>
      <c r="I3" s="41"/>
      <c r="J3" s="38"/>
      <c r="K3" s="38"/>
      <c r="L3" s="41"/>
      <c r="M3" s="38"/>
      <c r="N3" s="38"/>
      <c r="O3" s="41"/>
      <c r="P3" s="37">
        <f>+SUM(D3:O3)</f>
        <v>0</v>
      </c>
      <c r="Q3" s="35"/>
      <c r="R3" s="38"/>
      <c r="S3" s="39"/>
      <c r="T3" s="40"/>
      <c r="U3" s="38"/>
      <c r="V3" s="41"/>
      <c r="W3" s="38"/>
      <c r="X3" s="38"/>
      <c r="Y3" s="41"/>
      <c r="Z3" s="38"/>
      <c r="AA3" s="38"/>
      <c r="AB3" s="41"/>
      <c r="AC3" s="38"/>
      <c r="AD3" s="38"/>
      <c r="AE3" s="41"/>
      <c r="AF3" s="39">
        <f>+SUM(T3:AE3)</f>
        <v>0</v>
      </c>
      <c r="AG3" s="38">
        <f>+Q3-AF3</f>
        <v>0</v>
      </c>
      <c r="AH3" s="42"/>
      <c r="AI3" s="43"/>
      <c r="AJ3" s="44"/>
      <c r="AK3" s="43"/>
      <c r="AL3" s="43"/>
      <c r="AM3" s="44"/>
      <c r="AN3" s="43"/>
      <c r="AO3" s="43"/>
      <c r="AP3" s="44"/>
      <c r="AQ3" s="43"/>
      <c r="AR3" s="43"/>
      <c r="AS3" s="44"/>
      <c r="AT3" s="45">
        <f>+IFERROR(AVERAGE(AH3:AS3),0)</f>
        <v>0</v>
      </c>
      <c r="AU3" s="43"/>
      <c r="AV3" s="43"/>
      <c r="AW3" s="44"/>
      <c r="AX3" s="43"/>
      <c r="AY3" s="43"/>
      <c r="AZ3" s="44"/>
      <c r="BA3" s="43"/>
      <c r="BB3" s="43"/>
      <c r="BC3" s="44"/>
      <c r="BD3" s="43"/>
      <c r="BE3" s="43"/>
      <c r="BF3" s="44"/>
      <c r="BG3" s="45">
        <f>+SUM(AU3:BF3)</f>
        <v>0</v>
      </c>
      <c r="BH3" s="42"/>
      <c r="BI3" s="46">
        <f t="shared" ref="BI3" si="0">IFERROR(+BH3/C3,0)</f>
        <v>0</v>
      </c>
      <c r="BJ3" s="47"/>
      <c r="BK3" s="43"/>
      <c r="BL3" s="44"/>
      <c r="BM3" s="43"/>
      <c r="BN3" s="43"/>
      <c r="BO3" s="44"/>
      <c r="BP3" s="43"/>
      <c r="BQ3" s="43"/>
      <c r="BR3" s="44"/>
      <c r="BS3" s="43"/>
      <c r="BT3" s="43"/>
      <c r="BU3" s="44"/>
      <c r="BV3" s="46">
        <f>+SUM(BJ3:BU3)</f>
        <v>0</v>
      </c>
      <c r="BW3" s="43">
        <f>+BH3-BV3</f>
        <v>0</v>
      </c>
      <c r="BX3" s="45">
        <f t="shared" ref="BX3" si="1">IFERROR(+BV3/C3,0)</f>
        <v>0</v>
      </c>
      <c r="BY3" s="35"/>
      <c r="BZ3" s="38"/>
      <c r="CA3" s="41">
        <v>30</v>
      </c>
      <c r="CB3" s="38"/>
      <c r="CC3" s="38"/>
      <c r="CD3" s="41"/>
      <c r="CE3" s="38"/>
      <c r="CF3" s="38"/>
      <c r="CG3" s="41"/>
      <c r="CH3" s="38"/>
      <c r="CI3" s="38"/>
      <c r="CJ3" s="41"/>
      <c r="CK3" s="37">
        <f>+SUM(BY3:CJ3)</f>
        <v>30</v>
      </c>
      <c r="CL3" s="35"/>
      <c r="CM3" s="38"/>
      <c r="CN3" s="41"/>
      <c r="CO3" s="38"/>
      <c r="CP3" s="38"/>
      <c r="CQ3" s="41"/>
      <c r="CR3" s="38"/>
      <c r="CS3" s="38"/>
      <c r="CT3" s="41"/>
      <c r="CU3" s="38"/>
      <c r="CV3" s="38"/>
      <c r="CW3" s="41">
        <v>30</v>
      </c>
      <c r="CX3" s="37">
        <f>+SUM(CL3:CW3)</f>
        <v>30</v>
      </c>
      <c r="CY3" s="35"/>
      <c r="CZ3" s="38"/>
      <c r="DA3" s="41"/>
      <c r="DB3" s="38"/>
      <c r="DC3" s="38"/>
      <c r="DD3" s="41"/>
      <c r="DE3" s="38"/>
      <c r="DF3" s="38"/>
      <c r="DG3" s="41"/>
      <c r="DH3" s="38"/>
      <c r="DI3" s="38"/>
      <c r="DJ3" s="41"/>
      <c r="DK3" s="37">
        <f>+SUM(CY3:DJ3)</f>
        <v>0</v>
      </c>
      <c r="DL3" s="48"/>
      <c r="DM3" s="36"/>
      <c r="DN3" s="49"/>
      <c r="DO3" s="36"/>
      <c r="DP3" s="36"/>
      <c r="DQ3" s="49"/>
      <c r="DR3" s="36"/>
      <c r="DS3" s="36"/>
      <c r="DT3" s="49"/>
      <c r="DU3" s="36"/>
      <c r="DV3" s="36"/>
      <c r="DW3" s="50"/>
      <c r="DX3" s="38"/>
      <c r="DY3" s="38"/>
      <c r="DZ3" s="41"/>
      <c r="EA3" s="38"/>
      <c r="EB3" s="38"/>
      <c r="EC3" s="41"/>
      <c r="ED3" s="38"/>
      <c r="EE3" s="38"/>
      <c r="EF3" s="41"/>
      <c r="EG3" s="38"/>
      <c r="EH3" s="38"/>
      <c r="EI3" s="41"/>
      <c r="EJ3" s="37">
        <f>+SUM(DX3:EI3)</f>
        <v>0</v>
      </c>
      <c r="EK3" s="38"/>
      <c r="EL3" s="38"/>
      <c r="EM3" s="41"/>
      <c r="EN3" s="38"/>
      <c r="EO3" s="38"/>
      <c r="EP3" s="41"/>
      <c r="EQ3" s="38"/>
      <c r="ER3" s="38"/>
      <c r="ES3" s="41"/>
      <c r="ET3" s="38"/>
      <c r="EU3" s="38"/>
      <c r="EV3" s="41"/>
      <c r="EW3" s="37">
        <f>+SUM(EK3:EV3)</f>
        <v>0</v>
      </c>
    </row>
    <row r="4" spans="1:153" ht="20.100000000000001" customHeight="1" x14ac:dyDescent="0.25">
      <c r="A4" s="70" t="s">
        <v>68</v>
      </c>
      <c r="B4" s="71">
        <v>1</v>
      </c>
      <c r="C4" s="72">
        <v>25</v>
      </c>
      <c r="D4" s="70"/>
      <c r="E4" s="73"/>
      <c r="F4" s="76"/>
      <c r="G4" s="73"/>
      <c r="H4" s="73"/>
      <c r="I4" s="76"/>
      <c r="J4" s="73"/>
      <c r="K4" s="73"/>
      <c r="L4" s="76"/>
      <c r="M4" s="73"/>
      <c r="N4" s="73"/>
      <c r="O4" s="76"/>
      <c r="P4" s="72">
        <f t="shared" ref="P4:P47" si="2">+SUM(D4:O4)</f>
        <v>0</v>
      </c>
      <c r="Q4" s="70"/>
      <c r="R4" s="73"/>
      <c r="S4" s="74"/>
      <c r="T4" s="75"/>
      <c r="U4" s="73"/>
      <c r="V4" s="76"/>
      <c r="W4" s="73"/>
      <c r="X4" s="73"/>
      <c r="Y4" s="76"/>
      <c r="Z4" s="73"/>
      <c r="AA4" s="73"/>
      <c r="AB4" s="76"/>
      <c r="AC4" s="73"/>
      <c r="AD4" s="73"/>
      <c r="AE4" s="76"/>
      <c r="AF4" s="74">
        <f t="shared" ref="AF4:AF47" si="3">+SUM(T4:AE4)</f>
        <v>0</v>
      </c>
      <c r="AG4" s="73">
        <f t="shared" ref="AG4:AG47" si="4">+Q4-AF4</f>
        <v>0</v>
      </c>
      <c r="AH4" s="77"/>
      <c r="AI4" s="78"/>
      <c r="AJ4" s="79"/>
      <c r="AK4" s="78"/>
      <c r="AL4" s="78"/>
      <c r="AM4" s="79"/>
      <c r="AN4" s="78"/>
      <c r="AO4" s="78"/>
      <c r="AP4" s="79"/>
      <c r="AQ4" s="78"/>
      <c r="AR4" s="78"/>
      <c r="AS4" s="79"/>
      <c r="AT4" s="80">
        <f t="shared" ref="AT4:AT47" si="5">+IFERROR(AVERAGE(AH4:AS4),0)</f>
        <v>0</v>
      </c>
      <c r="AU4" s="78"/>
      <c r="AV4" s="78"/>
      <c r="AW4" s="79"/>
      <c r="AX4" s="78"/>
      <c r="AY4" s="78"/>
      <c r="AZ4" s="79"/>
      <c r="BA4" s="78"/>
      <c r="BB4" s="78"/>
      <c r="BC4" s="79"/>
      <c r="BD4" s="78"/>
      <c r="BE4" s="78"/>
      <c r="BF4" s="79"/>
      <c r="BG4" s="80">
        <f t="shared" ref="BG4:BG47" si="6">+SUM(AU4:BF4)</f>
        <v>0</v>
      </c>
      <c r="BH4" s="77"/>
      <c r="BI4" s="81">
        <f t="shared" ref="BI4:BI47" si="7">IFERROR(+BH4/C4,0)</f>
        <v>0</v>
      </c>
      <c r="BJ4" s="82"/>
      <c r="BK4" s="78"/>
      <c r="BL4" s="79"/>
      <c r="BM4" s="78"/>
      <c r="BN4" s="78"/>
      <c r="BO4" s="79"/>
      <c r="BP4" s="78"/>
      <c r="BQ4" s="78"/>
      <c r="BR4" s="79"/>
      <c r="BS4" s="78"/>
      <c r="BT4" s="78"/>
      <c r="BU4" s="79"/>
      <c r="BV4" s="81">
        <f t="shared" ref="BV4:BV47" si="8">+SUM(BJ4:BU4)</f>
        <v>0</v>
      </c>
      <c r="BW4" s="78">
        <f t="shared" ref="BW4:BW47" si="9">+BH4-BV4</f>
        <v>0</v>
      </c>
      <c r="BX4" s="80">
        <f t="shared" ref="BX4:BX47" si="10">IFERROR(+BV4/C4,0)</f>
        <v>0</v>
      </c>
      <c r="BY4" s="70"/>
      <c r="BZ4" s="73"/>
      <c r="CA4" s="76"/>
      <c r="CB4" s="73"/>
      <c r="CC4" s="73"/>
      <c r="CD4" s="76"/>
      <c r="CE4" s="73"/>
      <c r="CF4" s="73"/>
      <c r="CG4" s="76"/>
      <c r="CH4" s="73"/>
      <c r="CI4" s="73"/>
      <c r="CJ4" s="76"/>
      <c r="CK4" s="72">
        <f t="shared" ref="CK4:CK46" si="11">+SUM(BY4:CJ4)</f>
        <v>0</v>
      </c>
      <c r="CL4" s="70"/>
      <c r="CM4" s="73"/>
      <c r="CN4" s="76"/>
      <c r="CO4" s="73"/>
      <c r="CP4" s="73"/>
      <c r="CQ4" s="76"/>
      <c r="CR4" s="73"/>
      <c r="CS4" s="73"/>
      <c r="CT4" s="76"/>
      <c r="CU4" s="73"/>
      <c r="CV4" s="73"/>
      <c r="CW4" s="76"/>
      <c r="CX4" s="72">
        <f t="shared" ref="CX4:CX47" si="12">+SUM(CL4:CW4)</f>
        <v>0</v>
      </c>
      <c r="CY4" s="147"/>
      <c r="CZ4" s="148"/>
      <c r="DA4" s="149"/>
      <c r="DB4" s="148"/>
      <c r="DC4" s="148"/>
      <c r="DD4" s="149"/>
      <c r="DE4" s="148"/>
      <c r="DF4" s="148"/>
      <c r="DG4" s="149"/>
      <c r="DH4" s="148"/>
      <c r="DI4" s="148"/>
      <c r="DJ4" s="149"/>
      <c r="DK4" s="72">
        <f t="shared" ref="DK4:DK47" si="13">+SUM(CY4:DJ4)</f>
        <v>0</v>
      </c>
      <c r="DL4" s="83">
        <v>0.95</v>
      </c>
      <c r="DM4" s="71">
        <v>0.99</v>
      </c>
      <c r="DN4" s="84">
        <v>1</v>
      </c>
      <c r="DO4" s="71"/>
      <c r="DP4" s="71"/>
      <c r="DQ4" s="84"/>
      <c r="DR4" s="71"/>
      <c r="DS4" s="71"/>
      <c r="DT4" s="84"/>
      <c r="DU4" s="71"/>
      <c r="DV4" s="71"/>
      <c r="DW4" s="85"/>
      <c r="DX4" s="73"/>
      <c r="DY4" s="73"/>
      <c r="DZ4" s="76">
        <v>25</v>
      </c>
      <c r="EA4" s="73"/>
      <c r="EB4" s="73"/>
      <c r="EC4" s="76"/>
      <c r="ED4" s="73"/>
      <c r="EE4" s="73"/>
      <c r="EF4" s="76"/>
      <c r="EG4" s="73"/>
      <c r="EH4" s="73"/>
      <c r="EI4" s="76"/>
      <c r="EJ4" s="72">
        <f t="shared" ref="EJ4:EJ47" si="14">+SUM(DX4:EI4)</f>
        <v>25</v>
      </c>
      <c r="EK4" s="73"/>
      <c r="EL4" s="73"/>
      <c r="EM4" s="76"/>
      <c r="EN4" s="73"/>
      <c r="EO4" s="73"/>
      <c r="EP4" s="76"/>
      <c r="EQ4" s="73"/>
      <c r="ER4" s="73"/>
      <c r="ES4" s="76"/>
      <c r="ET4" s="73"/>
      <c r="EU4" s="73"/>
      <c r="EV4" s="76"/>
      <c r="EW4" s="72">
        <f t="shared" ref="EW4:EW47" si="15">+SUM(EK4:EV4)</f>
        <v>0</v>
      </c>
    </row>
    <row r="5" spans="1:153" ht="20.100000000000001" customHeight="1" x14ac:dyDescent="0.25">
      <c r="A5" s="70" t="s">
        <v>69</v>
      </c>
      <c r="B5" s="71">
        <v>1</v>
      </c>
      <c r="C5" s="72">
        <v>31</v>
      </c>
      <c r="D5" s="70"/>
      <c r="E5" s="73"/>
      <c r="F5" s="76"/>
      <c r="G5" s="73"/>
      <c r="H5" s="73"/>
      <c r="I5" s="76"/>
      <c r="J5" s="73"/>
      <c r="K5" s="73"/>
      <c r="L5" s="76"/>
      <c r="M5" s="73"/>
      <c r="N5" s="73"/>
      <c r="O5" s="76"/>
      <c r="P5" s="72">
        <f t="shared" si="2"/>
        <v>0</v>
      </c>
      <c r="Q5" s="70"/>
      <c r="R5" s="73"/>
      <c r="S5" s="74"/>
      <c r="T5" s="75"/>
      <c r="U5" s="73"/>
      <c r="V5" s="76"/>
      <c r="W5" s="73"/>
      <c r="X5" s="73"/>
      <c r="Y5" s="76"/>
      <c r="Z5" s="73"/>
      <c r="AA5" s="73"/>
      <c r="AB5" s="76"/>
      <c r="AC5" s="73"/>
      <c r="AD5" s="73"/>
      <c r="AE5" s="76"/>
      <c r="AF5" s="74">
        <f t="shared" si="3"/>
        <v>0</v>
      </c>
      <c r="AG5" s="73">
        <f t="shared" si="4"/>
        <v>0</v>
      </c>
      <c r="AH5" s="77"/>
      <c r="AI5" s="78"/>
      <c r="AJ5" s="79"/>
      <c r="AK5" s="78"/>
      <c r="AL5" s="78"/>
      <c r="AM5" s="79"/>
      <c r="AN5" s="78"/>
      <c r="AO5" s="78"/>
      <c r="AP5" s="79"/>
      <c r="AQ5" s="78"/>
      <c r="AR5" s="78"/>
      <c r="AS5" s="79"/>
      <c r="AT5" s="80">
        <f t="shared" si="5"/>
        <v>0</v>
      </c>
      <c r="AU5" s="78"/>
      <c r="AV5" s="78"/>
      <c r="AW5" s="79"/>
      <c r="AX5" s="78"/>
      <c r="AY5" s="78"/>
      <c r="AZ5" s="79"/>
      <c r="BA5" s="78"/>
      <c r="BB5" s="78"/>
      <c r="BC5" s="79"/>
      <c r="BD5" s="78"/>
      <c r="BE5" s="78"/>
      <c r="BF5" s="79"/>
      <c r="BG5" s="80">
        <f t="shared" si="6"/>
        <v>0</v>
      </c>
      <c r="BH5" s="77"/>
      <c r="BI5" s="81">
        <f t="shared" si="7"/>
        <v>0</v>
      </c>
      <c r="BJ5" s="82"/>
      <c r="BK5" s="78"/>
      <c r="BL5" s="79"/>
      <c r="BM5" s="78"/>
      <c r="BN5" s="78"/>
      <c r="BO5" s="79"/>
      <c r="BP5" s="78"/>
      <c r="BQ5" s="78"/>
      <c r="BR5" s="79"/>
      <c r="BS5" s="78"/>
      <c r="BT5" s="78"/>
      <c r="BU5" s="79"/>
      <c r="BV5" s="81">
        <f t="shared" si="8"/>
        <v>0</v>
      </c>
      <c r="BW5" s="78">
        <f t="shared" si="9"/>
        <v>0</v>
      </c>
      <c r="BX5" s="80">
        <f t="shared" si="10"/>
        <v>0</v>
      </c>
      <c r="BY5" s="70"/>
      <c r="BZ5" s="73"/>
      <c r="CA5" s="76"/>
      <c r="CB5" s="73"/>
      <c r="CC5" s="73"/>
      <c r="CD5" s="76"/>
      <c r="CE5" s="73"/>
      <c r="CF5" s="73"/>
      <c r="CG5" s="76"/>
      <c r="CH5" s="73"/>
      <c r="CI5" s="73"/>
      <c r="CJ5" s="76"/>
      <c r="CK5" s="72">
        <f t="shared" si="11"/>
        <v>0</v>
      </c>
      <c r="CL5" s="70"/>
      <c r="CM5" s="73"/>
      <c r="CN5" s="76"/>
      <c r="CO5" s="73"/>
      <c r="CP5" s="73"/>
      <c r="CQ5" s="76"/>
      <c r="CR5" s="73"/>
      <c r="CS5" s="73"/>
      <c r="CT5" s="76"/>
      <c r="CU5" s="73"/>
      <c r="CV5" s="73"/>
      <c r="CW5" s="76"/>
      <c r="CX5" s="72">
        <f t="shared" si="12"/>
        <v>0</v>
      </c>
      <c r="CY5" s="147"/>
      <c r="CZ5" s="148"/>
      <c r="DA5" s="149"/>
      <c r="DB5" s="148"/>
      <c r="DC5" s="148"/>
      <c r="DD5" s="149"/>
      <c r="DE5" s="73"/>
      <c r="DF5" s="73"/>
      <c r="DG5" s="76"/>
      <c r="DH5" s="73"/>
      <c r="DI5" s="73"/>
      <c r="DJ5" s="76"/>
      <c r="DK5" s="72">
        <f t="shared" si="13"/>
        <v>0</v>
      </c>
      <c r="DL5" s="83"/>
      <c r="DM5" s="71"/>
      <c r="DN5" s="84"/>
      <c r="DO5" s="71"/>
      <c r="DP5" s="71"/>
      <c r="DQ5" s="84"/>
      <c r="DR5" s="71"/>
      <c r="DS5" s="71"/>
      <c r="DT5" s="84"/>
      <c r="DU5" s="71"/>
      <c r="DV5" s="71"/>
      <c r="DW5" s="85"/>
      <c r="DX5" s="73"/>
      <c r="DY5" s="73"/>
      <c r="DZ5" s="76"/>
      <c r="EA5" s="73"/>
      <c r="EB5" s="73"/>
      <c r="EC5" s="76"/>
      <c r="ED5" s="73"/>
      <c r="EE5" s="73"/>
      <c r="EF5" s="76"/>
      <c r="EG5" s="73"/>
      <c r="EH5" s="73"/>
      <c r="EI5" s="76"/>
      <c r="EJ5" s="72">
        <f t="shared" si="14"/>
        <v>0</v>
      </c>
      <c r="EK5" s="73"/>
      <c r="EL5" s="73"/>
      <c r="EM5" s="76"/>
      <c r="EN5" s="73"/>
      <c r="EO5" s="73"/>
      <c r="EP5" s="76"/>
      <c r="EQ5" s="73"/>
      <c r="ER5" s="73"/>
      <c r="ES5" s="76"/>
      <c r="ET5" s="73"/>
      <c r="EU5" s="73"/>
      <c r="EV5" s="76"/>
      <c r="EW5" s="72">
        <f t="shared" si="15"/>
        <v>0</v>
      </c>
    </row>
    <row r="6" spans="1:153" ht="20.100000000000001" customHeight="1" x14ac:dyDescent="0.25">
      <c r="A6" s="70" t="s">
        <v>70</v>
      </c>
      <c r="B6" s="71">
        <v>1</v>
      </c>
      <c r="C6" s="72">
        <v>46</v>
      </c>
      <c r="D6" s="70"/>
      <c r="E6" s="73"/>
      <c r="F6" s="76"/>
      <c r="G6" s="73"/>
      <c r="H6" s="73"/>
      <c r="I6" s="76"/>
      <c r="J6" s="73"/>
      <c r="K6" s="73"/>
      <c r="L6" s="76"/>
      <c r="M6" s="73"/>
      <c r="N6" s="73"/>
      <c r="O6" s="76"/>
      <c r="P6" s="72">
        <f t="shared" si="2"/>
        <v>0</v>
      </c>
      <c r="Q6" s="70"/>
      <c r="R6" s="73"/>
      <c r="S6" s="74"/>
      <c r="T6" s="75"/>
      <c r="U6" s="73"/>
      <c r="V6" s="76"/>
      <c r="W6" s="73"/>
      <c r="X6" s="73"/>
      <c r="Y6" s="76"/>
      <c r="Z6" s="73"/>
      <c r="AA6" s="73"/>
      <c r="AB6" s="76"/>
      <c r="AC6" s="73"/>
      <c r="AD6" s="73"/>
      <c r="AE6" s="76"/>
      <c r="AF6" s="74">
        <f t="shared" si="3"/>
        <v>0</v>
      </c>
      <c r="AG6" s="73">
        <f t="shared" si="4"/>
        <v>0</v>
      </c>
      <c r="AH6" s="77"/>
      <c r="AI6" s="78"/>
      <c r="AJ6" s="79"/>
      <c r="AK6" s="78"/>
      <c r="AL6" s="78"/>
      <c r="AM6" s="79"/>
      <c r="AN6" s="78"/>
      <c r="AO6" s="78"/>
      <c r="AP6" s="79"/>
      <c r="AQ6" s="78"/>
      <c r="AR6" s="78"/>
      <c r="AS6" s="79"/>
      <c r="AT6" s="80">
        <f t="shared" si="5"/>
        <v>0</v>
      </c>
      <c r="AU6" s="78"/>
      <c r="AV6" s="78"/>
      <c r="AW6" s="79"/>
      <c r="AX6" s="78"/>
      <c r="AY6" s="78"/>
      <c r="AZ6" s="79"/>
      <c r="BA6" s="78"/>
      <c r="BB6" s="78"/>
      <c r="BC6" s="79"/>
      <c r="BD6" s="78"/>
      <c r="BE6" s="78"/>
      <c r="BF6" s="79"/>
      <c r="BG6" s="80">
        <f t="shared" si="6"/>
        <v>0</v>
      </c>
      <c r="BH6" s="77"/>
      <c r="BI6" s="81">
        <f t="shared" si="7"/>
        <v>0</v>
      </c>
      <c r="BJ6" s="82"/>
      <c r="BK6" s="78"/>
      <c r="BL6" s="79"/>
      <c r="BM6" s="78"/>
      <c r="BN6" s="78"/>
      <c r="BO6" s="79"/>
      <c r="BP6" s="78"/>
      <c r="BQ6" s="78"/>
      <c r="BR6" s="79"/>
      <c r="BS6" s="78"/>
      <c r="BT6" s="78"/>
      <c r="BU6" s="79"/>
      <c r="BV6" s="81">
        <f t="shared" si="8"/>
        <v>0</v>
      </c>
      <c r="BW6" s="78">
        <f t="shared" si="9"/>
        <v>0</v>
      </c>
      <c r="BX6" s="80">
        <f t="shared" si="10"/>
        <v>0</v>
      </c>
      <c r="BY6" s="70"/>
      <c r="BZ6" s="73"/>
      <c r="CA6" s="76"/>
      <c r="CB6" s="73"/>
      <c r="CC6" s="73"/>
      <c r="CD6" s="76"/>
      <c r="CE6" s="73"/>
      <c r="CF6" s="73"/>
      <c r="CG6" s="76"/>
      <c r="CH6" s="73"/>
      <c r="CI6" s="73"/>
      <c r="CJ6" s="76"/>
      <c r="CK6" s="72">
        <f t="shared" si="11"/>
        <v>0</v>
      </c>
      <c r="CL6" s="70"/>
      <c r="CM6" s="73"/>
      <c r="CN6" s="76"/>
      <c r="CO6" s="73"/>
      <c r="CP6" s="73"/>
      <c r="CQ6" s="76"/>
      <c r="CR6" s="73"/>
      <c r="CS6" s="73"/>
      <c r="CT6" s="76"/>
      <c r="CU6" s="73"/>
      <c r="CV6" s="73"/>
      <c r="CW6" s="76"/>
      <c r="CX6" s="72">
        <f t="shared" si="12"/>
        <v>0</v>
      </c>
      <c r="CY6" s="147"/>
      <c r="CZ6" s="148"/>
      <c r="DA6" s="149"/>
      <c r="DB6" s="148"/>
      <c r="DC6" s="148"/>
      <c r="DD6" s="149"/>
      <c r="DE6" s="148"/>
      <c r="DF6" s="148"/>
      <c r="DG6" s="149"/>
      <c r="DH6" s="148"/>
      <c r="DI6" s="148"/>
      <c r="DJ6" s="149"/>
      <c r="DK6" s="72">
        <f t="shared" si="13"/>
        <v>0</v>
      </c>
      <c r="DL6" s="83">
        <v>0.42</v>
      </c>
      <c r="DM6" s="71">
        <v>0.47</v>
      </c>
      <c r="DN6" s="84">
        <v>0.52</v>
      </c>
      <c r="DO6" s="71">
        <v>0.57000000000000006</v>
      </c>
      <c r="DP6" s="71">
        <v>0.63000000000000012</v>
      </c>
      <c r="DQ6" s="84">
        <v>0.69000000000000017</v>
      </c>
      <c r="DR6" s="71">
        <v>0.75000000000000022</v>
      </c>
      <c r="DS6" s="71">
        <v>0.81000000000000028</v>
      </c>
      <c r="DT6" s="84">
        <v>0.87000000000000033</v>
      </c>
      <c r="DU6" s="71">
        <v>0.92000000000000037</v>
      </c>
      <c r="DV6" s="71">
        <v>0.97000000000000042</v>
      </c>
      <c r="DW6" s="85">
        <v>1</v>
      </c>
      <c r="DX6" s="73"/>
      <c r="DY6" s="73"/>
      <c r="DZ6" s="76"/>
      <c r="EA6" s="73"/>
      <c r="EB6" s="73"/>
      <c r="EC6" s="76"/>
      <c r="ED6" s="73"/>
      <c r="EE6" s="73"/>
      <c r="EF6" s="76"/>
      <c r="EG6" s="73"/>
      <c r="EH6" s="73"/>
      <c r="EI6" s="76">
        <v>46</v>
      </c>
      <c r="EJ6" s="72">
        <f t="shared" si="14"/>
        <v>46</v>
      </c>
      <c r="EK6" s="73"/>
      <c r="EL6" s="73"/>
      <c r="EM6" s="76"/>
      <c r="EN6" s="73"/>
      <c r="EO6" s="73"/>
      <c r="EP6" s="76"/>
      <c r="EQ6" s="73"/>
      <c r="ER6" s="73"/>
      <c r="ES6" s="76"/>
      <c r="ET6" s="73"/>
      <c r="EU6" s="73"/>
      <c r="EV6" s="76"/>
      <c r="EW6" s="72">
        <f t="shared" si="15"/>
        <v>0</v>
      </c>
    </row>
    <row r="7" spans="1:153" ht="20.100000000000001" customHeight="1" x14ac:dyDescent="0.25">
      <c r="A7" s="70" t="s">
        <v>71</v>
      </c>
      <c r="B7" s="71">
        <v>1</v>
      </c>
      <c r="C7" s="72">
        <v>62</v>
      </c>
      <c r="D7" s="70"/>
      <c r="E7" s="73"/>
      <c r="F7" s="76"/>
      <c r="G7" s="73"/>
      <c r="H7" s="73"/>
      <c r="I7" s="76"/>
      <c r="J7" s="73"/>
      <c r="K7" s="73"/>
      <c r="L7" s="76"/>
      <c r="M7" s="73"/>
      <c r="N7" s="73"/>
      <c r="O7" s="76"/>
      <c r="P7" s="72">
        <f t="shared" si="2"/>
        <v>0</v>
      </c>
      <c r="Q7" s="70"/>
      <c r="R7" s="73"/>
      <c r="S7" s="74"/>
      <c r="T7" s="75"/>
      <c r="U7" s="73"/>
      <c r="V7" s="76"/>
      <c r="W7" s="73"/>
      <c r="X7" s="73"/>
      <c r="Y7" s="76"/>
      <c r="Z7" s="73"/>
      <c r="AA7" s="73"/>
      <c r="AB7" s="76"/>
      <c r="AC7" s="73"/>
      <c r="AD7" s="73"/>
      <c r="AE7" s="76"/>
      <c r="AF7" s="74">
        <f t="shared" si="3"/>
        <v>0</v>
      </c>
      <c r="AG7" s="73">
        <f t="shared" si="4"/>
        <v>0</v>
      </c>
      <c r="AH7" s="77"/>
      <c r="AI7" s="78"/>
      <c r="AJ7" s="79"/>
      <c r="AK7" s="78"/>
      <c r="AL7" s="78"/>
      <c r="AM7" s="79"/>
      <c r="AN7" s="78"/>
      <c r="AO7" s="78"/>
      <c r="AP7" s="79"/>
      <c r="AQ7" s="78"/>
      <c r="AR7" s="78"/>
      <c r="AS7" s="79"/>
      <c r="AT7" s="80">
        <f t="shared" si="5"/>
        <v>0</v>
      </c>
      <c r="AU7" s="78"/>
      <c r="AV7" s="78"/>
      <c r="AW7" s="79"/>
      <c r="AX7" s="78"/>
      <c r="AY7" s="78"/>
      <c r="AZ7" s="79"/>
      <c r="BA7" s="78"/>
      <c r="BB7" s="78"/>
      <c r="BC7" s="79"/>
      <c r="BD7" s="78"/>
      <c r="BE7" s="78"/>
      <c r="BF7" s="79"/>
      <c r="BG7" s="80">
        <f t="shared" si="6"/>
        <v>0</v>
      </c>
      <c r="BH7" s="77"/>
      <c r="BI7" s="81">
        <f t="shared" si="7"/>
        <v>0</v>
      </c>
      <c r="BJ7" s="82"/>
      <c r="BK7" s="78"/>
      <c r="BL7" s="79"/>
      <c r="BM7" s="78"/>
      <c r="BN7" s="78"/>
      <c r="BO7" s="79"/>
      <c r="BP7" s="78"/>
      <c r="BQ7" s="78"/>
      <c r="BR7" s="79"/>
      <c r="BS7" s="78"/>
      <c r="BT7" s="78"/>
      <c r="BU7" s="79"/>
      <c r="BV7" s="81">
        <f t="shared" si="8"/>
        <v>0</v>
      </c>
      <c r="BW7" s="78">
        <f t="shared" si="9"/>
        <v>0</v>
      </c>
      <c r="BX7" s="80">
        <f t="shared" si="10"/>
        <v>0</v>
      </c>
      <c r="BY7" s="70"/>
      <c r="BZ7" s="73"/>
      <c r="CA7" s="76"/>
      <c r="CB7" s="73"/>
      <c r="CC7" s="73"/>
      <c r="CD7" s="76"/>
      <c r="CE7" s="73"/>
      <c r="CF7" s="73"/>
      <c r="CG7" s="76"/>
      <c r="CH7" s="73"/>
      <c r="CI7" s="73"/>
      <c r="CJ7" s="76"/>
      <c r="CK7" s="72">
        <f t="shared" si="11"/>
        <v>0</v>
      </c>
      <c r="CL7" s="70"/>
      <c r="CM7" s="73"/>
      <c r="CN7" s="76"/>
      <c r="CO7" s="73"/>
      <c r="CP7" s="73"/>
      <c r="CQ7" s="76"/>
      <c r="CR7" s="73"/>
      <c r="CS7" s="73"/>
      <c r="CT7" s="76"/>
      <c r="CU7" s="73"/>
      <c r="CV7" s="73"/>
      <c r="CW7" s="76"/>
      <c r="CX7" s="72">
        <f t="shared" si="12"/>
        <v>0</v>
      </c>
      <c r="CY7" s="147"/>
      <c r="CZ7" s="148"/>
      <c r="DA7" s="149"/>
      <c r="DB7" s="148"/>
      <c r="DC7" s="148"/>
      <c r="DD7" s="149"/>
      <c r="DE7" s="148"/>
      <c r="DF7" s="148"/>
      <c r="DG7" s="149"/>
      <c r="DH7" s="148"/>
      <c r="DI7" s="148"/>
      <c r="DJ7" s="149"/>
      <c r="DK7" s="72">
        <f t="shared" si="13"/>
        <v>0</v>
      </c>
      <c r="DL7" s="83">
        <v>0.52</v>
      </c>
      <c r="DM7" s="71">
        <v>0.57000000000000006</v>
      </c>
      <c r="DN7" s="84">
        <v>0.62000000000000011</v>
      </c>
      <c r="DO7" s="71">
        <v>0.67000000000000015</v>
      </c>
      <c r="DP7" s="71">
        <v>0.7200000000000002</v>
      </c>
      <c r="DQ7" s="84">
        <v>0.77000000000000024</v>
      </c>
      <c r="DR7" s="71">
        <v>0.82000000000000028</v>
      </c>
      <c r="DS7" s="71">
        <v>0.87000000000000033</v>
      </c>
      <c r="DT7" s="84">
        <v>0.92000000000000037</v>
      </c>
      <c r="DU7" s="71">
        <v>0.97000000000000042</v>
      </c>
      <c r="DV7" s="71">
        <v>1</v>
      </c>
      <c r="DW7" s="85"/>
      <c r="DX7" s="73"/>
      <c r="DY7" s="73"/>
      <c r="DZ7" s="76"/>
      <c r="EA7" s="73"/>
      <c r="EB7" s="73"/>
      <c r="EC7" s="76"/>
      <c r="ED7" s="73"/>
      <c r="EE7" s="73"/>
      <c r="EF7" s="76"/>
      <c r="EG7" s="73"/>
      <c r="EH7" s="73">
        <v>62</v>
      </c>
      <c r="EI7" s="76"/>
      <c r="EJ7" s="72">
        <f t="shared" si="14"/>
        <v>62</v>
      </c>
      <c r="EK7" s="73"/>
      <c r="EL7" s="73"/>
      <c r="EM7" s="76"/>
      <c r="EN7" s="73"/>
      <c r="EO7" s="73"/>
      <c r="EP7" s="76"/>
      <c r="EQ7" s="73"/>
      <c r="ER7" s="73"/>
      <c r="ES7" s="76"/>
      <c r="ET7" s="73"/>
      <c r="EU7" s="73"/>
      <c r="EV7" s="76"/>
      <c r="EW7" s="72">
        <f t="shared" si="15"/>
        <v>0</v>
      </c>
    </row>
    <row r="8" spans="1:153" ht="20.100000000000001" customHeight="1" x14ac:dyDescent="0.25">
      <c r="A8" s="70" t="s">
        <v>72</v>
      </c>
      <c r="B8" s="71">
        <v>1</v>
      </c>
      <c r="C8" s="72">
        <v>37</v>
      </c>
      <c r="D8" s="70"/>
      <c r="E8" s="73"/>
      <c r="F8" s="76"/>
      <c r="G8" s="73"/>
      <c r="H8" s="73"/>
      <c r="I8" s="76"/>
      <c r="J8" s="73"/>
      <c r="K8" s="73"/>
      <c r="L8" s="76"/>
      <c r="M8" s="73"/>
      <c r="N8" s="73"/>
      <c r="O8" s="76"/>
      <c r="P8" s="72">
        <f t="shared" si="2"/>
        <v>0</v>
      </c>
      <c r="Q8" s="70"/>
      <c r="R8" s="73"/>
      <c r="S8" s="74"/>
      <c r="T8" s="75"/>
      <c r="U8" s="73"/>
      <c r="V8" s="76"/>
      <c r="W8" s="73"/>
      <c r="X8" s="73"/>
      <c r="Y8" s="76"/>
      <c r="Z8" s="73"/>
      <c r="AA8" s="73"/>
      <c r="AB8" s="76"/>
      <c r="AC8" s="73"/>
      <c r="AD8" s="73"/>
      <c r="AE8" s="76"/>
      <c r="AF8" s="74">
        <f t="shared" si="3"/>
        <v>0</v>
      </c>
      <c r="AG8" s="73">
        <f t="shared" si="4"/>
        <v>0</v>
      </c>
      <c r="AH8" s="77"/>
      <c r="AI8" s="78"/>
      <c r="AJ8" s="79"/>
      <c r="AK8" s="78"/>
      <c r="AL8" s="78"/>
      <c r="AM8" s="79"/>
      <c r="AN8" s="78"/>
      <c r="AO8" s="78"/>
      <c r="AP8" s="79"/>
      <c r="AQ8" s="78"/>
      <c r="AR8" s="78"/>
      <c r="AS8" s="79"/>
      <c r="AT8" s="80">
        <f t="shared" si="5"/>
        <v>0</v>
      </c>
      <c r="AU8" s="78"/>
      <c r="AV8" s="78"/>
      <c r="AW8" s="79"/>
      <c r="AX8" s="78"/>
      <c r="AY8" s="78"/>
      <c r="AZ8" s="79"/>
      <c r="BA8" s="78"/>
      <c r="BB8" s="78"/>
      <c r="BC8" s="79"/>
      <c r="BD8" s="78"/>
      <c r="BE8" s="78"/>
      <c r="BF8" s="79"/>
      <c r="BG8" s="80">
        <f t="shared" si="6"/>
        <v>0</v>
      </c>
      <c r="BH8" s="77"/>
      <c r="BI8" s="81">
        <f t="shared" si="7"/>
        <v>0</v>
      </c>
      <c r="BJ8" s="82"/>
      <c r="BK8" s="78"/>
      <c r="BL8" s="79"/>
      <c r="BM8" s="78"/>
      <c r="BN8" s="78"/>
      <c r="BO8" s="79"/>
      <c r="BP8" s="78"/>
      <c r="BQ8" s="78"/>
      <c r="BR8" s="79"/>
      <c r="BS8" s="78"/>
      <c r="BT8" s="78"/>
      <c r="BU8" s="79"/>
      <c r="BV8" s="81">
        <f t="shared" si="8"/>
        <v>0</v>
      </c>
      <c r="BW8" s="78">
        <f t="shared" si="9"/>
        <v>0</v>
      </c>
      <c r="BX8" s="80">
        <f t="shared" si="10"/>
        <v>0</v>
      </c>
      <c r="BY8" s="70"/>
      <c r="BZ8" s="73"/>
      <c r="CA8" s="76"/>
      <c r="CB8" s="73"/>
      <c r="CC8" s="73"/>
      <c r="CD8" s="76"/>
      <c r="CE8" s="73"/>
      <c r="CF8" s="73"/>
      <c r="CG8" s="76"/>
      <c r="CH8" s="73"/>
      <c r="CI8" s="73"/>
      <c r="CJ8" s="76"/>
      <c r="CK8" s="72">
        <f t="shared" si="11"/>
        <v>0</v>
      </c>
      <c r="CL8" s="70"/>
      <c r="CM8" s="73"/>
      <c r="CN8" s="76"/>
      <c r="CO8" s="73"/>
      <c r="CP8" s="73"/>
      <c r="CQ8" s="76"/>
      <c r="CR8" s="73"/>
      <c r="CS8" s="73"/>
      <c r="CT8" s="76"/>
      <c r="CU8" s="73"/>
      <c r="CV8" s="73"/>
      <c r="CW8" s="76"/>
      <c r="CX8" s="72">
        <f t="shared" si="12"/>
        <v>0</v>
      </c>
      <c r="CY8" s="147"/>
      <c r="CZ8" s="148"/>
      <c r="DA8" s="149"/>
      <c r="DB8" s="148"/>
      <c r="DC8" s="148"/>
      <c r="DD8" s="149"/>
      <c r="DE8" s="148"/>
      <c r="DF8" s="148"/>
      <c r="DG8" s="149"/>
      <c r="DH8" s="73"/>
      <c r="DI8" s="73"/>
      <c r="DJ8" s="76"/>
      <c r="DK8" s="72">
        <f t="shared" si="13"/>
        <v>0</v>
      </c>
      <c r="DL8" s="83"/>
      <c r="DM8" s="71"/>
      <c r="DN8" s="84"/>
      <c r="DO8" s="71"/>
      <c r="DP8" s="71"/>
      <c r="DQ8" s="84"/>
      <c r="DR8" s="71"/>
      <c r="DS8" s="71"/>
      <c r="DT8" s="84"/>
      <c r="DU8" s="71"/>
      <c r="DV8" s="71"/>
      <c r="DW8" s="85"/>
      <c r="DX8" s="73"/>
      <c r="DY8" s="73"/>
      <c r="DZ8" s="76"/>
      <c r="EA8" s="73"/>
      <c r="EB8" s="73"/>
      <c r="EC8" s="76"/>
      <c r="ED8" s="73"/>
      <c r="EE8" s="73"/>
      <c r="EF8" s="76"/>
      <c r="EG8" s="73"/>
      <c r="EH8" s="73"/>
      <c r="EI8" s="76"/>
      <c r="EJ8" s="72">
        <f t="shared" si="14"/>
        <v>0</v>
      </c>
      <c r="EK8" s="73"/>
      <c r="EL8" s="73"/>
      <c r="EM8" s="76"/>
      <c r="EN8" s="73"/>
      <c r="EO8" s="73"/>
      <c r="EP8" s="76"/>
      <c r="EQ8" s="73"/>
      <c r="ER8" s="73"/>
      <c r="ES8" s="76"/>
      <c r="ET8" s="73"/>
      <c r="EU8" s="73"/>
      <c r="EV8" s="76"/>
      <c r="EW8" s="72">
        <f t="shared" si="15"/>
        <v>0</v>
      </c>
    </row>
    <row r="9" spans="1:153" ht="20.100000000000001" customHeight="1" x14ac:dyDescent="0.25">
      <c r="A9" s="70" t="s">
        <v>73</v>
      </c>
      <c r="B9" s="52">
        <v>1</v>
      </c>
      <c r="C9" s="53">
        <v>24</v>
      </c>
      <c r="D9" s="51"/>
      <c r="E9" s="54"/>
      <c r="F9" s="57"/>
      <c r="G9" s="54"/>
      <c r="H9" s="54"/>
      <c r="I9" s="57"/>
      <c r="J9" s="54"/>
      <c r="K9" s="54"/>
      <c r="L9" s="57"/>
      <c r="M9" s="54"/>
      <c r="N9" s="54"/>
      <c r="O9" s="57"/>
      <c r="P9" s="53">
        <f t="shared" si="2"/>
        <v>0</v>
      </c>
      <c r="Q9" s="51"/>
      <c r="R9" s="54"/>
      <c r="S9" s="55"/>
      <c r="T9" s="56"/>
      <c r="U9" s="54"/>
      <c r="V9" s="57"/>
      <c r="W9" s="54"/>
      <c r="X9" s="54"/>
      <c r="Y9" s="57"/>
      <c r="Z9" s="54"/>
      <c r="AA9" s="54"/>
      <c r="AB9" s="57"/>
      <c r="AC9" s="54"/>
      <c r="AD9" s="54"/>
      <c r="AE9" s="57"/>
      <c r="AF9" s="55">
        <f t="shared" si="3"/>
        <v>0</v>
      </c>
      <c r="AG9" s="54">
        <f t="shared" si="4"/>
        <v>0</v>
      </c>
      <c r="AH9" s="67"/>
      <c r="AI9" s="68"/>
      <c r="AJ9" s="69"/>
      <c r="AK9" s="59"/>
      <c r="AL9" s="59"/>
      <c r="AM9" s="60"/>
      <c r="AN9" s="59"/>
      <c r="AO9" s="59"/>
      <c r="AP9" s="60"/>
      <c r="AQ9" s="59"/>
      <c r="AR9" s="59"/>
      <c r="AS9" s="60"/>
      <c r="AT9" s="61">
        <f t="shared" si="5"/>
        <v>0</v>
      </c>
      <c r="AU9" s="59"/>
      <c r="AV9" s="59"/>
      <c r="AW9" s="60"/>
      <c r="AX9" s="59"/>
      <c r="AY9" s="59"/>
      <c r="AZ9" s="60"/>
      <c r="BA9" s="59"/>
      <c r="BB9" s="59"/>
      <c r="BC9" s="60"/>
      <c r="BD9" s="59"/>
      <c r="BE9" s="59"/>
      <c r="BF9" s="60"/>
      <c r="BG9" s="61">
        <f t="shared" si="6"/>
        <v>0</v>
      </c>
      <c r="BH9" s="58"/>
      <c r="BI9" s="62">
        <f t="shared" si="7"/>
        <v>0</v>
      </c>
      <c r="BJ9" s="63"/>
      <c r="BK9" s="59"/>
      <c r="BL9" s="60"/>
      <c r="BM9" s="59"/>
      <c r="BN9" s="59"/>
      <c r="BO9" s="60"/>
      <c r="BP9" s="59"/>
      <c r="BQ9" s="59"/>
      <c r="BR9" s="60"/>
      <c r="BS9" s="59"/>
      <c r="BT9" s="59"/>
      <c r="BU9" s="60"/>
      <c r="BV9" s="62">
        <f t="shared" si="8"/>
        <v>0</v>
      </c>
      <c r="BW9" s="59">
        <f t="shared" si="9"/>
        <v>0</v>
      </c>
      <c r="BX9" s="61">
        <f t="shared" si="10"/>
        <v>0</v>
      </c>
      <c r="BY9" s="51"/>
      <c r="BZ9" s="54"/>
      <c r="CA9" s="57"/>
      <c r="CB9" s="54"/>
      <c r="CC9" s="54"/>
      <c r="CD9" s="57"/>
      <c r="CE9" s="54"/>
      <c r="CF9" s="54"/>
      <c r="CG9" s="57"/>
      <c r="CH9" s="54"/>
      <c r="CI9" s="54"/>
      <c r="CJ9" s="57"/>
      <c r="CK9" s="53">
        <f t="shared" si="11"/>
        <v>0</v>
      </c>
      <c r="CL9" s="51"/>
      <c r="CM9" s="54"/>
      <c r="CN9" s="57"/>
      <c r="CO9" s="54"/>
      <c r="CP9" s="54"/>
      <c r="CQ9" s="57"/>
      <c r="CR9" s="54"/>
      <c r="CS9" s="54"/>
      <c r="CT9" s="57"/>
      <c r="CU9" s="54"/>
      <c r="CV9" s="54"/>
      <c r="CW9" s="57"/>
      <c r="CX9" s="53">
        <f t="shared" si="12"/>
        <v>0</v>
      </c>
      <c r="CY9" s="51"/>
      <c r="CZ9" s="54">
        <v>24</v>
      </c>
      <c r="DA9" s="57"/>
      <c r="DB9" s="54"/>
      <c r="DC9" s="54"/>
      <c r="DD9" s="57"/>
      <c r="DE9" s="54"/>
      <c r="DF9" s="54"/>
      <c r="DG9" s="57"/>
      <c r="DH9" s="54"/>
      <c r="DI9" s="54"/>
      <c r="DJ9" s="57"/>
      <c r="DK9" s="53">
        <f t="shared" si="13"/>
        <v>24</v>
      </c>
      <c r="DL9" s="64"/>
      <c r="DM9" s="52">
        <v>6.0000000000000001E-3</v>
      </c>
      <c r="DN9" s="65">
        <v>3.5000000000000003E-2</v>
      </c>
      <c r="DO9" s="52">
        <v>6.4000000000000001E-2</v>
      </c>
      <c r="DP9" s="52">
        <v>9.4E-2</v>
      </c>
      <c r="DQ9" s="65">
        <v>0.124</v>
      </c>
      <c r="DR9" s="52">
        <v>0.156</v>
      </c>
      <c r="DS9" s="52">
        <v>0.191</v>
      </c>
      <c r="DT9" s="65">
        <v>0.22600000000000001</v>
      </c>
      <c r="DU9" s="52">
        <v>0.26700000000000002</v>
      </c>
      <c r="DV9" s="52">
        <v>0.316</v>
      </c>
      <c r="DW9" s="66">
        <v>0.36799999999999999</v>
      </c>
      <c r="DX9" s="54"/>
      <c r="DY9" s="54"/>
      <c r="DZ9" s="57"/>
      <c r="EA9" s="54"/>
      <c r="EB9" s="54"/>
      <c r="EC9" s="57"/>
      <c r="ED9" s="54"/>
      <c r="EE9" s="54"/>
      <c r="EF9" s="57"/>
      <c r="EG9" s="54"/>
      <c r="EH9" s="54"/>
      <c r="EI9" s="57"/>
      <c r="EJ9" s="53">
        <f t="shared" si="14"/>
        <v>0</v>
      </c>
      <c r="EK9" s="54"/>
      <c r="EL9" s="54"/>
      <c r="EM9" s="57"/>
      <c r="EN9" s="54"/>
      <c r="EO9" s="54"/>
      <c r="EP9" s="57"/>
      <c r="EQ9" s="54"/>
      <c r="ER9" s="54"/>
      <c r="ES9" s="57"/>
      <c r="ET9" s="54"/>
      <c r="EU9" s="54"/>
      <c r="EV9" s="57"/>
      <c r="EW9" s="53">
        <f t="shared" si="15"/>
        <v>0</v>
      </c>
    </row>
    <row r="10" spans="1:153" ht="18.75" customHeight="1" x14ac:dyDescent="0.25">
      <c r="A10" s="51" t="s">
        <v>19</v>
      </c>
      <c r="B10" s="52">
        <v>1</v>
      </c>
      <c r="C10" s="53">
        <v>77</v>
      </c>
      <c r="D10" s="51"/>
      <c r="E10" s="54"/>
      <c r="F10" s="57"/>
      <c r="G10" s="54"/>
      <c r="H10" s="54"/>
      <c r="I10" s="57"/>
      <c r="J10" s="54"/>
      <c r="K10" s="54"/>
      <c r="L10" s="57"/>
      <c r="M10" s="54"/>
      <c r="N10" s="54"/>
      <c r="O10" s="57"/>
      <c r="P10" s="53">
        <f t="shared" si="2"/>
        <v>0</v>
      </c>
      <c r="Q10" s="51"/>
      <c r="R10" s="54"/>
      <c r="S10" s="55"/>
      <c r="T10" s="56"/>
      <c r="U10" s="54"/>
      <c r="V10" s="57"/>
      <c r="W10" s="54"/>
      <c r="X10" s="54"/>
      <c r="Y10" s="57"/>
      <c r="Z10" s="54"/>
      <c r="AA10" s="54"/>
      <c r="AB10" s="57"/>
      <c r="AC10" s="54"/>
      <c r="AD10" s="54"/>
      <c r="AE10" s="57"/>
      <c r="AF10" s="55">
        <f t="shared" si="3"/>
        <v>0</v>
      </c>
      <c r="AG10" s="54">
        <f t="shared" si="4"/>
        <v>0</v>
      </c>
      <c r="AH10" s="58"/>
      <c r="AI10" s="59"/>
      <c r="AJ10" s="60"/>
      <c r="AK10" s="59"/>
      <c r="AL10" s="59"/>
      <c r="AM10" s="60"/>
      <c r="AN10" s="59"/>
      <c r="AO10" s="59"/>
      <c r="AP10" s="60"/>
      <c r="AQ10" s="59"/>
      <c r="AR10" s="59"/>
      <c r="AS10" s="60"/>
      <c r="AT10" s="61">
        <f t="shared" si="5"/>
        <v>0</v>
      </c>
      <c r="AU10" s="59"/>
      <c r="AV10" s="59"/>
      <c r="AW10" s="60"/>
      <c r="AX10" s="59"/>
      <c r="AY10" s="59"/>
      <c r="AZ10" s="60"/>
      <c r="BA10" s="59"/>
      <c r="BB10" s="59"/>
      <c r="BC10" s="60"/>
      <c r="BD10" s="59"/>
      <c r="BE10" s="59"/>
      <c r="BF10" s="60"/>
      <c r="BG10" s="61">
        <f t="shared" si="6"/>
        <v>0</v>
      </c>
      <c r="BH10" s="58"/>
      <c r="BI10" s="62">
        <f t="shared" si="7"/>
        <v>0</v>
      </c>
      <c r="BJ10" s="63"/>
      <c r="BK10" s="59"/>
      <c r="BL10" s="60"/>
      <c r="BM10" s="59"/>
      <c r="BN10" s="59"/>
      <c r="BO10" s="60"/>
      <c r="BP10" s="59"/>
      <c r="BQ10" s="59"/>
      <c r="BR10" s="60"/>
      <c r="BS10" s="59"/>
      <c r="BT10" s="59"/>
      <c r="BU10" s="60"/>
      <c r="BV10" s="62">
        <f t="shared" si="8"/>
        <v>0</v>
      </c>
      <c r="BW10" s="59">
        <f t="shared" si="9"/>
        <v>0</v>
      </c>
      <c r="BX10" s="61">
        <f t="shared" si="10"/>
        <v>0</v>
      </c>
      <c r="BY10" s="51"/>
      <c r="BZ10" s="54"/>
      <c r="CA10" s="57"/>
      <c r="CB10" s="54"/>
      <c r="CC10" s="54"/>
      <c r="CD10" s="57"/>
      <c r="CE10" s="54"/>
      <c r="CF10" s="54"/>
      <c r="CG10" s="57"/>
      <c r="CH10" s="54"/>
      <c r="CI10" s="54"/>
      <c r="CJ10" s="57"/>
      <c r="CK10" s="53">
        <f t="shared" si="11"/>
        <v>0</v>
      </c>
      <c r="CL10" s="51"/>
      <c r="CM10" s="54"/>
      <c r="CN10" s="57"/>
      <c r="CO10" s="54"/>
      <c r="CP10" s="54"/>
      <c r="CQ10" s="57"/>
      <c r="CR10" s="54"/>
      <c r="CS10" s="54"/>
      <c r="CT10" s="57"/>
      <c r="CU10" s="54"/>
      <c r="CV10" s="54"/>
      <c r="CW10" s="57"/>
      <c r="CX10" s="53">
        <f t="shared" si="12"/>
        <v>0</v>
      </c>
      <c r="CY10" s="51"/>
      <c r="CZ10" s="54"/>
      <c r="DA10" s="57"/>
      <c r="DB10" s="54"/>
      <c r="DC10" s="54"/>
      <c r="DD10" s="57"/>
      <c r="DE10" s="54"/>
      <c r="DF10" s="54"/>
      <c r="DG10" s="57"/>
      <c r="DH10" s="54"/>
      <c r="DI10" s="54"/>
      <c r="DJ10" s="57"/>
      <c r="DK10" s="53">
        <f t="shared" si="13"/>
        <v>0</v>
      </c>
      <c r="DL10" s="64"/>
      <c r="DM10" s="52"/>
      <c r="DN10" s="65"/>
      <c r="DO10" s="52"/>
      <c r="DP10" s="52"/>
      <c r="DQ10" s="65"/>
      <c r="DR10" s="52"/>
      <c r="DS10" s="52"/>
      <c r="DT10" s="65"/>
      <c r="DU10" s="52"/>
      <c r="DV10" s="52"/>
      <c r="DW10" s="66"/>
      <c r="DX10" s="54"/>
      <c r="DY10" s="54"/>
      <c r="DZ10" s="57"/>
      <c r="EA10" s="54"/>
      <c r="EB10" s="54"/>
      <c r="EC10" s="57"/>
      <c r="ED10" s="54"/>
      <c r="EE10" s="54"/>
      <c r="EF10" s="57"/>
      <c r="EG10" s="54"/>
      <c r="EH10" s="54"/>
      <c r="EI10" s="57"/>
      <c r="EJ10" s="53">
        <f t="shared" si="14"/>
        <v>0</v>
      </c>
      <c r="EK10" s="54"/>
      <c r="EL10" s="54"/>
      <c r="EM10" s="57"/>
      <c r="EN10" s="54"/>
      <c r="EO10" s="54"/>
      <c r="EP10" s="57"/>
      <c r="EQ10" s="54"/>
      <c r="ER10" s="54"/>
      <c r="ES10" s="57"/>
      <c r="ET10" s="54"/>
      <c r="EU10" s="54"/>
      <c r="EV10" s="57"/>
      <c r="EW10" s="53">
        <f t="shared" si="15"/>
        <v>0</v>
      </c>
    </row>
    <row r="11" spans="1:153" ht="20.100000000000001" customHeight="1" x14ac:dyDescent="0.25">
      <c r="A11" s="51" t="s">
        <v>74</v>
      </c>
      <c r="B11" s="52">
        <v>1</v>
      </c>
      <c r="C11" s="53">
        <v>64</v>
      </c>
      <c r="D11" s="51"/>
      <c r="E11" s="54"/>
      <c r="F11" s="57"/>
      <c r="G11" s="54"/>
      <c r="H11" s="54"/>
      <c r="I11" s="57"/>
      <c r="J11" s="54"/>
      <c r="K11" s="54"/>
      <c r="L11" s="57"/>
      <c r="M11" s="54"/>
      <c r="N11" s="54"/>
      <c r="O11" s="57"/>
      <c r="P11" s="53">
        <f t="shared" si="2"/>
        <v>0</v>
      </c>
      <c r="Q11" s="51"/>
      <c r="R11" s="54"/>
      <c r="S11" s="55"/>
      <c r="T11" s="56"/>
      <c r="U11" s="54"/>
      <c r="V11" s="57"/>
      <c r="W11" s="54"/>
      <c r="X11" s="54"/>
      <c r="Y11" s="57"/>
      <c r="Z11" s="54"/>
      <c r="AA11" s="54"/>
      <c r="AB11" s="57"/>
      <c r="AC11" s="54"/>
      <c r="AD11" s="54"/>
      <c r="AE11" s="57"/>
      <c r="AF11" s="55">
        <f t="shared" si="3"/>
        <v>0</v>
      </c>
      <c r="AG11" s="54">
        <f t="shared" si="4"/>
        <v>0</v>
      </c>
      <c r="AH11" s="58"/>
      <c r="AI11" s="59"/>
      <c r="AJ11" s="60"/>
      <c r="AK11" s="59"/>
      <c r="AL11" s="59"/>
      <c r="AM11" s="60"/>
      <c r="AN11" s="59"/>
      <c r="AO11" s="59"/>
      <c r="AP11" s="60"/>
      <c r="AQ11" s="59"/>
      <c r="AR11" s="59"/>
      <c r="AS11" s="60"/>
      <c r="AT11" s="61">
        <f t="shared" si="5"/>
        <v>0</v>
      </c>
      <c r="AU11" s="59"/>
      <c r="AV11" s="59"/>
      <c r="AW11" s="60"/>
      <c r="AX11" s="59"/>
      <c r="AY11" s="59"/>
      <c r="AZ11" s="60"/>
      <c r="BA11" s="59"/>
      <c r="BB11" s="59"/>
      <c r="BC11" s="60"/>
      <c r="BD11" s="59"/>
      <c r="BE11" s="59"/>
      <c r="BF11" s="60"/>
      <c r="BG11" s="61">
        <f t="shared" si="6"/>
        <v>0</v>
      </c>
      <c r="BH11" s="58"/>
      <c r="BI11" s="62">
        <f t="shared" si="7"/>
        <v>0</v>
      </c>
      <c r="BJ11" s="63"/>
      <c r="BK11" s="59"/>
      <c r="BL11" s="60"/>
      <c r="BM11" s="59"/>
      <c r="BN11" s="59"/>
      <c r="BO11" s="60"/>
      <c r="BP11" s="59"/>
      <c r="BQ11" s="59"/>
      <c r="BR11" s="60"/>
      <c r="BS11" s="59"/>
      <c r="BT11" s="59"/>
      <c r="BU11" s="60"/>
      <c r="BV11" s="62">
        <f t="shared" si="8"/>
        <v>0</v>
      </c>
      <c r="BW11" s="59">
        <f t="shared" si="9"/>
        <v>0</v>
      </c>
      <c r="BX11" s="61">
        <f t="shared" si="10"/>
        <v>0</v>
      </c>
      <c r="BY11" s="51"/>
      <c r="BZ11" s="54"/>
      <c r="CA11" s="57"/>
      <c r="CB11" s="54"/>
      <c r="CC11" s="54"/>
      <c r="CD11" s="57"/>
      <c r="CE11" s="54"/>
      <c r="CF11" s="54"/>
      <c r="CG11" s="57"/>
      <c r="CH11" s="54"/>
      <c r="CI11" s="54"/>
      <c r="CJ11" s="57"/>
      <c r="CK11" s="53">
        <f t="shared" si="11"/>
        <v>0</v>
      </c>
      <c r="CL11" s="51"/>
      <c r="CM11" s="54"/>
      <c r="CN11" s="57"/>
      <c r="CO11" s="54"/>
      <c r="CP11" s="54"/>
      <c r="CQ11" s="57"/>
      <c r="CR11" s="54"/>
      <c r="CS11" s="54"/>
      <c r="CT11" s="57"/>
      <c r="CU11" s="54"/>
      <c r="CV11" s="54"/>
      <c r="CW11" s="57"/>
      <c r="CX11" s="53">
        <f t="shared" si="12"/>
        <v>0</v>
      </c>
      <c r="CY11" s="51"/>
      <c r="CZ11" s="54"/>
      <c r="DA11" s="57"/>
      <c r="DB11" s="54"/>
      <c r="DC11" s="54"/>
      <c r="DD11" s="57"/>
      <c r="DE11" s="54"/>
      <c r="DF11" s="54"/>
      <c r="DG11" s="57"/>
      <c r="DH11" s="54"/>
      <c r="DI11" s="54"/>
      <c r="DJ11" s="57"/>
      <c r="DK11" s="53">
        <f t="shared" si="13"/>
        <v>0</v>
      </c>
      <c r="DL11" s="64">
        <v>0.97</v>
      </c>
      <c r="DM11" s="52">
        <v>1</v>
      </c>
      <c r="DN11" s="65"/>
      <c r="DO11" s="52"/>
      <c r="DP11" s="52"/>
      <c r="DQ11" s="65"/>
      <c r="DR11" s="52"/>
      <c r="DS11" s="52"/>
      <c r="DT11" s="65"/>
      <c r="DU11" s="52"/>
      <c r="DV11" s="52"/>
      <c r="DW11" s="66"/>
      <c r="DX11" s="54"/>
      <c r="DY11" s="54">
        <v>64</v>
      </c>
      <c r="DZ11" s="57"/>
      <c r="EA11" s="54"/>
      <c r="EB11" s="54"/>
      <c r="EC11" s="57"/>
      <c r="ED11" s="54"/>
      <c r="EE11" s="54"/>
      <c r="EF11" s="57"/>
      <c r="EG11" s="54"/>
      <c r="EH11" s="54"/>
      <c r="EI11" s="57"/>
      <c r="EJ11" s="53">
        <f t="shared" si="14"/>
        <v>64</v>
      </c>
      <c r="EK11" s="54"/>
      <c r="EL11" s="54"/>
      <c r="EM11" s="57"/>
      <c r="EN11" s="54"/>
      <c r="EO11" s="54"/>
      <c r="EP11" s="57"/>
      <c r="EQ11" s="54"/>
      <c r="ER11" s="54"/>
      <c r="ES11" s="57"/>
      <c r="ET11" s="54"/>
      <c r="EU11" s="54"/>
      <c r="EV11" s="57"/>
      <c r="EW11" s="53">
        <f t="shared" si="15"/>
        <v>0</v>
      </c>
    </row>
    <row r="12" spans="1:153" ht="20.100000000000001" customHeight="1" x14ac:dyDescent="0.25">
      <c r="A12" s="51" t="s">
        <v>89</v>
      </c>
      <c r="B12" s="52">
        <v>1</v>
      </c>
      <c r="C12" s="53">
        <v>54</v>
      </c>
      <c r="D12" s="51"/>
      <c r="E12" s="54"/>
      <c r="F12" s="57"/>
      <c r="G12" s="54"/>
      <c r="H12" s="54"/>
      <c r="I12" s="57"/>
      <c r="J12" s="54"/>
      <c r="K12" s="54"/>
      <c r="L12" s="57"/>
      <c r="M12" s="54"/>
      <c r="N12" s="54"/>
      <c r="O12" s="57"/>
      <c r="P12" s="53">
        <f t="shared" si="2"/>
        <v>0</v>
      </c>
      <c r="Q12" s="51"/>
      <c r="R12" s="54"/>
      <c r="S12" s="55"/>
      <c r="T12" s="56"/>
      <c r="U12" s="54"/>
      <c r="V12" s="57"/>
      <c r="W12" s="54"/>
      <c r="X12" s="54"/>
      <c r="Y12" s="57"/>
      <c r="Z12" s="54"/>
      <c r="AA12" s="54"/>
      <c r="AB12" s="57"/>
      <c r="AC12" s="54"/>
      <c r="AD12" s="54"/>
      <c r="AE12" s="57"/>
      <c r="AF12" s="55">
        <f t="shared" si="3"/>
        <v>0</v>
      </c>
      <c r="AG12" s="54">
        <f t="shared" si="4"/>
        <v>0</v>
      </c>
      <c r="AH12" s="58"/>
      <c r="AI12" s="59"/>
      <c r="AJ12" s="60"/>
      <c r="AK12" s="59"/>
      <c r="AL12" s="59"/>
      <c r="AM12" s="60"/>
      <c r="AN12" s="59"/>
      <c r="AO12" s="59"/>
      <c r="AP12" s="60"/>
      <c r="AQ12" s="59"/>
      <c r="AR12" s="59"/>
      <c r="AS12" s="60"/>
      <c r="AT12" s="61">
        <f t="shared" si="5"/>
        <v>0</v>
      </c>
      <c r="AU12" s="59"/>
      <c r="AV12" s="59"/>
      <c r="AW12" s="60"/>
      <c r="AX12" s="59"/>
      <c r="AY12" s="59"/>
      <c r="AZ12" s="60"/>
      <c r="BA12" s="59"/>
      <c r="BB12" s="59"/>
      <c r="BC12" s="60"/>
      <c r="BD12" s="59"/>
      <c r="BE12" s="59"/>
      <c r="BF12" s="60"/>
      <c r="BG12" s="61">
        <f t="shared" si="6"/>
        <v>0</v>
      </c>
      <c r="BH12" s="58"/>
      <c r="BI12" s="62">
        <f t="shared" si="7"/>
        <v>0</v>
      </c>
      <c r="BJ12" s="63"/>
      <c r="BK12" s="59"/>
      <c r="BL12" s="60"/>
      <c r="BM12" s="59"/>
      <c r="BN12" s="59"/>
      <c r="BO12" s="60"/>
      <c r="BP12" s="59"/>
      <c r="BQ12" s="59"/>
      <c r="BR12" s="60"/>
      <c r="BS12" s="59"/>
      <c r="BT12" s="59"/>
      <c r="BU12" s="60"/>
      <c r="BV12" s="62">
        <f t="shared" si="8"/>
        <v>0</v>
      </c>
      <c r="BW12" s="59">
        <f t="shared" si="9"/>
        <v>0</v>
      </c>
      <c r="BX12" s="61">
        <f t="shared" si="10"/>
        <v>0</v>
      </c>
      <c r="BY12" s="51"/>
      <c r="BZ12" s="54"/>
      <c r="CA12" s="57"/>
      <c r="CB12" s="54"/>
      <c r="CC12" s="54"/>
      <c r="CD12" s="57"/>
      <c r="CE12" s="54"/>
      <c r="CF12" s="54"/>
      <c r="CG12" s="57"/>
      <c r="CH12" s="54"/>
      <c r="CI12" s="54"/>
      <c r="CJ12" s="57"/>
      <c r="CK12" s="53">
        <f t="shared" si="11"/>
        <v>0</v>
      </c>
      <c r="CL12" s="51"/>
      <c r="CM12" s="54"/>
      <c r="CN12" s="57"/>
      <c r="CO12" s="54"/>
      <c r="CP12" s="54"/>
      <c r="CQ12" s="57"/>
      <c r="CR12" s="54"/>
      <c r="CS12" s="54"/>
      <c r="CT12" s="57"/>
      <c r="CU12" s="54"/>
      <c r="CV12" s="54"/>
      <c r="CW12" s="57"/>
      <c r="CX12" s="53">
        <f t="shared" si="12"/>
        <v>0</v>
      </c>
      <c r="CY12" s="51"/>
      <c r="CZ12" s="54"/>
      <c r="DA12" s="57"/>
      <c r="DB12" s="54"/>
      <c r="DC12" s="54"/>
      <c r="DD12" s="57"/>
      <c r="DE12" s="54"/>
      <c r="DF12" s="54"/>
      <c r="DG12" s="57"/>
      <c r="DH12" s="54"/>
      <c r="DI12" s="54"/>
      <c r="DJ12" s="57"/>
      <c r="DK12" s="53">
        <f t="shared" si="13"/>
        <v>0</v>
      </c>
      <c r="DL12" s="64">
        <v>0.83</v>
      </c>
      <c r="DM12" s="52">
        <v>0.87</v>
      </c>
      <c r="DN12" s="65">
        <v>0.91</v>
      </c>
      <c r="DO12" s="52">
        <v>0.94</v>
      </c>
      <c r="DP12" s="52">
        <v>0.97</v>
      </c>
      <c r="DQ12" s="65">
        <v>1</v>
      </c>
      <c r="DR12" s="52"/>
      <c r="DS12" s="52"/>
      <c r="DT12" s="65"/>
      <c r="DU12" s="52"/>
      <c r="DV12" s="52"/>
      <c r="DW12" s="66"/>
      <c r="DX12" s="54"/>
      <c r="DY12" s="54"/>
      <c r="DZ12" s="57"/>
      <c r="EA12" s="54"/>
      <c r="EB12" s="54"/>
      <c r="EC12" s="57"/>
      <c r="ED12" s="54">
        <v>54</v>
      </c>
      <c r="EE12" s="54"/>
      <c r="EF12" s="57"/>
      <c r="EG12" s="54"/>
      <c r="EH12" s="54"/>
      <c r="EI12" s="57"/>
      <c r="EJ12" s="53">
        <f t="shared" si="14"/>
        <v>54</v>
      </c>
      <c r="EK12" s="54"/>
      <c r="EL12" s="54"/>
      <c r="EM12" s="57"/>
      <c r="EN12" s="54"/>
      <c r="EO12" s="54"/>
      <c r="EP12" s="57"/>
      <c r="EQ12" s="54"/>
      <c r="ER12" s="54"/>
      <c r="ES12" s="57"/>
      <c r="ET12" s="54"/>
      <c r="EU12" s="54"/>
      <c r="EV12" s="57"/>
      <c r="EW12" s="53">
        <f t="shared" si="15"/>
        <v>0</v>
      </c>
    </row>
    <row r="13" spans="1:153" ht="20.100000000000001" customHeight="1" x14ac:dyDescent="0.25">
      <c r="A13" s="51" t="s">
        <v>90</v>
      </c>
      <c r="B13" s="52">
        <v>1</v>
      </c>
      <c r="C13" s="53">
        <v>56</v>
      </c>
      <c r="D13" s="51"/>
      <c r="E13" s="54"/>
      <c r="F13" s="57"/>
      <c r="G13" s="54"/>
      <c r="H13" s="54"/>
      <c r="I13" s="57"/>
      <c r="J13" s="54"/>
      <c r="K13" s="54"/>
      <c r="L13" s="57"/>
      <c r="M13" s="54"/>
      <c r="N13" s="54"/>
      <c r="O13" s="57"/>
      <c r="P13" s="53">
        <f t="shared" si="2"/>
        <v>0</v>
      </c>
      <c r="Q13" s="51"/>
      <c r="R13" s="54"/>
      <c r="S13" s="55"/>
      <c r="T13" s="56"/>
      <c r="U13" s="54"/>
      <c r="V13" s="57"/>
      <c r="W13" s="54"/>
      <c r="X13" s="54"/>
      <c r="Y13" s="57"/>
      <c r="Z13" s="54"/>
      <c r="AA13" s="54"/>
      <c r="AB13" s="57"/>
      <c r="AC13" s="54"/>
      <c r="AD13" s="54"/>
      <c r="AE13" s="57"/>
      <c r="AF13" s="55">
        <f t="shared" si="3"/>
        <v>0</v>
      </c>
      <c r="AG13" s="54">
        <f t="shared" si="4"/>
        <v>0</v>
      </c>
      <c r="AH13" s="58"/>
      <c r="AI13" s="59"/>
      <c r="AJ13" s="60"/>
      <c r="AK13" s="59"/>
      <c r="AL13" s="59"/>
      <c r="AM13" s="60"/>
      <c r="AN13" s="59"/>
      <c r="AO13" s="59"/>
      <c r="AP13" s="60"/>
      <c r="AQ13" s="59"/>
      <c r="AR13" s="59"/>
      <c r="AS13" s="60"/>
      <c r="AT13" s="61">
        <f t="shared" si="5"/>
        <v>0</v>
      </c>
      <c r="AU13" s="59"/>
      <c r="AV13" s="59"/>
      <c r="AW13" s="60"/>
      <c r="AX13" s="59"/>
      <c r="AY13" s="59"/>
      <c r="AZ13" s="60"/>
      <c r="BA13" s="59"/>
      <c r="BB13" s="59"/>
      <c r="BC13" s="60"/>
      <c r="BD13" s="59"/>
      <c r="BE13" s="59"/>
      <c r="BF13" s="60"/>
      <c r="BG13" s="61">
        <f t="shared" si="6"/>
        <v>0</v>
      </c>
      <c r="BH13" s="58"/>
      <c r="BI13" s="62">
        <f t="shared" si="7"/>
        <v>0</v>
      </c>
      <c r="BJ13" s="63"/>
      <c r="BK13" s="59"/>
      <c r="BL13" s="60"/>
      <c r="BM13" s="59"/>
      <c r="BN13" s="59"/>
      <c r="BO13" s="60"/>
      <c r="BP13" s="59"/>
      <c r="BQ13" s="59"/>
      <c r="BR13" s="60"/>
      <c r="BS13" s="59"/>
      <c r="BT13" s="59"/>
      <c r="BU13" s="60"/>
      <c r="BV13" s="62">
        <f t="shared" si="8"/>
        <v>0</v>
      </c>
      <c r="BW13" s="59">
        <f t="shared" si="9"/>
        <v>0</v>
      </c>
      <c r="BX13" s="61">
        <f t="shared" si="10"/>
        <v>0</v>
      </c>
      <c r="BY13" s="51"/>
      <c r="BZ13" s="54"/>
      <c r="CA13" s="57"/>
      <c r="CB13" s="54"/>
      <c r="CC13" s="54"/>
      <c r="CD13" s="57"/>
      <c r="CE13" s="54"/>
      <c r="CF13" s="54"/>
      <c r="CG13" s="57"/>
      <c r="CH13" s="54"/>
      <c r="CI13" s="54"/>
      <c r="CJ13" s="57"/>
      <c r="CK13" s="53">
        <f t="shared" si="11"/>
        <v>0</v>
      </c>
      <c r="CL13" s="51"/>
      <c r="CM13" s="54"/>
      <c r="CN13" s="57"/>
      <c r="CO13" s="54"/>
      <c r="CP13" s="54"/>
      <c r="CQ13" s="57"/>
      <c r="CR13" s="54"/>
      <c r="CS13" s="54"/>
      <c r="CT13" s="57"/>
      <c r="CU13" s="54"/>
      <c r="CV13" s="54"/>
      <c r="CW13" s="57"/>
      <c r="CX13" s="53">
        <f t="shared" si="12"/>
        <v>0</v>
      </c>
      <c r="CY13" s="51"/>
      <c r="CZ13" s="54"/>
      <c r="DA13" s="57"/>
      <c r="DB13" s="54"/>
      <c r="DC13" s="54"/>
      <c r="DD13" s="57"/>
      <c r="DE13" s="54"/>
      <c r="DF13" s="54"/>
      <c r="DG13" s="57"/>
      <c r="DH13" s="54"/>
      <c r="DI13" s="54"/>
      <c r="DJ13" s="57"/>
      <c r="DK13" s="53">
        <f t="shared" si="13"/>
        <v>0</v>
      </c>
      <c r="DL13" s="64">
        <v>0.91</v>
      </c>
      <c r="DM13" s="52">
        <v>0.95</v>
      </c>
      <c r="DN13" s="65">
        <v>0.97</v>
      </c>
      <c r="DO13" s="52">
        <v>1</v>
      </c>
      <c r="DP13" s="52"/>
      <c r="DQ13" s="65"/>
      <c r="DR13" s="52"/>
      <c r="DS13" s="52"/>
      <c r="DT13" s="65"/>
      <c r="DU13" s="52"/>
      <c r="DV13" s="52"/>
      <c r="DW13" s="66"/>
      <c r="DX13" s="54"/>
      <c r="DY13" s="54"/>
      <c r="DZ13" s="57"/>
      <c r="EA13" s="54"/>
      <c r="EB13" s="54">
        <v>56</v>
      </c>
      <c r="EC13" s="57"/>
      <c r="ED13" s="54"/>
      <c r="EE13" s="54"/>
      <c r="EF13" s="57"/>
      <c r="EG13" s="54"/>
      <c r="EH13" s="54"/>
      <c r="EI13" s="57"/>
      <c r="EJ13" s="53">
        <f t="shared" si="14"/>
        <v>56</v>
      </c>
      <c r="EK13" s="54"/>
      <c r="EL13" s="54"/>
      <c r="EM13" s="57"/>
      <c r="EN13" s="54"/>
      <c r="EO13" s="54"/>
      <c r="EP13" s="57"/>
      <c r="EQ13" s="54"/>
      <c r="ER13" s="54"/>
      <c r="ES13" s="57"/>
      <c r="ET13" s="54"/>
      <c r="EU13" s="54"/>
      <c r="EV13" s="57"/>
      <c r="EW13" s="53">
        <f t="shared" si="15"/>
        <v>0</v>
      </c>
    </row>
    <row r="14" spans="1:153" ht="20.100000000000001" customHeight="1" x14ac:dyDescent="0.25">
      <c r="A14" s="51" t="s">
        <v>91</v>
      </c>
      <c r="B14" s="52">
        <v>1</v>
      </c>
      <c r="C14" s="53">
        <v>80</v>
      </c>
      <c r="D14" s="51"/>
      <c r="E14" s="54"/>
      <c r="F14" s="57"/>
      <c r="G14" s="54"/>
      <c r="H14" s="54"/>
      <c r="I14" s="57"/>
      <c r="J14" s="54"/>
      <c r="K14" s="54"/>
      <c r="L14" s="57"/>
      <c r="M14" s="54"/>
      <c r="N14" s="54"/>
      <c r="O14" s="57"/>
      <c r="P14" s="53">
        <f t="shared" si="2"/>
        <v>0</v>
      </c>
      <c r="Q14" s="51"/>
      <c r="R14" s="54"/>
      <c r="S14" s="55"/>
      <c r="T14" s="56"/>
      <c r="U14" s="54"/>
      <c r="V14" s="57"/>
      <c r="W14" s="54"/>
      <c r="X14" s="54"/>
      <c r="Y14" s="57"/>
      <c r="Z14" s="54"/>
      <c r="AA14" s="54"/>
      <c r="AB14" s="57"/>
      <c r="AC14" s="54"/>
      <c r="AD14" s="54"/>
      <c r="AE14" s="57"/>
      <c r="AF14" s="55">
        <f t="shared" si="3"/>
        <v>0</v>
      </c>
      <c r="AG14" s="54">
        <f t="shared" si="4"/>
        <v>0</v>
      </c>
      <c r="AH14" s="58"/>
      <c r="AI14" s="59"/>
      <c r="AJ14" s="60"/>
      <c r="AK14" s="59"/>
      <c r="AL14" s="59"/>
      <c r="AM14" s="60"/>
      <c r="AN14" s="59"/>
      <c r="AO14" s="59"/>
      <c r="AP14" s="60"/>
      <c r="AQ14" s="59"/>
      <c r="AR14" s="59"/>
      <c r="AS14" s="60"/>
      <c r="AT14" s="61">
        <f t="shared" si="5"/>
        <v>0</v>
      </c>
      <c r="AU14" s="59"/>
      <c r="AV14" s="59"/>
      <c r="AW14" s="60"/>
      <c r="AX14" s="59"/>
      <c r="AY14" s="59"/>
      <c r="AZ14" s="60"/>
      <c r="BA14" s="59"/>
      <c r="BB14" s="59"/>
      <c r="BC14" s="60"/>
      <c r="BD14" s="59"/>
      <c r="BE14" s="59"/>
      <c r="BF14" s="60"/>
      <c r="BG14" s="61">
        <f t="shared" si="6"/>
        <v>0</v>
      </c>
      <c r="BH14" s="58"/>
      <c r="BI14" s="62">
        <f t="shared" si="7"/>
        <v>0</v>
      </c>
      <c r="BJ14" s="63"/>
      <c r="BK14" s="59"/>
      <c r="BL14" s="60"/>
      <c r="BM14" s="59"/>
      <c r="BN14" s="59"/>
      <c r="BO14" s="60"/>
      <c r="BP14" s="59"/>
      <c r="BQ14" s="59"/>
      <c r="BR14" s="60"/>
      <c r="BS14" s="59"/>
      <c r="BT14" s="59"/>
      <c r="BU14" s="60"/>
      <c r="BV14" s="62">
        <f t="shared" si="8"/>
        <v>0</v>
      </c>
      <c r="BW14" s="59">
        <f t="shared" si="9"/>
        <v>0</v>
      </c>
      <c r="BX14" s="61">
        <f t="shared" si="10"/>
        <v>0</v>
      </c>
      <c r="BY14" s="51"/>
      <c r="BZ14" s="54"/>
      <c r="CA14" s="57"/>
      <c r="CB14" s="54"/>
      <c r="CC14" s="54"/>
      <c r="CD14" s="57"/>
      <c r="CE14" s="54"/>
      <c r="CF14" s="54"/>
      <c r="CG14" s="57"/>
      <c r="CH14" s="54"/>
      <c r="CI14" s="54"/>
      <c r="CJ14" s="57"/>
      <c r="CK14" s="53">
        <f t="shared" si="11"/>
        <v>0</v>
      </c>
      <c r="CL14" s="51"/>
      <c r="CM14" s="54"/>
      <c r="CN14" s="57"/>
      <c r="CO14" s="54"/>
      <c r="CP14" s="54"/>
      <c r="CQ14" s="57"/>
      <c r="CR14" s="54"/>
      <c r="CS14" s="54"/>
      <c r="CT14" s="57"/>
      <c r="CU14" s="54"/>
      <c r="CV14" s="54"/>
      <c r="CW14" s="57"/>
      <c r="CX14" s="53">
        <f t="shared" si="12"/>
        <v>0</v>
      </c>
      <c r="CY14" s="51"/>
      <c r="CZ14" s="54"/>
      <c r="DA14" s="57"/>
      <c r="DB14" s="54"/>
      <c r="DC14" s="54"/>
      <c r="DD14" s="57"/>
      <c r="DE14" s="54"/>
      <c r="DF14" s="54"/>
      <c r="DG14" s="57"/>
      <c r="DH14" s="54"/>
      <c r="DI14" s="54"/>
      <c r="DJ14" s="57"/>
      <c r="DK14" s="53">
        <f t="shared" si="13"/>
        <v>0</v>
      </c>
      <c r="DL14" s="64">
        <v>0.62</v>
      </c>
      <c r="DM14" s="52">
        <v>0.67</v>
      </c>
      <c r="DN14" s="65">
        <v>0.72</v>
      </c>
      <c r="DO14" s="52">
        <v>0.77</v>
      </c>
      <c r="DP14" s="52">
        <v>0.81</v>
      </c>
      <c r="DQ14" s="65">
        <v>0.86</v>
      </c>
      <c r="DR14" s="52">
        <v>0.89</v>
      </c>
      <c r="DS14" s="52">
        <v>0.92</v>
      </c>
      <c r="DT14" s="65">
        <v>0.95</v>
      </c>
      <c r="DU14" s="52">
        <v>0.97</v>
      </c>
      <c r="DV14" s="52">
        <v>1</v>
      </c>
      <c r="DW14" s="66"/>
      <c r="DX14" s="54"/>
      <c r="DY14" s="54"/>
      <c r="DZ14" s="57"/>
      <c r="EA14" s="54"/>
      <c r="EB14" s="54"/>
      <c r="EC14" s="57"/>
      <c r="ED14" s="54"/>
      <c r="EE14" s="54"/>
      <c r="EF14" s="57"/>
      <c r="EG14" s="54"/>
      <c r="EH14" s="54">
        <v>80</v>
      </c>
      <c r="EI14" s="57"/>
      <c r="EJ14" s="53">
        <f t="shared" si="14"/>
        <v>80</v>
      </c>
      <c r="EK14" s="54"/>
      <c r="EL14" s="54"/>
      <c r="EM14" s="57"/>
      <c r="EN14" s="54"/>
      <c r="EO14" s="54"/>
      <c r="EP14" s="57"/>
      <c r="EQ14" s="54"/>
      <c r="ER14" s="54"/>
      <c r="ES14" s="57"/>
      <c r="ET14" s="54"/>
      <c r="EU14" s="54"/>
      <c r="EV14" s="57"/>
      <c r="EW14" s="53">
        <f t="shared" si="15"/>
        <v>0</v>
      </c>
    </row>
    <row r="15" spans="1:153" ht="20.100000000000001" customHeight="1" x14ac:dyDescent="0.25">
      <c r="A15" s="51" t="s">
        <v>92</v>
      </c>
      <c r="B15" s="52">
        <v>1</v>
      </c>
      <c r="C15" s="53">
        <v>2</v>
      </c>
      <c r="D15" s="51"/>
      <c r="E15" s="54"/>
      <c r="F15" s="57"/>
      <c r="G15" s="54"/>
      <c r="H15" s="54"/>
      <c r="I15" s="57"/>
      <c r="J15" s="54"/>
      <c r="K15" s="54"/>
      <c r="L15" s="57"/>
      <c r="M15" s="54"/>
      <c r="N15" s="54"/>
      <c r="O15" s="57"/>
      <c r="P15" s="53">
        <f t="shared" si="2"/>
        <v>0</v>
      </c>
      <c r="Q15" s="51"/>
      <c r="R15" s="54"/>
      <c r="S15" s="55"/>
      <c r="T15" s="56"/>
      <c r="U15" s="54"/>
      <c r="V15" s="57"/>
      <c r="W15" s="54"/>
      <c r="X15" s="54"/>
      <c r="Y15" s="57"/>
      <c r="Z15" s="54"/>
      <c r="AA15" s="54"/>
      <c r="AB15" s="57"/>
      <c r="AC15" s="54"/>
      <c r="AD15" s="54"/>
      <c r="AE15" s="57"/>
      <c r="AF15" s="55">
        <f t="shared" si="3"/>
        <v>0</v>
      </c>
      <c r="AG15" s="54">
        <f t="shared" si="4"/>
        <v>0</v>
      </c>
      <c r="AH15" s="58"/>
      <c r="AI15" s="59"/>
      <c r="AJ15" s="60"/>
      <c r="AK15" s="59"/>
      <c r="AL15" s="59"/>
      <c r="AM15" s="60"/>
      <c r="AN15" s="59"/>
      <c r="AO15" s="59"/>
      <c r="AP15" s="60"/>
      <c r="AQ15" s="59"/>
      <c r="AR15" s="59"/>
      <c r="AS15" s="60"/>
      <c r="AT15" s="61">
        <f t="shared" si="5"/>
        <v>0</v>
      </c>
      <c r="AU15" s="59"/>
      <c r="AV15" s="59"/>
      <c r="AW15" s="60"/>
      <c r="AX15" s="59"/>
      <c r="AY15" s="59"/>
      <c r="AZ15" s="60"/>
      <c r="BA15" s="59"/>
      <c r="BB15" s="59"/>
      <c r="BC15" s="60"/>
      <c r="BD15" s="59"/>
      <c r="BE15" s="59"/>
      <c r="BF15" s="60"/>
      <c r="BG15" s="61">
        <f t="shared" si="6"/>
        <v>0</v>
      </c>
      <c r="BH15" s="58"/>
      <c r="BI15" s="62">
        <f t="shared" si="7"/>
        <v>0</v>
      </c>
      <c r="BJ15" s="63"/>
      <c r="BK15" s="59"/>
      <c r="BL15" s="60"/>
      <c r="BM15" s="59"/>
      <c r="BN15" s="59"/>
      <c r="BO15" s="60"/>
      <c r="BP15" s="59"/>
      <c r="BQ15" s="59"/>
      <c r="BR15" s="60"/>
      <c r="BS15" s="59"/>
      <c r="BT15" s="59"/>
      <c r="BU15" s="60"/>
      <c r="BV15" s="62">
        <f t="shared" si="8"/>
        <v>0</v>
      </c>
      <c r="BW15" s="59">
        <f t="shared" si="9"/>
        <v>0</v>
      </c>
      <c r="BX15" s="61">
        <f t="shared" si="10"/>
        <v>0</v>
      </c>
      <c r="BY15" s="51"/>
      <c r="BZ15" s="54"/>
      <c r="CA15" s="57"/>
      <c r="CB15" s="54"/>
      <c r="CC15" s="54"/>
      <c r="CD15" s="57"/>
      <c r="CE15" s="54"/>
      <c r="CF15" s="54"/>
      <c r="CG15" s="57"/>
      <c r="CH15" s="54"/>
      <c r="CI15" s="54"/>
      <c r="CJ15" s="57"/>
      <c r="CK15" s="53">
        <f t="shared" si="11"/>
        <v>0</v>
      </c>
      <c r="CL15" s="51"/>
      <c r="CM15" s="54"/>
      <c r="CN15" s="57"/>
      <c r="CO15" s="54"/>
      <c r="CP15" s="54"/>
      <c r="CQ15" s="57"/>
      <c r="CR15" s="54"/>
      <c r="CS15" s="54"/>
      <c r="CT15" s="57"/>
      <c r="CU15" s="54"/>
      <c r="CV15" s="54"/>
      <c r="CW15" s="57"/>
      <c r="CX15" s="53">
        <f t="shared" si="12"/>
        <v>0</v>
      </c>
      <c r="CY15" s="51"/>
      <c r="CZ15" s="54"/>
      <c r="DA15" s="57"/>
      <c r="DB15" s="54"/>
      <c r="DC15" s="54"/>
      <c r="DD15" s="57"/>
      <c r="DE15" s="54"/>
      <c r="DF15" s="54"/>
      <c r="DG15" s="57"/>
      <c r="DH15" s="54"/>
      <c r="DI15" s="54"/>
      <c r="DJ15" s="57"/>
      <c r="DK15" s="53">
        <f t="shared" si="13"/>
        <v>0</v>
      </c>
      <c r="DL15" s="64">
        <v>0.75</v>
      </c>
      <c r="DM15" s="52">
        <v>0.9</v>
      </c>
      <c r="DN15" s="65">
        <v>1</v>
      </c>
      <c r="DO15" s="52"/>
      <c r="DP15" s="52"/>
      <c r="DQ15" s="65"/>
      <c r="DR15" s="52"/>
      <c r="DS15" s="52"/>
      <c r="DT15" s="65"/>
      <c r="DU15" s="52"/>
      <c r="DV15" s="52"/>
      <c r="DW15" s="66"/>
      <c r="DX15" s="54"/>
      <c r="DY15" s="54"/>
      <c r="DZ15" s="57">
        <v>2</v>
      </c>
      <c r="EA15" s="54"/>
      <c r="EB15" s="54"/>
      <c r="EC15" s="57"/>
      <c r="ED15" s="54"/>
      <c r="EE15" s="54"/>
      <c r="EF15" s="57"/>
      <c r="EG15" s="54"/>
      <c r="EH15" s="54"/>
      <c r="EI15" s="57"/>
      <c r="EJ15" s="53">
        <f t="shared" si="14"/>
        <v>2</v>
      </c>
      <c r="EK15" s="54"/>
      <c r="EL15" s="54"/>
      <c r="EM15" s="57"/>
      <c r="EN15" s="54"/>
      <c r="EO15" s="54"/>
      <c r="EP15" s="57"/>
      <c r="EQ15" s="54"/>
      <c r="ER15" s="54"/>
      <c r="ES15" s="57"/>
      <c r="ET15" s="54"/>
      <c r="EU15" s="54"/>
      <c r="EV15" s="57"/>
      <c r="EW15" s="53">
        <f t="shared" si="15"/>
        <v>0</v>
      </c>
    </row>
    <row r="16" spans="1:153" ht="20.100000000000001" customHeight="1" x14ac:dyDescent="0.25">
      <c r="A16" s="51" t="s">
        <v>20</v>
      </c>
      <c r="B16" s="52">
        <v>1</v>
      </c>
      <c r="C16" s="53">
        <v>71</v>
      </c>
      <c r="D16" s="51"/>
      <c r="E16" s="54"/>
      <c r="F16" s="57"/>
      <c r="G16" s="54"/>
      <c r="H16" s="54"/>
      <c r="I16" s="57"/>
      <c r="J16" s="54"/>
      <c r="K16" s="54"/>
      <c r="L16" s="57"/>
      <c r="M16" s="54"/>
      <c r="N16" s="54"/>
      <c r="O16" s="57"/>
      <c r="P16" s="53">
        <f t="shared" si="2"/>
        <v>0</v>
      </c>
      <c r="Q16" s="51"/>
      <c r="R16" s="54"/>
      <c r="S16" s="55"/>
      <c r="T16" s="56"/>
      <c r="U16" s="54"/>
      <c r="V16" s="57"/>
      <c r="W16" s="54"/>
      <c r="X16" s="54"/>
      <c r="Y16" s="57"/>
      <c r="Z16" s="54"/>
      <c r="AA16" s="54"/>
      <c r="AB16" s="57"/>
      <c r="AC16" s="54"/>
      <c r="AD16" s="54"/>
      <c r="AE16" s="57"/>
      <c r="AF16" s="55">
        <f t="shared" si="3"/>
        <v>0</v>
      </c>
      <c r="AG16" s="54">
        <f t="shared" si="4"/>
        <v>0</v>
      </c>
      <c r="AH16" s="58"/>
      <c r="AI16" s="59"/>
      <c r="AJ16" s="60"/>
      <c r="AK16" s="59"/>
      <c r="AL16" s="59"/>
      <c r="AM16" s="60"/>
      <c r="AN16" s="59"/>
      <c r="AO16" s="59"/>
      <c r="AP16" s="60"/>
      <c r="AQ16" s="59"/>
      <c r="AR16" s="59"/>
      <c r="AS16" s="60"/>
      <c r="AT16" s="61">
        <f t="shared" si="5"/>
        <v>0</v>
      </c>
      <c r="AU16" s="59"/>
      <c r="AV16" s="59"/>
      <c r="AW16" s="60"/>
      <c r="AX16" s="59"/>
      <c r="AY16" s="59"/>
      <c r="AZ16" s="60"/>
      <c r="BA16" s="59"/>
      <c r="BB16" s="59"/>
      <c r="BC16" s="60"/>
      <c r="BD16" s="59"/>
      <c r="BE16" s="59"/>
      <c r="BF16" s="60"/>
      <c r="BG16" s="61">
        <f t="shared" si="6"/>
        <v>0</v>
      </c>
      <c r="BH16" s="58"/>
      <c r="BI16" s="62">
        <f t="shared" si="7"/>
        <v>0</v>
      </c>
      <c r="BJ16" s="63"/>
      <c r="BK16" s="59"/>
      <c r="BL16" s="60"/>
      <c r="BM16" s="59"/>
      <c r="BN16" s="59"/>
      <c r="BO16" s="60"/>
      <c r="BP16" s="59"/>
      <c r="BQ16" s="59"/>
      <c r="BR16" s="60"/>
      <c r="BS16" s="59"/>
      <c r="BT16" s="59"/>
      <c r="BU16" s="60"/>
      <c r="BV16" s="62">
        <f t="shared" si="8"/>
        <v>0</v>
      </c>
      <c r="BW16" s="59">
        <f t="shared" si="9"/>
        <v>0</v>
      </c>
      <c r="BX16" s="61">
        <f t="shared" si="10"/>
        <v>0</v>
      </c>
      <c r="BY16" s="51"/>
      <c r="BZ16" s="54"/>
      <c r="CA16" s="57"/>
      <c r="CB16" s="54"/>
      <c r="CC16" s="54"/>
      <c r="CD16" s="57"/>
      <c r="CE16" s="54"/>
      <c r="CF16" s="54"/>
      <c r="CG16" s="57"/>
      <c r="CH16" s="54"/>
      <c r="CI16" s="54"/>
      <c r="CJ16" s="57"/>
      <c r="CK16" s="53">
        <f t="shared" si="11"/>
        <v>0</v>
      </c>
      <c r="CL16" s="51"/>
      <c r="CM16" s="54"/>
      <c r="CN16" s="57"/>
      <c r="CO16" s="54"/>
      <c r="CP16" s="54"/>
      <c r="CQ16" s="57"/>
      <c r="CR16" s="54"/>
      <c r="CS16" s="54"/>
      <c r="CT16" s="57"/>
      <c r="CU16" s="54"/>
      <c r="CV16" s="54"/>
      <c r="CW16" s="57"/>
      <c r="CX16" s="53">
        <f t="shared" si="12"/>
        <v>0</v>
      </c>
      <c r="CY16" s="51"/>
      <c r="CZ16" s="54"/>
      <c r="DA16" s="57"/>
      <c r="DB16" s="54"/>
      <c r="DC16" s="54"/>
      <c r="DD16" s="57"/>
      <c r="DE16" s="54"/>
      <c r="DF16" s="54"/>
      <c r="DG16" s="57"/>
      <c r="DH16" s="54"/>
      <c r="DI16" s="54"/>
      <c r="DJ16" s="57"/>
      <c r="DK16" s="53">
        <f t="shared" si="13"/>
        <v>0</v>
      </c>
      <c r="DL16" s="64"/>
      <c r="DM16" s="52"/>
      <c r="DN16" s="65"/>
      <c r="DO16" s="52"/>
      <c r="DP16" s="52"/>
      <c r="DQ16" s="65"/>
      <c r="DR16" s="52"/>
      <c r="DS16" s="52"/>
      <c r="DT16" s="65"/>
      <c r="DU16" s="52"/>
      <c r="DV16" s="52"/>
      <c r="DW16" s="66"/>
      <c r="DX16" s="54"/>
      <c r="DY16" s="54"/>
      <c r="DZ16" s="57"/>
      <c r="EA16" s="54"/>
      <c r="EB16" s="54"/>
      <c r="EC16" s="57"/>
      <c r="ED16" s="54"/>
      <c r="EE16" s="54"/>
      <c r="EF16" s="57"/>
      <c r="EG16" s="54"/>
      <c r="EH16" s="54"/>
      <c r="EI16" s="57"/>
      <c r="EJ16" s="53">
        <f t="shared" si="14"/>
        <v>0</v>
      </c>
      <c r="EK16" s="54"/>
      <c r="EL16" s="54"/>
      <c r="EM16" s="57"/>
      <c r="EN16" s="54"/>
      <c r="EO16" s="54"/>
      <c r="EP16" s="57"/>
      <c r="EQ16" s="54"/>
      <c r="ER16" s="54"/>
      <c r="ES16" s="57"/>
      <c r="ET16" s="54"/>
      <c r="EU16" s="54"/>
      <c r="EV16" s="57"/>
      <c r="EW16" s="53">
        <f t="shared" si="15"/>
        <v>0</v>
      </c>
    </row>
    <row r="17" spans="1:153" ht="20.100000000000001" customHeight="1" x14ac:dyDescent="0.25">
      <c r="A17" s="51" t="s">
        <v>75</v>
      </c>
      <c r="B17" s="52">
        <v>1</v>
      </c>
      <c r="C17" s="53">
        <v>28</v>
      </c>
      <c r="D17" s="51"/>
      <c r="E17" s="54"/>
      <c r="F17" s="57"/>
      <c r="G17" s="54"/>
      <c r="H17" s="54"/>
      <c r="I17" s="57"/>
      <c r="J17" s="54"/>
      <c r="K17" s="54"/>
      <c r="L17" s="57"/>
      <c r="M17" s="54"/>
      <c r="N17" s="54"/>
      <c r="O17" s="57"/>
      <c r="P17" s="53">
        <f t="shared" si="2"/>
        <v>0</v>
      </c>
      <c r="Q17" s="51"/>
      <c r="R17" s="54"/>
      <c r="S17" s="55"/>
      <c r="T17" s="56"/>
      <c r="U17" s="54"/>
      <c r="V17" s="57"/>
      <c r="W17" s="54"/>
      <c r="X17" s="54"/>
      <c r="Y17" s="57"/>
      <c r="Z17" s="54"/>
      <c r="AA17" s="54"/>
      <c r="AB17" s="57"/>
      <c r="AC17" s="54"/>
      <c r="AD17" s="54"/>
      <c r="AE17" s="57"/>
      <c r="AF17" s="55">
        <f t="shared" si="3"/>
        <v>0</v>
      </c>
      <c r="AG17" s="54">
        <f t="shared" si="4"/>
        <v>0</v>
      </c>
      <c r="AH17" s="58"/>
      <c r="AI17" s="59"/>
      <c r="AJ17" s="60"/>
      <c r="AK17" s="59"/>
      <c r="AL17" s="59"/>
      <c r="AM17" s="60"/>
      <c r="AN17" s="59"/>
      <c r="AO17" s="59"/>
      <c r="AP17" s="60"/>
      <c r="AQ17" s="59"/>
      <c r="AR17" s="59"/>
      <c r="AS17" s="60"/>
      <c r="AT17" s="61">
        <f t="shared" si="5"/>
        <v>0</v>
      </c>
      <c r="AU17" s="59"/>
      <c r="AV17" s="59"/>
      <c r="AW17" s="60"/>
      <c r="AX17" s="59"/>
      <c r="AY17" s="59"/>
      <c r="AZ17" s="60"/>
      <c r="BA17" s="59"/>
      <c r="BB17" s="59"/>
      <c r="BC17" s="60"/>
      <c r="BD17" s="59"/>
      <c r="BE17" s="59"/>
      <c r="BF17" s="60"/>
      <c r="BG17" s="61">
        <f t="shared" si="6"/>
        <v>0</v>
      </c>
      <c r="BH17" s="58"/>
      <c r="BI17" s="62">
        <f t="shared" si="7"/>
        <v>0</v>
      </c>
      <c r="BJ17" s="63"/>
      <c r="BK17" s="59"/>
      <c r="BL17" s="60"/>
      <c r="BM17" s="59"/>
      <c r="BN17" s="59"/>
      <c r="BO17" s="60"/>
      <c r="BP17" s="59"/>
      <c r="BQ17" s="59"/>
      <c r="BR17" s="60"/>
      <c r="BS17" s="59"/>
      <c r="BT17" s="59"/>
      <c r="BU17" s="60"/>
      <c r="BV17" s="62">
        <f t="shared" si="8"/>
        <v>0</v>
      </c>
      <c r="BW17" s="59">
        <f t="shared" si="9"/>
        <v>0</v>
      </c>
      <c r="BX17" s="61">
        <f t="shared" si="10"/>
        <v>0</v>
      </c>
      <c r="BY17" s="51"/>
      <c r="BZ17" s="54"/>
      <c r="CA17" s="57"/>
      <c r="CB17" s="54"/>
      <c r="CC17" s="54"/>
      <c r="CD17" s="57"/>
      <c r="CE17" s="54"/>
      <c r="CF17" s="54"/>
      <c r="CG17" s="57"/>
      <c r="CH17" s="54"/>
      <c r="CI17" s="54"/>
      <c r="CJ17" s="57"/>
      <c r="CK17" s="53">
        <f t="shared" si="11"/>
        <v>0</v>
      </c>
      <c r="CL17" s="51"/>
      <c r="CM17" s="54"/>
      <c r="CN17" s="57"/>
      <c r="CO17" s="54"/>
      <c r="CP17" s="54"/>
      <c r="CQ17" s="57"/>
      <c r="CR17" s="54"/>
      <c r="CS17" s="54"/>
      <c r="CT17" s="57"/>
      <c r="CU17" s="54"/>
      <c r="CV17" s="54"/>
      <c r="CW17" s="57"/>
      <c r="CX17" s="53">
        <f t="shared" si="12"/>
        <v>0</v>
      </c>
      <c r="CY17" s="51"/>
      <c r="CZ17" s="54"/>
      <c r="DA17" s="57"/>
      <c r="DB17" s="54"/>
      <c r="DC17" s="54"/>
      <c r="DD17" s="57"/>
      <c r="DE17" s="54"/>
      <c r="DF17" s="54"/>
      <c r="DG17" s="57"/>
      <c r="DH17" s="54">
        <v>28</v>
      </c>
      <c r="DI17" s="54"/>
      <c r="DJ17" s="57"/>
      <c r="DK17" s="53">
        <f t="shared" si="13"/>
        <v>28</v>
      </c>
      <c r="DL17" s="64"/>
      <c r="DM17" s="52"/>
      <c r="DN17" s="65"/>
      <c r="DO17" s="52"/>
      <c r="DP17" s="52"/>
      <c r="DQ17" s="65"/>
      <c r="DR17" s="52"/>
      <c r="DS17" s="52"/>
      <c r="DT17" s="65"/>
      <c r="DU17" s="52">
        <v>6.0000000000000001E-3</v>
      </c>
      <c r="DV17" s="52">
        <v>3.5000000000000003E-2</v>
      </c>
      <c r="DW17" s="66">
        <v>6.4000000000000001E-2</v>
      </c>
      <c r="DX17" s="54"/>
      <c r="DY17" s="54"/>
      <c r="DZ17" s="57"/>
      <c r="EA17" s="54"/>
      <c r="EB17" s="54"/>
      <c r="EC17" s="57"/>
      <c r="ED17" s="54"/>
      <c r="EE17" s="54"/>
      <c r="EF17" s="57"/>
      <c r="EG17" s="54"/>
      <c r="EH17" s="54"/>
      <c r="EI17" s="57"/>
      <c r="EJ17" s="53">
        <f t="shared" si="14"/>
        <v>0</v>
      </c>
      <c r="EK17" s="54"/>
      <c r="EL17" s="54"/>
      <c r="EM17" s="57"/>
      <c r="EN17" s="54"/>
      <c r="EO17" s="54"/>
      <c r="EP17" s="57"/>
      <c r="EQ17" s="54"/>
      <c r="ER17" s="54"/>
      <c r="ES17" s="57"/>
      <c r="ET17" s="54"/>
      <c r="EU17" s="54"/>
      <c r="EV17" s="57"/>
      <c r="EW17" s="53">
        <f t="shared" si="15"/>
        <v>0</v>
      </c>
    </row>
    <row r="18" spans="1:153" ht="20.100000000000001" customHeight="1" x14ac:dyDescent="0.25">
      <c r="A18" s="51" t="s">
        <v>76</v>
      </c>
      <c r="B18" s="52">
        <v>1</v>
      </c>
      <c r="C18" s="53">
        <v>28</v>
      </c>
      <c r="D18" s="51"/>
      <c r="E18" s="54"/>
      <c r="F18" s="57"/>
      <c r="G18" s="54"/>
      <c r="H18" s="54"/>
      <c r="I18" s="57"/>
      <c r="J18" s="54"/>
      <c r="K18" s="54"/>
      <c r="L18" s="57"/>
      <c r="M18" s="54"/>
      <c r="N18" s="54"/>
      <c r="O18" s="57"/>
      <c r="P18" s="53">
        <f t="shared" si="2"/>
        <v>0</v>
      </c>
      <c r="Q18" s="51"/>
      <c r="R18" s="54"/>
      <c r="S18" s="55"/>
      <c r="T18" s="56"/>
      <c r="U18" s="54"/>
      <c r="V18" s="57"/>
      <c r="W18" s="54"/>
      <c r="X18" s="54"/>
      <c r="Y18" s="57"/>
      <c r="Z18" s="54"/>
      <c r="AA18" s="54"/>
      <c r="AB18" s="57"/>
      <c r="AC18" s="54"/>
      <c r="AD18" s="54"/>
      <c r="AE18" s="57"/>
      <c r="AF18" s="55">
        <f t="shared" si="3"/>
        <v>0</v>
      </c>
      <c r="AG18" s="54">
        <f t="shared" si="4"/>
        <v>0</v>
      </c>
      <c r="AH18" s="58"/>
      <c r="AI18" s="59"/>
      <c r="AJ18" s="60"/>
      <c r="AK18" s="59"/>
      <c r="AL18" s="59"/>
      <c r="AM18" s="60"/>
      <c r="AN18" s="59"/>
      <c r="AO18" s="59"/>
      <c r="AP18" s="60"/>
      <c r="AQ18" s="59"/>
      <c r="AR18" s="59"/>
      <c r="AS18" s="60"/>
      <c r="AT18" s="61">
        <f t="shared" si="5"/>
        <v>0</v>
      </c>
      <c r="AU18" s="59"/>
      <c r="AV18" s="59"/>
      <c r="AW18" s="60"/>
      <c r="AX18" s="59"/>
      <c r="AY18" s="59"/>
      <c r="AZ18" s="60"/>
      <c r="BA18" s="59"/>
      <c r="BB18" s="59"/>
      <c r="BC18" s="60"/>
      <c r="BD18" s="59"/>
      <c r="BE18" s="59"/>
      <c r="BF18" s="60"/>
      <c r="BG18" s="61">
        <f t="shared" si="6"/>
        <v>0</v>
      </c>
      <c r="BH18" s="58"/>
      <c r="BI18" s="62">
        <f t="shared" si="7"/>
        <v>0</v>
      </c>
      <c r="BJ18" s="63"/>
      <c r="BK18" s="59"/>
      <c r="BL18" s="60"/>
      <c r="BM18" s="59"/>
      <c r="BN18" s="59"/>
      <c r="BO18" s="60"/>
      <c r="BP18" s="59"/>
      <c r="BQ18" s="59"/>
      <c r="BR18" s="60"/>
      <c r="BS18" s="59"/>
      <c r="BT18" s="59"/>
      <c r="BU18" s="60"/>
      <c r="BV18" s="62">
        <f t="shared" si="8"/>
        <v>0</v>
      </c>
      <c r="BW18" s="59">
        <f t="shared" si="9"/>
        <v>0</v>
      </c>
      <c r="BX18" s="61">
        <f t="shared" si="10"/>
        <v>0</v>
      </c>
      <c r="BY18" s="51">
        <v>28</v>
      </c>
      <c r="BZ18" s="54"/>
      <c r="CA18" s="57"/>
      <c r="CB18" s="54"/>
      <c r="CC18" s="54"/>
      <c r="CD18" s="57"/>
      <c r="CE18" s="54"/>
      <c r="CF18" s="54"/>
      <c r="CG18" s="57"/>
      <c r="CH18" s="54"/>
      <c r="CI18" s="54"/>
      <c r="CJ18" s="57"/>
      <c r="CK18" s="53">
        <f t="shared" si="11"/>
        <v>28</v>
      </c>
      <c r="CL18" s="51"/>
      <c r="CM18" s="54"/>
      <c r="CN18" s="57"/>
      <c r="CO18" s="54"/>
      <c r="CP18" s="54">
        <v>28</v>
      </c>
      <c r="CQ18" s="57"/>
      <c r="CR18" s="54"/>
      <c r="CS18" s="54"/>
      <c r="CT18" s="57"/>
      <c r="CU18" s="54"/>
      <c r="CV18" s="54"/>
      <c r="CW18" s="57"/>
      <c r="CX18" s="53">
        <f t="shared" si="12"/>
        <v>28</v>
      </c>
      <c r="CY18" s="51"/>
      <c r="CZ18" s="54"/>
      <c r="DA18" s="57"/>
      <c r="DB18" s="54"/>
      <c r="DC18" s="54"/>
      <c r="DD18" s="57"/>
      <c r="DE18" s="54"/>
      <c r="DF18" s="54"/>
      <c r="DG18" s="57">
        <v>28</v>
      </c>
      <c r="DH18" s="54"/>
      <c r="DI18" s="54"/>
      <c r="DJ18" s="57"/>
      <c r="DK18" s="53">
        <f t="shared" si="13"/>
        <v>28</v>
      </c>
      <c r="DL18" s="64"/>
      <c r="DM18" s="52"/>
      <c r="DN18" s="65"/>
      <c r="DO18" s="52"/>
      <c r="DP18" s="52"/>
      <c r="DQ18" s="65"/>
      <c r="DR18" s="52"/>
      <c r="DS18" s="52"/>
      <c r="DT18" s="65">
        <v>6.0000000000000001E-3</v>
      </c>
      <c r="DU18" s="52">
        <v>3.5000000000000003E-2</v>
      </c>
      <c r="DV18" s="52">
        <v>6.4000000000000001E-2</v>
      </c>
      <c r="DW18" s="66">
        <v>9.4E-2</v>
      </c>
      <c r="DX18" s="54"/>
      <c r="DY18" s="54"/>
      <c r="DZ18" s="57"/>
      <c r="EA18" s="54"/>
      <c r="EB18" s="54"/>
      <c r="EC18" s="57"/>
      <c r="ED18" s="54"/>
      <c r="EE18" s="54"/>
      <c r="EF18" s="57"/>
      <c r="EG18" s="54"/>
      <c r="EH18" s="54"/>
      <c r="EI18" s="57"/>
      <c r="EJ18" s="53">
        <f t="shared" si="14"/>
        <v>0</v>
      </c>
      <c r="EK18" s="54"/>
      <c r="EL18" s="54"/>
      <c r="EM18" s="57"/>
      <c r="EN18" s="54"/>
      <c r="EO18" s="54"/>
      <c r="EP18" s="57"/>
      <c r="EQ18" s="54"/>
      <c r="ER18" s="54"/>
      <c r="ES18" s="57"/>
      <c r="ET18" s="54"/>
      <c r="EU18" s="54"/>
      <c r="EV18" s="57"/>
      <c r="EW18" s="53">
        <f t="shared" si="15"/>
        <v>0</v>
      </c>
    </row>
    <row r="19" spans="1:153" ht="20.100000000000001" customHeight="1" x14ac:dyDescent="0.25">
      <c r="A19" s="51" t="s">
        <v>77</v>
      </c>
      <c r="B19" s="52">
        <v>1</v>
      </c>
      <c r="C19" s="53">
        <v>14</v>
      </c>
      <c r="D19" s="51"/>
      <c r="E19" s="54"/>
      <c r="F19" s="57"/>
      <c r="G19" s="54"/>
      <c r="H19" s="54"/>
      <c r="I19" s="57"/>
      <c r="J19" s="54"/>
      <c r="K19" s="54"/>
      <c r="L19" s="57"/>
      <c r="M19" s="54"/>
      <c r="N19" s="54"/>
      <c r="O19" s="57"/>
      <c r="P19" s="53">
        <f t="shared" si="2"/>
        <v>0</v>
      </c>
      <c r="Q19" s="51"/>
      <c r="R19" s="54"/>
      <c r="S19" s="55"/>
      <c r="T19" s="56"/>
      <c r="U19" s="54"/>
      <c r="V19" s="57"/>
      <c r="W19" s="54"/>
      <c r="X19" s="54"/>
      <c r="Y19" s="57"/>
      <c r="Z19" s="54"/>
      <c r="AA19" s="54"/>
      <c r="AB19" s="57"/>
      <c r="AC19" s="54"/>
      <c r="AD19" s="54"/>
      <c r="AE19" s="57"/>
      <c r="AF19" s="55">
        <f t="shared" si="3"/>
        <v>0</v>
      </c>
      <c r="AG19" s="54">
        <f t="shared" si="4"/>
        <v>0</v>
      </c>
      <c r="AH19" s="58"/>
      <c r="AI19" s="59"/>
      <c r="AJ19" s="60"/>
      <c r="AK19" s="59"/>
      <c r="AL19" s="59"/>
      <c r="AM19" s="60"/>
      <c r="AN19" s="59"/>
      <c r="AO19" s="59"/>
      <c r="AP19" s="60"/>
      <c r="AQ19" s="59"/>
      <c r="AR19" s="59"/>
      <c r="AS19" s="60"/>
      <c r="AT19" s="61">
        <f t="shared" si="5"/>
        <v>0</v>
      </c>
      <c r="AU19" s="59"/>
      <c r="AV19" s="59"/>
      <c r="AW19" s="60"/>
      <c r="AX19" s="59"/>
      <c r="AY19" s="59"/>
      <c r="AZ19" s="60"/>
      <c r="BA19" s="59"/>
      <c r="BB19" s="59"/>
      <c r="BC19" s="60"/>
      <c r="BD19" s="59"/>
      <c r="BE19" s="59"/>
      <c r="BF19" s="60"/>
      <c r="BG19" s="61">
        <f t="shared" si="6"/>
        <v>0</v>
      </c>
      <c r="BH19" s="58"/>
      <c r="BI19" s="62">
        <f t="shared" si="7"/>
        <v>0</v>
      </c>
      <c r="BJ19" s="63"/>
      <c r="BK19" s="59"/>
      <c r="BL19" s="60"/>
      <c r="BM19" s="59"/>
      <c r="BN19" s="59"/>
      <c r="BO19" s="60"/>
      <c r="BP19" s="59"/>
      <c r="BQ19" s="59"/>
      <c r="BR19" s="60"/>
      <c r="BS19" s="59"/>
      <c r="BT19" s="59"/>
      <c r="BU19" s="60"/>
      <c r="BV19" s="62">
        <f t="shared" si="8"/>
        <v>0</v>
      </c>
      <c r="BW19" s="59">
        <f t="shared" si="9"/>
        <v>0</v>
      </c>
      <c r="BX19" s="61">
        <f t="shared" si="10"/>
        <v>0</v>
      </c>
      <c r="BY19" s="51">
        <v>14</v>
      </c>
      <c r="BZ19" s="54"/>
      <c r="CA19" s="57"/>
      <c r="CB19" s="54"/>
      <c r="CC19" s="54"/>
      <c r="CD19" s="57"/>
      <c r="CE19" s="54"/>
      <c r="CF19" s="54"/>
      <c r="CG19" s="57"/>
      <c r="CH19" s="54"/>
      <c r="CI19" s="54"/>
      <c r="CJ19" s="57"/>
      <c r="CK19" s="53">
        <f t="shared" si="11"/>
        <v>14</v>
      </c>
      <c r="CL19" s="51"/>
      <c r="CM19" s="54"/>
      <c r="CN19" s="57"/>
      <c r="CO19" s="54"/>
      <c r="CP19" s="54">
        <v>14</v>
      </c>
      <c r="CQ19" s="57"/>
      <c r="CR19" s="54"/>
      <c r="CS19" s="54"/>
      <c r="CT19" s="57"/>
      <c r="CU19" s="54"/>
      <c r="CV19" s="54"/>
      <c r="CW19" s="57"/>
      <c r="CX19" s="53">
        <f t="shared" si="12"/>
        <v>14</v>
      </c>
      <c r="CY19" s="51"/>
      <c r="CZ19" s="54"/>
      <c r="DA19" s="57"/>
      <c r="DB19" s="54"/>
      <c r="DC19" s="54"/>
      <c r="DD19" s="57"/>
      <c r="DE19" s="54"/>
      <c r="DF19" s="54">
        <v>14</v>
      </c>
      <c r="DG19" s="57"/>
      <c r="DH19" s="54"/>
      <c r="DI19" s="54"/>
      <c r="DJ19" s="57"/>
      <c r="DK19" s="53">
        <f t="shared" si="13"/>
        <v>14</v>
      </c>
      <c r="DL19" s="64"/>
      <c r="DM19" s="52"/>
      <c r="DN19" s="65"/>
      <c r="DO19" s="52"/>
      <c r="DP19" s="52"/>
      <c r="DQ19" s="65"/>
      <c r="DR19" s="52"/>
      <c r="DS19" s="52">
        <v>6.0000000000000001E-3</v>
      </c>
      <c r="DT19" s="65">
        <v>3.5000000000000003E-2</v>
      </c>
      <c r="DU19" s="52">
        <v>6.4000000000000001E-2</v>
      </c>
      <c r="DV19" s="52">
        <v>9.4E-2</v>
      </c>
      <c r="DW19" s="66">
        <v>0.124</v>
      </c>
      <c r="DX19" s="54"/>
      <c r="DY19" s="54"/>
      <c r="DZ19" s="57"/>
      <c r="EA19" s="54"/>
      <c r="EB19" s="54"/>
      <c r="EC19" s="57"/>
      <c r="ED19" s="54"/>
      <c r="EE19" s="54"/>
      <c r="EF19" s="57"/>
      <c r="EG19" s="54"/>
      <c r="EH19" s="54"/>
      <c r="EI19" s="57"/>
      <c r="EJ19" s="53">
        <f t="shared" si="14"/>
        <v>0</v>
      </c>
      <c r="EK19" s="54"/>
      <c r="EL19" s="54"/>
      <c r="EM19" s="57"/>
      <c r="EN19" s="54"/>
      <c r="EO19" s="54"/>
      <c r="EP19" s="57"/>
      <c r="EQ19" s="54"/>
      <c r="ER19" s="54"/>
      <c r="ES19" s="57"/>
      <c r="ET19" s="54"/>
      <c r="EU19" s="54"/>
      <c r="EV19" s="57"/>
      <c r="EW19" s="53">
        <f t="shared" si="15"/>
        <v>0</v>
      </c>
    </row>
    <row r="20" spans="1:153" ht="20.100000000000001" customHeight="1" x14ac:dyDescent="0.25">
      <c r="A20" s="51" t="s">
        <v>78</v>
      </c>
      <c r="B20" s="52">
        <v>1</v>
      </c>
      <c r="C20" s="53">
        <v>14</v>
      </c>
      <c r="D20" s="51"/>
      <c r="E20" s="54"/>
      <c r="F20" s="57"/>
      <c r="G20" s="54"/>
      <c r="H20" s="54"/>
      <c r="I20" s="57"/>
      <c r="J20" s="54"/>
      <c r="K20" s="54"/>
      <c r="L20" s="57"/>
      <c r="M20" s="54"/>
      <c r="N20" s="54"/>
      <c r="O20" s="57"/>
      <c r="P20" s="53">
        <f t="shared" si="2"/>
        <v>0</v>
      </c>
      <c r="Q20" s="51"/>
      <c r="R20" s="54"/>
      <c r="S20" s="55"/>
      <c r="T20" s="56"/>
      <c r="U20" s="54"/>
      <c r="V20" s="57"/>
      <c r="W20" s="54"/>
      <c r="X20" s="54"/>
      <c r="Y20" s="57"/>
      <c r="Z20" s="54"/>
      <c r="AA20" s="54"/>
      <c r="AB20" s="57"/>
      <c r="AC20" s="54"/>
      <c r="AD20" s="54"/>
      <c r="AE20" s="57"/>
      <c r="AF20" s="55">
        <f t="shared" si="3"/>
        <v>0</v>
      </c>
      <c r="AG20" s="54">
        <f t="shared" si="4"/>
        <v>0</v>
      </c>
      <c r="AH20" s="58"/>
      <c r="AI20" s="59"/>
      <c r="AJ20" s="60"/>
      <c r="AK20" s="59"/>
      <c r="AL20" s="59"/>
      <c r="AM20" s="60"/>
      <c r="AN20" s="59"/>
      <c r="AO20" s="59"/>
      <c r="AP20" s="60"/>
      <c r="AQ20" s="59"/>
      <c r="AR20" s="59"/>
      <c r="AS20" s="60"/>
      <c r="AT20" s="61">
        <f t="shared" si="5"/>
        <v>0</v>
      </c>
      <c r="AU20" s="59"/>
      <c r="AV20" s="59"/>
      <c r="AW20" s="60"/>
      <c r="AX20" s="59"/>
      <c r="AY20" s="59"/>
      <c r="AZ20" s="60"/>
      <c r="BA20" s="59"/>
      <c r="BB20" s="59"/>
      <c r="BC20" s="60"/>
      <c r="BD20" s="59"/>
      <c r="BE20" s="59"/>
      <c r="BF20" s="60"/>
      <c r="BG20" s="61">
        <f t="shared" si="6"/>
        <v>0</v>
      </c>
      <c r="BH20" s="58"/>
      <c r="BI20" s="62">
        <f t="shared" si="7"/>
        <v>0</v>
      </c>
      <c r="BJ20" s="63"/>
      <c r="BK20" s="59"/>
      <c r="BL20" s="60"/>
      <c r="BM20" s="59"/>
      <c r="BN20" s="59"/>
      <c r="BO20" s="60"/>
      <c r="BP20" s="59"/>
      <c r="BQ20" s="59"/>
      <c r="BR20" s="60"/>
      <c r="BS20" s="59"/>
      <c r="BT20" s="59"/>
      <c r="BU20" s="60"/>
      <c r="BV20" s="62">
        <f t="shared" si="8"/>
        <v>0</v>
      </c>
      <c r="BW20" s="59">
        <f t="shared" si="9"/>
        <v>0</v>
      </c>
      <c r="BX20" s="61">
        <f t="shared" si="10"/>
        <v>0</v>
      </c>
      <c r="BY20" s="51">
        <v>14</v>
      </c>
      <c r="BZ20" s="54"/>
      <c r="CA20" s="57"/>
      <c r="CB20" s="54"/>
      <c r="CC20" s="54"/>
      <c r="CD20" s="57"/>
      <c r="CE20" s="54"/>
      <c r="CF20" s="54"/>
      <c r="CG20" s="57"/>
      <c r="CH20" s="54"/>
      <c r="CI20" s="54"/>
      <c r="CJ20" s="57"/>
      <c r="CK20" s="53">
        <f t="shared" si="11"/>
        <v>14</v>
      </c>
      <c r="CL20" s="51"/>
      <c r="CM20" s="54"/>
      <c r="CN20" s="57"/>
      <c r="CO20" s="54"/>
      <c r="CP20" s="54">
        <v>14</v>
      </c>
      <c r="CQ20" s="57"/>
      <c r="CR20" s="54"/>
      <c r="CS20" s="54"/>
      <c r="CT20" s="57"/>
      <c r="CU20" s="54"/>
      <c r="CV20" s="54"/>
      <c r="CW20" s="57"/>
      <c r="CX20" s="53">
        <f t="shared" si="12"/>
        <v>14</v>
      </c>
      <c r="CY20" s="51"/>
      <c r="CZ20" s="54"/>
      <c r="DA20" s="57"/>
      <c r="DB20" s="54"/>
      <c r="DC20" s="54"/>
      <c r="DD20" s="57"/>
      <c r="DE20" s="54"/>
      <c r="DF20" s="54">
        <v>14</v>
      </c>
      <c r="DG20" s="57"/>
      <c r="DH20" s="54"/>
      <c r="DI20" s="54"/>
      <c r="DJ20" s="57"/>
      <c r="DK20" s="53">
        <f t="shared" si="13"/>
        <v>14</v>
      </c>
      <c r="DL20" s="64"/>
      <c r="DM20" s="52"/>
      <c r="DN20" s="65"/>
      <c r="DO20" s="52"/>
      <c r="DP20" s="52"/>
      <c r="DQ20" s="65"/>
      <c r="DR20" s="52"/>
      <c r="DS20" s="52">
        <v>6.0000000000000001E-3</v>
      </c>
      <c r="DT20" s="65">
        <v>3.5000000000000003E-2</v>
      </c>
      <c r="DU20" s="52">
        <v>6.4000000000000001E-2</v>
      </c>
      <c r="DV20" s="52">
        <v>9.4E-2</v>
      </c>
      <c r="DW20" s="66">
        <v>0.124</v>
      </c>
      <c r="DX20" s="54"/>
      <c r="DY20" s="54"/>
      <c r="DZ20" s="57"/>
      <c r="EA20" s="54"/>
      <c r="EB20" s="54"/>
      <c r="EC20" s="57"/>
      <c r="ED20" s="54"/>
      <c r="EE20" s="54"/>
      <c r="EF20" s="57"/>
      <c r="EG20" s="54"/>
      <c r="EH20" s="54"/>
      <c r="EI20" s="57"/>
      <c r="EJ20" s="53">
        <f t="shared" si="14"/>
        <v>0</v>
      </c>
      <c r="EK20" s="54"/>
      <c r="EL20" s="54"/>
      <c r="EM20" s="57"/>
      <c r="EN20" s="54"/>
      <c r="EO20" s="54"/>
      <c r="EP20" s="57"/>
      <c r="EQ20" s="54"/>
      <c r="ER20" s="54"/>
      <c r="ES20" s="57"/>
      <c r="ET20" s="54"/>
      <c r="EU20" s="54"/>
      <c r="EV20" s="57"/>
      <c r="EW20" s="53">
        <f t="shared" si="15"/>
        <v>0</v>
      </c>
    </row>
    <row r="21" spans="1:153" ht="20.100000000000001" customHeight="1" x14ac:dyDescent="0.25">
      <c r="A21" s="51" t="s">
        <v>79</v>
      </c>
      <c r="B21" s="52">
        <v>1</v>
      </c>
      <c r="C21" s="53">
        <v>14</v>
      </c>
      <c r="D21" s="51"/>
      <c r="E21" s="54"/>
      <c r="F21" s="57"/>
      <c r="G21" s="54"/>
      <c r="H21" s="54"/>
      <c r="I21" s="57"/>
      <c r="J21" s="54"/>
      <c r="K21" s="54"/>
      <c r="L21" s="57"/>
      <c r="M21" s="54"/>
      <c r="N21" s="54"/>
      <c r="O21" s="57"/>
      <c r="P21" s="53">
        <f t="shared" si="2"/>
        <v>0</v>
      </c>
      <c r="Q21" s="51"/>
      <c r="R21" s="54"/>
      <c r="S21" s="55"/>
      <c r="T21" s="56"/>
      <c r="U21" s="54"/>
      <c r="V21" s="57"/>
      <c r="W21" s="54"/>
      <c r="X21" s="54"/>
      <c r="Y21" s="57"/>
      <c r="Z21" s="54"/>
      <c r="AA21" s="54"/>
      <c r="AB21" s="57"/>
      <c r="AC21" s="54"/>
      <c r="AD21" s="54"/>
      <c r="AE21" s="57"/>
      <c r="AF21" s="55">
        <f t="shared" si="3"/>
        <v>0</v>
      </c>
      <c r="AG21" s="54">
        <f t="shared" si="4"/>
        <v>0</v>
      </c>
      <c r="AH21" s="58"/>
      <c r="AI21" s="59"/>
      <c r="AJ21" s="60"/>
      <c r="AK21" s="59"/>
      <c r="AL21" s="59"/>
      <c r="AM21" s="60"/>
      <c r="AN21" s="59"/>
      <c r="AO21" s="59"/>
      <c r="AP21" s="60"/>
      <c r="AQ21" s="59"/>
      <c r="AR21" s="59"/>
      <c r="AS21" s="60"/>
      <c r="AT21" s="61">
        <f t="shared" si="5"/>
        <v>0</v>
      </c>
      <c r="AU21" s="59"/>
      <c r="AV21" s="59"/>
      <c r="AW21" s="60"/>
      <c r="AX21" s="59"/>
      <c r="AY21" s="59"/>
      <c r="AZ21" s="60"/>
      <c r="BA21" s="59"/>
      <c r="BB21" s="59"/>
      <c r="BC21" s="60"/>
      <c r="BD21" s="59"/>
      <c r="BE21" s="59"/>
      <c r="BF21" s="60"/>
      <c r="BG21" s="61">
        <f t="shared" si="6"/>
        <v>0</v>
      </c>
      <c r="BH21" s="58"/>
      <c r="BI21" s="62">
        <f t="shared" si="7"/>
        <v>0</v>
      </c>
      <c r="BJ21" s="63"/>
      <c r="BK21" s="59"/>
      <c r="BL21" s="60"/>
      <c r="BM21" s="59"/>
      <c r="BN21" s="59"/>
      <c r="BO21" s="60"/>
      <c r="BP21" s="59"/>
      <c r="BQ21" s="59"/>
      <c r="BR21" s="60"/>
      <c r="BS21" s="59"/>
      <c r="BT21" s="59"/>
      <c r="BU21" s="60"/>
      <c r="BV21" s="62">
        <f t="shared" si="8"/>
        <v>0</v>
      </c>
      <c r="BW21" s="59">
        <f t="shared" si="9"/>
        <v>0</v>
      </c>
      <c r="BX21" s="61">
        <f t="shared" si="10"/>
        <v>0</v>
      </c>
      <c r="BY21" s="51"/>
      <c r="BZ21" s="54"/>
      <c r="CA21" s="57"/>
      <c r="CB21" s="54"/>
      <c r="CC21" s="54"/>
      <c r="CD21" s="57"/>
      <c r="CE21" s="54"/>
      <c r="CF21" s="54"/>
      <c r="CG21" s="57"/>
      <c r="CH21" s="54"/>
      <c r="CI21" s="54"/>
      <c r="CJ21" s="57"/>
      <c r="CK21" s="53">
        <f t="shared" si="11"/>
        <v>0</v>
      </c>
      <c r="CL21" s="51"/>
      <c r="CM21" s="54"/>
      <c r="CN21" s="57"/>
      <c r="CO21" s="54"/>
      <c r="CP21" s="54"/>
      <c r="CQ21" s="57"/>
      <c r="CR21" s="54"/>
      <c r="CS21" s="54"/>
      <c r="CT21" s="57"/>
      <c r="CU21" s="54"/>
      <c r="CV21" s="54"/>
      <c r="CW21" s="57"/>
      <c r="CX21" s="53">
        <f t="shared" si="12"/>
        <v>0</v>
      </c>
      <c r="CY21" s="51">
        <v>14</v>
      </c>
      <c r="CZ21" s="54"/>
      <c r="DA21" s="57"/>
      <c r="DB21" s="54"/>
      <c r="DC21" s="54"/>
      <c r="DD21" s="57"/>
      <c r="DE21" s="54"/>
      <c r="DF21" s="54"/>
      <c r="DG21" s="57"/>
      <c r="DH21" s="54"/>
      <c r="DI21" s="54"/>
      <c r="DJ21" s="57"/>
      <c r="DK21" s="53">
        <f t="shared" si="13"/>
        <v>14</v>
      </c>
      <c r="DL21" s="64">
        <v>0.01</v>
      </c>
      <c r="DM21" s="52">
        <v>0.02</v>
      </c>
      <c r="DN21" s="65">
        <v>0.04</v>
      </c>
      <c r="DO21" s="52">
        <v>0.06</v>
      </c>
      <c r="DP21" s="52">
        <v>0.08</v>
      </c>
      <c r="DQ21" s="65">
        <v>0.1</v>
      </c>
      <c r="DR21" s="52">
        <v>0.12</v>
      </c>
      <c r="DS21" s="52">
        <v>0.14000000000000001</v>
      </c>
      <c r="DT21" s="65">
        <v>0.16</v>
      </c>
      <c r="DU21" s="52">
        <v>0.2</v>
      </c>
      <c r="DV21" s="52">
        <v>0.22</v>
      </c>
      <c r="DW21" s="66">
        <v>0.24</v>
      </c>
      <c r="DX21" s="54"/>
      <c r="DY21" s="54"/>
      <c r="DZ21" s="57"/>
      <c r="EA21" s="54"/>
      <c r="EB21" s="54"/>
      <c r="EC21" s="57"/>
      <c r="ED21" s="54"/>
      <c r="EE21" s="54"/>
      <c r="EF21" s="57"/>
      <c r="EG21" s="54"/>
      <c r="EH21" s="54"/>
      <c r="EI21" s="57"/>
      <c r="EJ21" s="53">
        <f t="shared" si="14"/>
        <v>0</v>
      </c>
      <c r="EK21" s="54"/>
      <c r="EL21" s="54"/>
      <c r="EM21" s="57"/>
      <c r="EN21" s="54"/>
      <c r="EO21" s="54"/>
      <c r="EP21" s="57"/>
      <c r="EQ21" s="54"/>
      <c r="ER21" s="54"/>
      <c r="ES21" s="57"/>
      <c r="ET21" s="54"/>
      <c r="EU21" s="54"/>
      <c r="EV21" s="57"/>
      <c r="EW21" s="53">
        <f t="shared" si="15"/>
        <v>0</v>
      </c>
    </row>
    <row r="22" spans="1:153" ht="20.100000000000001" customHeight="1" x14ac:dyDescent="0.25">
      <c r="A22" s="51" t="s">
        <v>80</v>
      </c>
      <c r="B22" s="52">
        <v>1</v>
      </c>
      <c r="C22" s="53">
        <v>14</v>
      </c>
      <c r="D22" s="51"/>
      <c r="E22" s="54"/>
      <c r="F22" s="57"/>
      <c r="G22" s="54"/>
      <c r="H22" s="54"/>
      <c r="I22" s="57"/>
      <c r="J22" s="54"/>
      <c r="K22" s="54"/>
      <c r="L22" s="57"/>
      <c r="M22" s="54"/>
      <c r="N22" s="54"/>
      <c r="O22" s="57"/>
      <c r="P22" s="53">
        <f t="shared" si="2"/>
        <v>0</v>
      </c>
      <c r="Q22" s="51"/>
      <c r="R22" s="54"/>
      <c r="S22" s="55"/>
      <c r="T22" s="56"/>
      <c r="U22" s="54"/>
      <c r="V22" s="57"/>
      <c r="W22" s="54"/>
      <c r="X22" s="54"/>
      <c r="Y22" s="57"/>
      <c r="Z22" s="54"/>
      <c r="AA22" s="54"/>
      <c r="AB22" s="57"/>
      <c r="AC22" s="54"/>
      <c r="AD22" s="54"/>
      <c r="AE22" s="57"/>
      <c r="AF22" s="55">
        <f t="shared" si="3"/>
        <v>0</v>
      </c>
      <c r="AG22" s="54">
        <f t="shared" si="4"/>
        <v>0</v>
      </c>
      <c r="AH22" s="58"/>
      <c r="AI22" s="59"/>
      <c r="AJ22" s="60"/>
      <c r="AK22" s="59"/>
      <c r="AL22" s="59"/>
      <c r="AM22" s="60"/>
      <c r="AN22" s="59"/>
      <c r="AO22" s="59"/>
      <c r="AP22" s="60"/>
      <c r="AQ22" s="59"/>
      <c r="AR22" s="59"/>
      <c r="AS22" s="60"/>
      <c r="AT22" s="61">
        <f t="shared" si="5"/>
        <v>0</v>
      </c>
      <c r="AU22" s="59"/>
      <c r="AV22" s="59"/>
      <c r="AW22" s="60"/>
      <c r="AX22" s="59"/>
      <c r="AY22" s="59"/>
      <c r="AZ22" s="60"/>
      <c r="BA22" s="59"/>
      <c r="BB22" s="59"/>
      <c r="BC22" s="60"/>
      <c r="BD22" s="59"/>
      <c r="BE22" s="59"/>
      <c r="BF22" s="60"/>
      <c r="BG22" s="61">
        <f t="shared" si="6"/>
        <v>0</v>
      </c>
      <c r="BH22" s="58"/>
      <c r="BI22" s="62">
        <f t="shared" si="7"/>
        <v>0</v>
      </c>
      <c r="BJ22" s="63"/>
      <c r="BK22" s="59"/>
      <c r="BL22" s="60"/>
      <c r="BM22" s="59"/>
      <c r="BN22" s="59"/>
      <c r="BO22" s="60"/>
      <c r="BP22" s="59"/>
      <c r="BQ22" s="59"/>
      <c r="BR22" s="60"/>
      <c r="BS22" s="59"/>
      <c r="BT22" s="59"/>
      <c r="BU22" s="60"/>
      <c r="BV22" s="62">
        <f t="shared" si="8"/>
        <v>0</v>
      </c>
      <c r="BW22" s="59">
        <f t="shared" si="9"/>
        <v>0</v>
      </c>
      <c r="BX22" s="61">
        <f t="shared" si="10"/>
        <v>0</v>
      </c>
      <c r="BY22" s="51"/>
      <c r="BZ22" s="54"/>
      <c r="CA22" s="57"/>
      <c r="CB22" s="54"/>
      <c r="CC22" s="54"/>
      <c r="CD22" s="57"/>
      <c r="CE22" s="54"/>
      <c r="CF22" s="54"/>
      <c r="CG22" s="57"/>
      <c r="CH22" s="54"/>
      <c r="CI22" s="54"/>
      <c r="CJ22" s="57"/>
      <c r="CK22" s="53">
        <f t="shared" si="11"/>
        <v>0</v>
      </c>
      <c r="CL22" s="51"/>
      <c r="CM22" s="54"/>
      <c r="CN22" s="57"/>
      <c r="CO22" s="54"/>
      <c r="CP22" s="54"/>
      <c r="CQ22" s="57"/>
      <c r="CR22" s="54"/>
      <c r="CS22" s="54"/>
      <c r="CT22" s="57"/>
      <c r="CU22" s="54"/>
      <c r="CV22" s="54"/>
      <c r="CW22" s="57"/>
      <c r="CX22" s="53">
        <f t="shared" si="12"/>
        <v>0</v>
      </c>
      <c r="CY22" s="51">
        <v>14</v>
      </c>
      <c r="CZ22" s="54"/>
      <c r="DA22" s="57"/>
      <c r="DB22" s="54"/>
      <c r="DC22" s="54"/>
      <c r="DD22" s="57"/>
      <c r="DE22" s="54"/>
      <c r="DF22" s="54"/>
      <c r="DG22" s="57"/>
      <c r="DH22" s="54"/>
      <c r="DI22" s="54"/>
      <c r="DJ22" s="57"/>
      <c r="DK22" s="53">
        <f t="shared" si="13"/>
        <v>14</v>
      </c>
      <c r="DL22" s="64">
        <v>0.01</v>
      </c>
      <c r="DM22" s="52">
        <v>0.02</v>
      </c>
      <c r="DN22" s="65">
        <v>0.04</v>
      </c>
      <c r="DO22" s="52">
        <v>0.06</v>
      </c>
      <c r="DP22" s="52">
        <v>0.08</v>
      </c>
      <c r="DQ22" s="65">
        <v>0.1</v>
      </c>
      <c r="DR22" s="52">
        <v>0.12</v>
      </c>
      <c r="DS22" s="52">
        <v>0.14000000000000001</v>
      </c>
      <c r="DT22" s="65">
        <v>0.16</v>
      </c>
      <c r="DU22" s="52">
        <v>0.2</v>
      </c>
      <c r="DV22" s="52">
        <v>0.22</v>
      </c>
      <c r="DW22" s="66">
        <v>0.24</v>
      </c>
      <c r="DX22" s="54"/>
      <c r="DY22" s="54"/>
      <c r="DZ22" s="57"/>
      <c r="EA22" s="54"/>
      <c r="EB22" s="54"/>
      <c r="EC22" s="57"/>
      <c r="ED22" s="54"/>
      <c r="EE22" s="54"/>
      <c r="EF22" s="57"/>
      <c r="EG22" s="54"/>
      <c r="EH22" s="54"/>
      <c r="EI22" s="57"/>
      <c r="EJ22" s="53">
        <f t="shared" si="14"/>
        <v>0</v>
      </c>
      <c r="EK22" s="54"/>
      <c r="EL22" s="54"/>
      <c r="EM22" s="57"/>
      <c r="EN22" s="54"/>
      <c r="EO22" s="54"/>
      <c r="EP22" s="57"/>
      <c r="EQ22" s="54"/>
      <c r="ER22" s="54"/>
      <c r="ES22" s="57"/>
      <c r="ET22" s="54"/>
      <c r="EU22" s="54"/>
      <c r="EV22" s="57"/>
      <c r="EW22" s="53">
        <f t="shared" si="15"/>
        <v>0</v>
      </c>
    </row>
    <row r="23" spans="1:153" ht="20.100000000000001" customHeight="1" x14ac:dyDescent="0.25">
      <c r="A23" s="51" t="s">
        <v>21</v>
      </c>
      <c r="B23" s="52">
        <v>1</v>
      </c>
      <c r="C23" s="53">
        <v>30</v>
      </c>
      <c r="D23" s="51"/>
      <c r="E23" s="54"/>
      <c r="F23" s="57"/>
      <c r="G23" s="54"/>
      <c r="H23" s="54"/>
      <c r="I23" s="57"/>
      <c r="J23" s="54"/>
      <c r="K23" s="54"/>
      <c r="L23" s="57"/>
      <c r="M23" s="54"/>
      <c r="N23" s="54"/>
      <c r="O23" s="57"/>
      <c r="P23" s="53">
        <f t="shared" si="2"/>
        <v>0</v>
      </c>
      <c r="Q23" s="51"/>
      <c r="R23" s="54"/>
      <c r="S23" s="55"/>
      <c r="T23" s="56"/>
      <c r="U23" s="54"/>
      <c r="V23" s="57"/>
      <c r="W23" s="54"/>
      <c r="X23" s="54"/>
      <c r="Y23" s="57"/>
      <c r="Z23" s="54"/>
      <c r="AA23" s="54"/>
      <c r="AB23" s="57"/>
      <c r="AC23" s="54"/>
      <c r="AD23" s="54"/>
      <c r="AE23" s="57"/>
      <c r="AF23" s="55">
        <f t="shared" si="3"/>
        <v>0</v>
      </c>
      <c r="AG23" s="54">
        <f t="shared" si="4"/>
        <v>0</v>
      </c>
      <c r="AH23" s="58"/>
      <c r="AI23" s="59"/>
      <c r="AJ23" s="60"/>
      <c r="AK23" s="59"/>
      <c r="AL23" s="59"/>
      <c r="AM23" s="60"/>
      <c r="AN23" s="59"/>
      <c r="AO23" s="59"/>
      <c r="AP23" s="60"/>
      <c r="AQ23" s="59"/>
      <c r="AR23" s="59"/>
      <c r="AS23" s="60"/>
      <c r="AT23" s="61">
        <f t="shared" si="5"/>
        <v>0</v>
      </c>
      <c r="AU23" s="59"/>
      <c r="AV23" s="59"/>
      <c r="AW23" s="60"/>
      <c r="AX23" s="59"/>
      <c r="AY23" s="59"/>
      <c r="AZ23" s="60"/>
      <c r="BA23" s="59"/>
      <c r="BB23" s="59"/>
      <c r="BC23" s="60"/>
      <c r="BD23" s="59"/>
      <c r="BE23" s="59"/>
      <c r="BF23" s="60"/>
      <c r="BG23" s="61">
        <f t="shared" si="6"/>
        <v>0</v>
      </c>
      <c r="BH23" s="58"/>
      <c r="BI23" s="62">
        <f t="shared" si="7"/>
        <v>0</v>
      </c>
      <c r="BJ23" s="63"/>
      <c r="BK23" s="59"/>
      <c r="BL23" s="60"/>
      <c r="BM23" s="59"/>
      <c r="BN23" s="59"/>
      <c r="BO23" s="60"/>
      <c r="BP23" s="59"/>
      <c r="BQ23" s="59"/>
      <c r="BR23" s="60"/>
      <c r="BS23" s="59"/>
      <c r="BT23" s="59"/>
      <c r="BU23" s="60"/>
      <c r="BV23" s="62">
        <f t="shared" si="8"/>
        <v>0</v>
      </c>
      <c r="BW23" s="59">
        <f t="shared" si="9"/>
        <v>0</v>
      </c>
      <c r="BX23" s="61">
        <f t="shared" si="10"/>
        <v>0</v>
      </c>
      <c r="BY23" s="51"/>
      <c r="BZ23" s="54"/>
      <c r="CA23" s="57"/>
      <c r="CB23" s="54"/>
      <c r="CC23" s="54"/>
      <c r="CD23" s="57"/>
      <c r="CE23" s="54"/>
      <c r="CF23" s="54"/>
      <c r="CG23" s="57"/>
      <c r="CH23" s="54"/>
      <c r="CI23" s="54"/>
      <c r="CJ23" s="57"/>
      <c r="CK23" s="53">
        <f t="shared" si="11"/>
        <v>0</v>
      </c>
      <c r="CL23" s="51"/>
      <c r="CM23" s="54"/>
      <c r="CN23" s="57"/>
      <c r="CO23" s="54"/>
      <c r="CP23" s="54"/>
      <c r="CQ23" s="57"/>
      <c r="CR23" s="54"/>
      <c r="CS23" s="54"/>
      <c r="CT23" s="57"/>
      <c r="CU23" s="54"/>
      <c r="CV23" s="54"/>
      <c r="CW23" s="57"/>
      <c r="CX23" s="53">
        <f t="shared" si="12"/>
        <v>0</v>
      </c>
      <c r="CY23" s="51">
        <v>30</v>
      </c>
      <c r="CZ23" s="54"/>
      <c r="DA23" s="57"/>
      <c r="DB23" s="54"/>
      <c r="DC23" s="54"/>
      <c r="DD23" s="57"/>
      <c r="DE23" s="54"/>
      <c r="DF23" s="54"/>
      <c r="DG23" s="57"/>
      <c r="DH23" s="54"/>
      <c r="DI23" s="54"/>
      <c r="DJ23" s="57"/>
      <c r="DK23" s="53">
        <f t="shared" si="13"/>
        <v>30</v>
      </c>
      <c r="DL23" s="64">
        <v>6.0000000000000001E-3</v>
      </c>
      <c r="DM23" s="52">
        <v>3.5000000000000003E-2</v>
      </c>
      <c r="DN23" s="65">
        <v>6.4000000000000001E-2</v>
      </c>
      <c r="DO23" s="52">
        <v>9.4E-2</v>
      </c>
      <c r="DP23" s="52">
        <v>0.124</v>
      </c>
      <c r="DQ23" s="65">
        <v>0.156</v>
      </c>
      <c r="DR23" s="52">
        <v>0.191</v>
      </c>
      <c r="DS23" s="52">
        <v>0.22600000000000001</v>
      </c>
      <c r="DT23" s="65">
        <v>0.26700000000000002</v>
      </c>
      <c r="DU23" s="52">
        <v>0.316</v>
      </c>
      <c r="DV23" s="52">
        <v>0.36799999999999999</v>
      </c>
      <c r="DW23" s="66">
        <v>0.42199999999999999</v>
      </c>
      <c r="DX23" s="54"/>
      <c r="DY23" s="54"/>
      <c r="DZ23" s="57"/>
      <c r="EA23" s="54"/>
      <c r="EB23" s="54"/>
      <c r="EC23" s="57"/>
      <c r="ED23" s="54"/>
      <c r="EE23" s="54"/>
      <c r="EF23" s="57"/>
      <c r="EG23" s="54"/>
      <c r="EH23" s="54"/>
      <c r="EI23" s="57"/>
      <c r="EJ23" s="53">
        <f t="shared" si="14"/>
        <v>0</v>
      </c>
      <c r="EK23" s="54"/>
      <c r="EL23" s="54"/>
      <c r="EM23" s="57"/>
      <c r="EN23" s="54"/>
      <c r="EO23" s="54"/>
      <c r="EP23" s="57"/>
      <c r="EQ23" s="54"/>
      <c r="ER23" s="54"/>
      <c r="ES23" s="57"/>
      <c r="ET23" s="54"/>
      <c r="EU23" s="54"/>
      <c r="EV23" s="57"/>
      <c r="EW23" s="53">
        <f t="shared" si="15"/>
        <v>0</v>
      </c>
    </row>
    <row r="24" spans="1:153" ht="20.100000000000001" customHeight="1" x14ac:dyDescent="0.25">
      <c r="A24" s="51" t="s">
        <v>81</v>
      </c>
      <c r="B24" s="52">
        <v>0.5</v>
      </c>
      <c r="C24" s="53">
        <v>58</v>
      </c>
      <c r="D24" s="51"/>
      <c r="E24" s="54"/>
      <c r="F24" s="57"/>
      <c r="G24" s="54"/>
      <c r="H24" s="54"/>
      <c r="I24" s="57"/>
      <c r="J24" s="54"/>
      <c r="K24" s="54"/>
      <c r="L24" s="57"/>
      <c r="M24" s="54"/>
      <c r="N24" s="54"/>
      <c r="O24" s="57"/>
      <c r="P24" s="53">
        <f t="shared" si="2"/>
        <v>0</v>
      </c>
      <c r="Q24" s="51"/>
      <c r="R24" s="54"/>
      <c r="S24" s="55"/>
      <c r="T24" s="56"/>
      <c r="U24" s="54"/>
      <c r="V24" s="57"/>
      <c r="W24" s="54"/>
      <c r="X24" s="54"/>
      <c r="Y24" s="57"/>
      <c r="Z24" s="54"/>
      <c r="AA24" s="54"/>
      <c r="AB24" s="57"/>
      <c r="AC24" s="54"/>
      <c r="AD24" s="54"/>
      <c r="AE24" s="57"/>
      <c r="AF24" s="55">
        <f t="shared" si="3"/>
        <v>0</v>
      </c>
      <c r="AG24" s="54">
        <f t="shared" si="4"/>
        <v>0</v>
      </c>
      <c r="AH24" s="58"/>
      <c r="AI24" s="59"/>
      <c r="AJ24" s="60"/>
      <c r="AK24" s="59"/>
      <c r="AL24" s="59"/>
      <c r="AM24" s="60"/>
      <c r="AN24" s="59"/>
      <c r="AO24" s="59"/>
      <c r="AP24" s="60"/>
      <c r="AQ24" s="59"/>
      <c r="AR24" s="59"/>
      <c r="AS24" s="60"/>
      <c r="AT24" s="61">
        <f t="shared" si="5"/>
        <v>0</v>
      </c>
      <c r="AU24" s="59"/>
      <c r="AV24" s="59"/>
      <c r="AW24" s="60"/>
      <c r="AX24" s="59"/>
      <c r="AY24" s="59"/>
      <c r="AZ24" s="60"/>
      <c r="BA24" s="59"/>
      <c r="BB24" s="59"/>
      <c r="BC24" s="60"/>
      <c r="BD24" s="59"/>
      <c r="BE24" s="59"/>
      <c r="BF24" s="60"/>
      <c r="BG24" s="61">
        <f t="shared" si="6"/>
        <v>0</v>
      </c>
      <c r="BH24" s="58"/>
      <c r="BI24" s="62">
        <f t="shared" si="7"/>
        <v>0</v>
      </c>
      <c r="BJ24" s="63"/>
      <c r="BK24" s="59"/>
      <c r="BL24" s="60"/>
      <c r="BM24" s="59"/>
      <c r="BN24" s="59"/>
      <c r="BO24" s="60"/>
      <c r="BP24" s="59"/>
      <c r="BQ24" s="59"/>
      <c r="BR24" s="60"/>
      <c r="BS24" s="59"/>
      <c r="BT24" s="59"/>
      <c r="BU24" s="60"/>
      <c r="BV24" s="62">
        <f t="shared" si="8"/>
        <v>0</v>
      </c>
      <c r="BW24" s="59">
        <f t="shared" si="9"/>
        <v>0</v>
      </c>
      <c r="BX24" s="61">
        <f t="shared" si="10"/>
        <v>0</v>
      </c>
      <c r="BY24" s="51"/>
      <c r="BZ24" s="54"/>
      <c r="CA24" s="57"/>
      <c r="CB24" s="54"/>
      <c r="CC24" s="54">
        <v>58</v>
      </c>
      <c r="CD24" s="57"/>
      <c r="CE24" s="54"/>
      <c r="CF24" s="54"/>
      <c r="CG24" s="57"/>
      <c r="CH24" s="54"/>
      <c r="CI24" s="54"/>
      <c r="CJ24" s="57"/>
      <c r="CK24" s="53">
        <f t="shared" si="11"/>
        <v>58</v>
      </c>
      <c r="CL24" s="51"/>
      <c r="CM24" s="54"/>
      <c r="CN24" s="57"/>
      <c r="CO24" s="54"/>
      <c r="CP24" s="54"/>
      <c r="CQ24" s="57"/>
      <c r="CR24" s="54"/>
      <c r="CS24" s="54"/>
      <c r="CT24" s="57"/>
      <c r="CU24" s="54"/>
      <c r="CV24" s="54"/>
      <c r="CW24" s="57">
        <v>58</v>
      </c>
      <c r="CX24" s="53">
        <f t="shared" si="12"/>
        <v>58</v>
      </c>
      <c r="CY24" s="51"/>
      <c r="CZ24" s="54"/>
      <c r="DA24" s="57"/>
      <c r="DB24" s="54"/>
      <c r="DC24" s="54"/>
      <c r="DD24" s="57"/>
      <c r="DE24" s="54"/>
      <c r="DF24" s="54"/>
      <c r="DG24" s="57"/>
      <c r="DH24" s="54"/>
      <c r="DI24" s="54"/>
      <c r="DJ24" s="57"/>
      <c r="DK24" s="53">
        <f t="shared" si="13"/>
        <v>0</v>
      </c>
      <c r="DL24" s="64"/>
      <c r="DM24" s="52"/>
      <c r="DN24" s="65"/>
      <c r="DO24" s="52"/>
      <c r="DP24" s="52"/>
      <c r="DQ24" s="65"/>
      <c r="DR24" s="52"/>
      <c r="DS24" s="52"/>
      <c r="DT24" s="65"/>
      <c r="DU24" s="52"/>
      <c r="DV24" s="52"/>
      <c r="DW24" s="66"/>
      <c r="DX24" s="54"/>
      <c r="DY24" s="54"/>
      <c r="DZ24" s="57"/>
      <c r="EA24" s="54"/>
      <c r="EB24" s="54"/>
      <c r="EC24" s="57"/>
      <c r="ED24" s="54"/>
      <c r="EE24" s="54"/>
      <c r="EF24" s="57"/>
      <c r="EG24" s="54"/>
      <c r="EH24" s="54"/>
      <c r="EI24" s="57"/>
      <c r="EJ24" s="53">
        <f t="shared" si="14"/>
        <v>0</v>
      </c>
      <c r="EK24" s="54"/>
      <c r="EL24" s="54"/>
      <c r="EM24" s="57"/>
      <c r="EN24" s="54"/>
      <c r="EO24" s="54"/>
      <c r="EP24" s="57"/>
      <c r="EQ24" s="54"/>
      <c r="ER24" s="54"/>
      <c r="ES24" s="57"/>
      <c r="ET24" s="54"/>
      <c r="EU24" s="54"/>
      <c r="EV24" s="57"/>
      <c r="EW24" s="53">
        <f t="shared" si="15"/>
        <v>0</v>
      </c>
    </row>
    <row r="25" spans="1:153" ht="20.100000000000001" customHeight="1" x14ac:dyDescent="0.25">
      <c r="A25" s="51" t="s">
        <v>82</v>
      </c>
      <c r="B25" s="52">
        <v>0.5</v>
      </c>
      <c r="C25" s="53">
        <v>58</v>
      </c>
      <c r="D25" s="51"/>
      <c r="E25" s="54"/>
      <c r="F25" s="57"/>
      <c r="G25" s="54"/>
      <c r="H25" s="54"/>
      <c r="I25" s="57"/>
      <c r="J25" s="54"/>
      <c r="K25" s="54"/>
      <c r="L25" s="57"/>
      <c r="M25" s="54"/>
      <c r="N25" s="54"/>
      <c r="O25" s="57"/>
      <c r="P25" s="53">
        <f t="shared" si="2"/>
        <v>0</v>
      </c>
      <c r="Q25" s="51"/>
      <c r="R25" s="54"/>
      <c r="S25" s="55"/>
      <c r="T25" s="56"/>
      <c r="U25" s="54"/>
      <c r="V25" s="57"/>
      <c r="W25" s="54"/>
      <c r="X25" s="54"/>
      <c r="Y25" s="57"/>
      <c r="Z25" s="54"/>
      <c r="AA25" s="54"/>
      <c r="AB25" s="57"/>
      <c r="AC25" s="54"/>
      <c r="AD25" s="54"/>
      <c r="AE25" s="57"/>
      <c r="AF25" s="55">
        <f t="shared" si="3"/>
        <v>0</v>
      </c>
      <c r="AG25" s="54">
        <f t="shared" si="4"/>
        <v>0</v>
      </c>
      <c r="AH25" s="58"/>
      <c r="AI25" s="59"/>
      <c r="AJ25" s="60"/>
      <c r="AK25" s="59"/>
      <c r="AL25" s="59"/>
      <c r="AM25" s="60"/>
      <c r="AN25" s="59"/>
      <c r="AO25" s="59"/>
      <c r="AP25" s="60"/>
      <c r="AQ25" s="59"/>
      <c r="AR25" s="59"/>
      <c r="AS25" s="60"/>
      <c r="AT25" s="61">
        <f t="shared" si="5"/>
        <v>0</v>
      </c>
      <c r="AU25" s="59"/>
      <c r="AV25" s="59"/>
      <c r="AW25" s="60"/>
      <c r="AX25" s="59"/>
      <c r="AY25" s="59"/>
      <c r="AZ25" s="60"/>
      <c r="BA25" s="59"/>
      <c r="BB25" s="59"/>
      <c r="BC25" s="60"/>
      <c r="BD25" s="59"/>
      <c r="BE25" s="59"/>
      <c r="BF25" s="60"/>
      <c r="BG25" s="61">
        <f t="shared" si="6"/>
        <v>0</v>
      </c>
      <c r="BH25" s="58"/>
      <c r="BI25" s="62">
        <f t="shared" si="7"/>
        <v>0</v>
      </c>
      <c r="BJ25" s="63"/>
      <c r="BK25" s="59"/>
      <c r="BL25" s="60"/>
      <c r="BM25" s="59"/>
      <c r="BN25" s="59"/>
      <c r="BO25" s="60"/>
      <c r="BP25" s="59"/>
      <c r="BQ25" s="59"/>
      <c r="BR25" s="60"/>
      <c r="BS25" s="59"/>
      <c r="BT25" s="59"/>
      <c r="BU25" s="60"/>
      <c r="BV25" s="62">
        <f t="shared" si="8"/>
        <v>0</v>
      </c>
      <c r="BW25" s="59">
        <f t="shared" si="9"/>
        <v>0</v>
      </c>
      <c r="BX25" s="61">
        <f t="shared" si="10"/>
        <v>0</v>
      </c>
      <c r="BY25" s="51"/>
      <c r="BZ25" s="54"/>
      <c r="CA25" s="57"/>
      <c r="CB25" s="54"/>
      <c r="CC25" s="54">
        <v>58</v>
      </c>
      <c r="CD25" s="57"/>
      <c r="CE25" s="54"/>
      <c r="CF25" s="54"/>
      <c r="CG25" s="57"/>
      <c r="CH25" s="54"/>
      <c r="CI25" s="54"/>
      <c r="CJ25" s="57"/>
      <c r="CK25" s="53">
        <f t="shared" si="11"/>
        <v>58</v>
      </c>
      <c r="CL25" s="51"/>
      <c r="CM25" s="54"/>
      <c r="CN25" s="57"/>
      <c r="CO25" s="54"/>
      <c r="CP25" s="54"/>
      <c r="CQ25" s="57"/>
      <c r="CR25" s="54"/>
      <c r="CS25" s="54"/>
      <c r="CT25" s="57"/>
      <c r="CU25" s="54"/>
      <c r="CV25" s="54"/>
      <c r="CW25" s="57">
        <v>58</v>
      </c>
      <c r="CX25" s="53">
        <f t="shared" si="12"/>
        <v>58</v>
      </c>
      <c r="CY25" s="51"/>
      <c r="CZ25" s="54"/>
      <c r="DA25" s="57"/>
      <c r="DB25" s="54"/>
      <c r="DC25" s="54"/>
      <c r="DD25" s="57"/>
      <c r="DE25" s="54"/>
      <c r="DF25" s="54"/>
      <c r="DG25" s="57"/>
      <c r="DH25" s="54"/>
      <c r="DI25" s="54"/>
      <c r="DJ25" s="57"/>
      <c r="DK25" s="53">
        <f t="shared" si="13"/>
        <v>0</v>
      </c>
      <c r="DL25" s="64"/>
      <c r="DM25" s="52"/>
      <c r="DN25" s="65"/>
      <c r="DO25" s="52"/>
      <c r="DP25" s="52"/>
      <c r="DQ25" s="65"/>
      <c r="DR25" s="52"/>
      <c r="DS25" s="52"/>
      <c r="DT25" s="65"/>
      <c r="DU25" s="52"/>
      <c r="DV25" s="52"/>
      <c r="DW25" s="66"/>
      <c r="DX25" s="54"/>
      <c r="DY25" s="54"/>
      <c r="DZ25" s="57"/>
      <c r="EA25" s="54"/>
      <c r="EB25" s="54"/>
      <c r="EC25" s="57"/>
      <c r="ED25" s="54"/>
      <c r="EE25" s="54"/>
      <c r="EF25" s="57"/>
      <c r="EG25" s="54"/>
      <c r="EH25" s="54"/>
      <c r="EI25" s="57"/>
      <c r="EJ25" s="53">
        <f t="shared" si="14"/>
        <v>0</v>
      </c>
      <c r="EK25" s="54"/>
      <c r="EL25" s="54"/>
      <c r="EM25" s="57"/>
      <c r="EN25" s="54"/>
      <c r="EO25" s="54"/>
      <c r="EP25" s="57"/>
      <c r="EQ25" s="54"/>
      <c r="ER25" s="54"/>
      <c r="ES25" s="57"/>
      <c r="ET25" s="54"/>
      <c r="EU25" s="54"/>
      <c r="EV25" s="57"/>
      <c r="EW25" s="53">
        <f t="shared" si="15"/>
        <v>0</v>
      </c>
    </row>
    <row r="26" spans="1:153" ht="20.100000000000001" customHeight="1" x14ac:dyDescent="0.25">
      <c r="A26" s="51" t="s">
        <v>83</v>
      </c>
      <c r="B26" s="52">
        <v>0.5</v>
      </c>
      <c r="C26" s="53">
        <v>58</v>
      </c>
      <c r="D26" s="51"/>
      <c r="E26" s="54"/>
      <c r="F26" s="57"/>
      <c r="G26" s="54"/>
      <c r="H26" s="54"/>
      <c r="I26" s="57"/>
      <c r="J26" s="54"/>
      <c r="K26" s="54"/>
      <c r="L26" s="57"/>
      <c r="M26" s="54"/>
      <c r="N26" s="54"/>
      <c r="O26" s="57"/>
      <c r="P26" s="53">
        <f t="shared" si="2"/>
        <v>0</v>
      </c>
      <c r="Q26" s="51"/>
      <c r="R26" s="54"/>
      <c r="S26" s="55"/>
      <c r="T26" s="56"/>
      <c r="U26" s="54"/>
      <c r="V26" s="57"/>
      <c r="W26" s="54"/>
      <c r="X26" s="54"/>
      <c r="Y26" s="57"/>
      <c r="Z26" s="54"/>
      <c r="AA26" s="54"/>
      <c r="AB26" s="57"/>
      <c r="AC26" s="54"/>
      <c r="AD26" s="54"/>
      <c r="AE26" s="57"/>
      <c r="AF26" s="55">
        <f t="shared" si="3"/>
        <v>0</v>
      </c>
      <c r="AG26" s="54">
        <f t="shared" si="4"/>
        <v>0</v>
      </c>
      <c r="AH26" s="58"/>
      <c r="AI26" s="59"/>
      <c r="AJ26" s="60"/>
      <c r="AK26" s="59"/>
      <c r="AL26" s="59"/>
      <c r="AM26" s="60"/>
      <c r="AN26" s="59"/>
      <c r="AO26" s="59"/>
      <c r="AP26" s="60"/>
      <c r="AQ26" s="59"/>
      <c r="AR26" s="59"/>
      <c r="AS26" s="60"/>
      <c r="AT26" s="61">
        <f t="shared" si="5"/>
        <v>0</v>
      </c>
      <c r="AU26" s="59"/>
      <c r="AV26" s="59"/>
      <c r="AW26" s="60"/>
      <c r="AX26" s="59"/>
      <c r="AY26" s="59"/>
      <c r="AZ26" s="60"/>
      <c r="BA26" s="59"/>
      <c r="BB26" s="59"/>
      <c r="BC26" s="60"/>
      <c r="BD26" s="59"/>
      <c r="BE26" s="59"/>
      <c r="BF26" s="60"/>
      <c r="BG26" s="61">
        <f t="shared" si="6"/>
        <v>0</v>
      </c>
      <c r="BH26" s="58"/>
      <c r="BI26" s="62">
        <f t="shared" si="7"/>
        <v>0</v>
      </c>
      <c r="BJ26" s="63"/>
      <c r="BK26" s="59"/>
      <c r="BL26" s="60"/>
      <c r="BM26" s="59"/>
      <c r="BN26" s="59"/>
      <c r="BO26" s="60"/>
      <c r="BP26" s="59"/>
      <c r="BQ26" s="59"/>
      <c r="BR26" s="60"/>
      <c r="BS26" s="59"/>
      <c r="BT26" s="59"/>
      <c r="BU26" s="60"/>
      <c r="BV26" s="62">
        <f t="shared" si="8"/>
        <v>0</v>
      </c>
      <c r="BW26" s="59">
        <f t="shared" si="9"/>
        <v>0</v>
      </c>
      <c r="BX26" s="61">
        <f t="shared" si="10"/>
        <v>0</v>
      </c>
      <c r="BY26" s="51"/>
      <c r="BZ26" s="54"/>
      <c r="CA26" s="57"/>
      <c r="CB26" s="54"/>
      <c r="CC26" s="54">
        <v>58</v>
      </c>
      <c r="CD26" s="57"/>
      <c r="CE26" s="54"/>
      <c r="CF26" s="54"/>
      <c r="CG26" s="57"/>
      <c r="CH26" s="54"/>
      <c r="CI26" s="54"/>
      <c r="CJ26" s="57"/>
      <c r="CK26" s="53">
        <f t="shared" si="11"/>
        <v>58</v>
      </c>
      <c r="CL26" s="51"/>
      <c r="CM26" s="54"/>
      <c r="CN26" s="57"/>
      <c r="CO26" s="54"/>
      <c r="CP26" s="54"/>
      <c r="CQ26" s="57"/>
      <c r="CR26" s="54"/>
      <c r="CS26" s="54"/>
      <c r="CT26" s="57"/>
      <c r="CU26" s="54"/>
      <c r="CV26" s="54"/>
      <c r="CW26" s="57">
        <v>58</v>
      </c>
      <c r="CX26" s="53">
        <f t="shared" si="12"/>
        <v>58</v>
      </c>
      <c r="CY26" s="51"/>
      <c r="CZ26" s="54"/>
      <c r="DA26" s="57"/>
      <c r="DB26" s="54"/>
      <c r="DC26" s="54"/>
      <c r="DD26" s="57"/>
      <c r="DE26" s="54"/>
      <c r="DF26" s="54"/>
      <c r="DG26" s="57"/>
      <c r="DH26" s="54"/>
      <c r="DI26" s="54"/>
      <c r="DJ26" s="57"/>
      <c r="DK26" s="53">
        <f t="shared" si="13"/>
        <v>0</v>
      </c>
      <c r="DL26" s="64"/>
      <c r="DM26" s="52"/>
      <c r="DN26" s="65"/>
      <c r="DO26" s="52"/>
      <c r="DP26" s="52"/>
      <c r="DQ26" s="65"/>
      <c r="DR26" s="52"/>
      <c r="DS26" s="52"/>
      <c r="DT26" s="65"/>
      <c r="DU26" s="52"/>
      <c r="DV26" s="52"/>
      <c r="DW26" s="66"/>
      <c r="DX26" s="54"/>
      <c r="DY26" s="54"/>
      <c r="DZ26" s="57"/>
      <c r="EA26" s="54"/>
      <c r="EB26" s="54"/>
      <c r="EC26" s="57"/>
      <c r="ED26" s="54"/>
      <c r="EE26" s="54"/>
      <c r="EF26" s="57"/>
      <c r="EG26" s="54"/>
      <c r="EH26" s="54"/>
      <c r="EI26" s="57"/>
      <c r="EJ26" s="53">
        <f t="shared" si="14"/>
        <v>0</v>
      </c>
      <c r="EK26" s="54"/>
      <c r="EL26" s="54"/>
      <c r="EM26" s="57"/>
      <c r="EN26" s="54"/>
      <c r="EO26" s="54"/>
      <c r="EP26" s="57"/>
      <c r="EQ26" s="54"/>
      <c r="ER26" s="54"/>
      <c r="ES26" s="57"/>
      <c r="ET26" s="54"/>
      <c r="EU26" s="54"/>
      <c r="EV26" s="57"/>
      <c r="EW26" s="53">
        <f t="shared" si="15"/>
        <v>0</v>
      </c>
    </row>
    <row r="27" spans="1:153" ht="20.100000000000001" customHeight="1" x14ac:dyDescent="0.25">
      <c r="A27" s="51" t="s">
        <v>84</v>
      </c>
      <c r="B27" s="52">
        <v>0.5</v>
      </c>
      <c r="C27" s="53">
        <v>58</v>
      </c>
      <c r="D27" s="51"/>
      <c r="E27" s="54"/>
      <c r="F27" s="57"/>
      <c r="G27" s="54"/>
      <c r="H27" s="54"/>
      <c r="I27" s="57"/>
      <c r="J27" s="54"/>
      <c r="K27" s="54"/>
      <c r="L27" s="57"/>
      <c r="M27" s="54"/>
      <c r="N27" s="54"/>
      <c r="O27" s="57"/>
      <c r="P27" s="53">
        <f t="shared" si="2"/>
        <v>0</v>
      </c>
      <c r="Q27" s="51"/>
      <c r="R27" s="54"/>
      <c r="S27" s="55"/>
      <c r="T27" s="56"/>
      <c r="U27" s="54"/>
      <c r="V27" s="57"/>
      <c r="W27" s="54"/>
      <c r="X27" s="54"/>
      <c r="Y27" s="57"/>
      <c r="Z27" s="54"/>
      <c r="AA27" s="54"/>
      <c r="AB27" s="57"/>
      <c r="AC27" s="54"/>
      <c r="AD27" s="54"/>
      <c r="AE27" s="57"/>
      <c r="AF27" s="55">
        <f t="shared" si="3"/>
        <v>0</v>
      </c>
      <c r="AG27" s="54">
        <f t="shared" si="4"/>
        <v>0</v>
      </c>
      <c r="AH27" s="58"/>
      <c r="AI27" s="59"/>
      <c r="AJ27" s="60"/>
      <c r="AK27" s="59"/>
      <c r="AL27" s="59"/>
      <c r="AM27" s="60"/>
      <c r="AN27" s="59"/>
      <c r="AO27" s="59"/>
      <c r="AP27" s="60"/>
      <c r="AQ27" s="59"/>
      <c r="AR27" s="59"/>
      <c r="AS27" s="60"/>
      <c r="AT27" s="61">
        <f t="shared" si="5"/>
        <v>0</v>
      </c>
      <c r="AU27" s="59"/>
      <c r="AV27" s="59"/>
      <c r="AW27" s="60"/>
      <c r="AX27" s="59"/>
      <c r="AY27" s="59"/>
      <c r="AZ27" s="60"/>
      <c r="BA27" s="59"/>
      <c r="BB27" s="59"/>
      <c r="BC27" s="60"/>
      <c r="BD27" s="59"/>
      <c r="BE27" s="59"/>
      <c r="BF27" s="60"/>
      <c r="BG27" s="61">
        <f t="shared" si="6"/>
        <v>0</v>
      </c>
      <c r="BH27" s="58"/>
      <c r="BI27" s="62">
        <f t="shared" si="7"/>
        <v>0</v>
      </c>
      <c r="BJ27" s="63"/>
      <c r="BK27" s="59"/>
      <c r="BL27" s="60"/>
      <c r="BM27" s="59"/>
      <c r="BN27" s="59"/>
      <c r="BO27" s="60"/>
      <c r="BP27" s="59"/>
      <c r="BQ27" s="59"/>
      <c r="BR27" s="60"/>
      <c r="BS27" s="59"/>
      <c r="BT27" s="59"/>
      <c r="BU27" s="60"/>
      <c r="BV27" s="62">
        <f t="shared" si="8"/>
        <v>0</v>
      </c>
      <c r="BW27" s="59">
        <f t="shared" si="9"/>
        <v>0</v>
      </c>
      <c r="BX27" s="61">
        <f t="shared" si="10"/>
        <v>0</v>
      </c>
      <c r="BY27" s="51"/>
      <c r="BZ27" s="54"/>
      <c r="CA27" s="57"/>
      <c r="CB27" s="54"/>
      <c r="CC27" s="54">
        <v>58</v>
      </c>
      <c r="CD27" s="57"/>
      <c r="CE27" s="54"/>
      <c r="CF27" s="54"/>
      <c r="CG27" s="57"/>
      <c r="CH27" s="54"/>
      <c r="CI27" s="54"/>
      <c r="CJ27" s="57"/>
      <c r="CK27" s="53">
        <f t="shared" si="11"/>
        <v>58</v>
      </c>
      <c r="CL27" s="51"/>
      <c r="CM27" s="54"/>
      <c r="CN27" s="57"/>
      <c r="CO27" s="54"/>
      <c r="CP27" s="54"/>
      <c r="CQ27" s="57"/>
      <c r="CR27" s="54"/>
      <c r="CS27" s="54"/>
      <c r="CT27" s="57"/>
      <c r="CU27" s="54"/>
      <c r="CV27" s="54"/>
      <c r="CW27" s="57">
        <v>58</v>
      </c>
      <c r="CX27" s="53">
        <f t="shared" si="12"/>
        <v>58</v>
      </c>
      <c r="CY27" s="51"/>
      <c r="CZ27" s="54"/>
      <c r="DA27" s="57"/>
      <c r="DB27" s="54"/>
      <c r="DC27" s="54"/>
      <c r="DD27" s="57"/>
      <c r="DE27" s="54"/>
      <c r="DF27" s="54"/>
      <c r="DG27" s="57"/>
      <c r="DH27" s="54"/>
      <c r="DI27" s="54"/>
      <c r="DJ27" s="57"/>
      <c r="DK27" s="53">
        <f t="shared" si="13"/>
        <v>0</v>
      </c>
      <c r="DL27" s="64"/>
      <c r="DM27" s="52"/>
      <c r="DN27" s="65"/>
      <c r="DO27" s="52"/>
      <c r="DP27" s="52"/>
      <c r="DQ27" s="65"/>
      <c r="DR27" s="52"/>
      <c r="DS27" s="52"/>
      <c r="DT27" s="65"/>
      <c r="DU27" s="52"/>
      <c r="DV27" s="52"/>
      <c r="DW27" s="66"/>
      <c r="DX27" s="54"/>
      <c r="DY27" s="54"/>
      <c r="DZ27" s="57"/>
      <c r="EA27" s="54"/>
      <c r="EB27" s="54"/>
      <c r="EC27" s="57"/>
      <c r="ED27" s="54"/>
      <c r="EE27" s="54"/>
      <c r="EF27" s="57"/>
      <c r="EG27" s="54"/>
      <c r="EH27" s="54"/>
      <c r="EI27" s="57"/>
      <c r="EJ27" s="53">
        <f t="shared" si="14"/>
        <v>0</v>
      </c>
      <c r="EK27" s="54"/>
      <c r="EL27" s="54"/>
      <c r="EM27" s="57"/>
      <c r="EN27" s="54"/>
      <c r="EO27" s="54"/>
      <c r="EP27" s="57"/>
      <c r="EQ27" s="54"/>
      <c r="ER27" s="54"/>
      <c r="ES27" s="57"/>
      <c r="ET27" s="54"/>
      <c r="EU27" s="54"/>
      <c r="EV27" s="57"/>
      <c r="EW27" s="53">
        <f t="shared" si="15"/>
        <v>0</v>
      </c>
    </row>
    <row r="28" spans="1:153" ht="20.100000000000001" customHeight="1" x14ac:dyDescent="0.25">
      <c r="A28" s="51" t="s">
        <v>93</v>
      </c>
      <c r="B28" s="52">
        <v>1</v>
      </c>
      <c r="C28" s="53">
        <v>164</v>
      </c>
      <c r="D28" s="51"/>
      <c r="E28" s="54"/>
      <c r="F28" s="57"/>
      <c r="G28" s="54"/>
      <c r="H28" s="54"/>
      <c r="I28" s="57"/>
      <c r="J28" s="54"/>
      <c r="K28" s="54"/>
      <c r="L28" s="57"/>
      <c r="M28" s="54"/>
      <c r="N28" s="54"/>
      <c r="O28" s="57"/>
      <c r="P28" s="53">
        <f t="shared" si="2"/>
        <v>0</v>
      </c>
      <c r="Q28" s="51"/>
      <c r="R28" s="54"/>
      <c r="S28" s="55"/>
      <c r="T28" s="56"/>
      <c r="U28" s="54"/>
      <c r="V28" s="57"/>
      <c r="W28" s="54"/>
      <c r="X28" s="54"/>
      <c r="Y28" s="57"/>
      <c r="Z28" s="54"/>
      <c r="AA28" s="54"/>
      <c r="AB28" s="57"/>
      <c r="AC28" s="54"/>
      <c r="AD28" s="54"/>
      <c r="AE28" s="57"/>
      <c r="AF28" s="55">
        <f t="shared" si="3"/>
        <v>0</v>
      </c>
      <c r="AG28" s="54">
        <f t="shared" si="4"/>
        <v>0</v>
      </c>
      <c r="AH28" s="58"/>
      <c r="AI28" s="59"/>
      <c r="AJ28" s="60"/>
      <c r="AK28" s="59"/>
      <c r="AL28" s="59"/>
      <c r="AM28" s="60"/>
      <c r="AN28" s="59"/>
      <c r="AO28" s="59"/>
      <c r="AP28" s="60"/>
      <c r="AQ28" s="59"/>
      <c r="AR28" s="59"/>
      <c r="AS28" s="60"/>
      <c r="AT28" s="61">
        <f t="shared" si="5"/>
        <v>0</v>
      </c>
      <c r="AU28" s="59"/>
      <c r="AV28" s="59"/>
      <c r="AW28" s="60"/>
      <c r="AX28" s="59"/>
      <c r="AY28" s="59"/>
      <c r="AZ28" s="60"/>
      <c r="BA28" s="59"/>
      <c r="BB28" s="59"/>
      <c r="BC28" s="60"/>
      <c r="BD28" s="59"/>
      <c r="BE28" s="59"/>
      <c r="BF28" s="60"/>
      <c r="BG28" s="61">
        <f t="shared" si="6"/>
        <v>0</v>
      </c>
      <c r="BH28" s="58"/>
      <c r="BI28" s="62">
        <f t="shared" si="7"/>
        <v>0</v>
      </c>
      <c r="BJ28" s="63"/>
      <c r="BK28" s="59"/>
      <c r="BL28" s="60"/>
      <c r="BM28" s="59"/>
      <c r="BN28" s="59"/>
      <c r="BO28" s="60"/>
      <c r="BP28" s="59"/>
      <c r="BQ28" s="59"/>
      <c r="BR28" s="60"/>
      <c r="BS28" s="59"/>
      <c r="BT28" s="59"/>
      <c r="BU28" s="60"/>
      <c r="BV28" s="62">
        <f t="shared" si="8"/>
        <v>0</v>
      </c>
      <c r="BW28" s="59">
        <f t="shared" si="9"/>
        <v>0</v>
      </c>
      <c r="BX28" s="61">
        <f t="shared" si="10"/>
        <v>0</v>
      </c>
      <c r="BY28" s="51"/>
      <c r="BZ28" s="54"/>
      <c r="CA28" s="57"/>
      <c r="CB28" s="54"/>
      <c r="CC28" s="54"/>
      <c r="CD28" s="57"/>
      <c r="CE28" s="54"/>
      <c r="CF28" s="54"/>
      <c r="CG28" s="57"/>
      <c r="CH28" s="54"/>
      <c r="CI28" s="54"/>
      <c r="CJ28" s="57"/>
      <c r="CK28" s="53">
        <f t="shared" si="11"/>
        <v>0</v>
      </c>
      <c r="CL28" s="51"/>
      <c r="CM28" s="54"/>
      <c r="CN28" s="57"/>
      <c r="CO28" s="54"/>
      <c r="CP28" s="54"/>
      <c r="CQ28" s="57"/>
      <c r="CR28" s="54"/>
      <c r="CS28" s="54"/>
      <c r="CT28" s="57"/>
      <c r="CU28" s="54"/>
      <c r="CV28" s="54"/>
      <c r="CW28" s="57"/>
      <c r="CX28" s="53">
        <f t="shared" si="12"/>
        <v>0</v>
      </c>
      <c r="CY28" s="51"/>
      <c r="CZ28" s="54"/>
      <c r="DA28" s="57"/>
      <c r="DB28" s="54"/>
      <c r="DC28" s="54"/>
      <c r="DD28" s="57"/>
      <c r="DE28" s="54"/>
      <c r="DF28" s="54"/>
      <c r="DG28" s="57"/>
      <c r="DH28" s="54"/>
      <c r="DI28" s="54"/>
      <c r="DJ28" s="57"/>
      <c r="DK28" s="53">
        <f t="shared" si="13"/>
        <v>0</v>
      </c>
      <c r="DL28" s="64"/>
      <c r="DM28" s="52"/>
      <c r="DN28" s="65"/>
      <c r="DO28" s="52"/>
      <c r="DP28" s="52"/>
      <c r="DQ28" s="65"/>
      <c r="DR28" s="52"/>
      <c r="DS28" s="52"/>
      <c r="DT28" s="65"/>
      <c r="DU28" s="52"/>
      <c r="DV28" s="52"/>
      <c r="DW28" s="66"/>
      <c r="DX28" s="54"/>
      <c r="DY28" s="54"/>
      <c r="DZ28" s="57"/>
      <c r="EA28" s="54"/>
      <c r="EB28" s="54"/>
      <c r="EC28" s="57"/>
      <c r="ED28" s="54"/>
      <c r="EE28" s="54"/>
      <c r="EF28" s="57"/>
      <c r="EG28" s="54"/>
      <c r="EH28" s="54"/>
      <c r="EI28" s="57"/>
      <c r="EJ28" s="53">
        <f t="shared" si="14"/>
        <v>0</v>
      </c>
      <c r="EK28" s="54"/>
      <c r="EL28" s="54"/>
      <c r="EM28" s="57"/>
      <c r="EN28" s="54"/>
      <c r="EO28" s="54"/>
      <c r="EP28" s="57"/>
      <c r="EQ28" s="54"/>
      <c r="ER28" s="54"/>
      <c r="ES28" s="57"/>
      <c r="ET28" s="54"/>
      <c r="EU28" s="54"/>
      <c r="EV28" s="57"/>
      <c r="EW28" s="53">
        <f t="shared" si="15"/>
        <v>0</v>
      </c>
    </row>
    <row r="29" spans="1:153" ht="20.100000000000001" customHeight="1" x14ac:dyDescent="0.25">
      <c r="A29" s="51" t="s">
        <v>85</v>
      </c>
      <c r="B29" s="52">
        <v>1</v>
      </c>
      <c r="C29" s="53">
        <v>57</v>
      </c>
      <c r="D29" s="51"/>
      <c r="E29" s="54"/>
      <c r="F29" s="57"/>
      <c r="G29" s="54"/>
      <c r="H29" s="54"/>
      <c r="I29" s="57"/>
      <c r="J29" s="54"/>
      <c r="K29" s="54"/>
      <c r="L29" s="57"/>
      <c r="M29" s="54"/>
      <c r="N29" s="54"/>
      <c r="O29" s="57"/>
      <c r="P29" s="53">
        <f t="shared" si="2"/>
        <v>0</v>
      </c>
      <c r="Q29" s="51"/>
      <c r="R29" s="54"/>
      <c r="S29" s="55"/>
      <c r="T29" s="56"/>
      <c r="U29" s="54"/>
      <c r="V29" s="57"/>
      <c r="W29" s="54"/>
      <c r="X29" s="54"/>
      <c r="Y29" s="57"/>
      <c r="Z29" s="54"/>
      <c r="AA29" s="54"/>
      <c r="AB29" s="57"/>
      <c r="AC29" s="54"/>
      <c r="AD29" s="54"/>
      <c r="AE29" s="57"/>
      <c r="AF29" s="55">
        <f t="shared" si="3"/>
        <v>0</v>
      </c>
      <c r="AG29" s="54">
        <f t="shared" si="4"/>
        <v>0</v>
      </c>
      <c r="AH29" s="58"/>
      <c r="AI29" s="59"/>
      <c r="AJ29" s="60"/>
      <c r="AK29" s="59"/>
      <c r="AL29" s="59"/>
      <c r="AM29" s="60"/>
      <c r="AN29" s="59"/>
      <c r="AO29" s="59"/>
      <c r="AP29" s="60"/>
      <c r="AQ29" s="59"/>
      <c r="AR29" s="59"/>
      <c r="AS29" s="60"/>
      <c r="AT29" s="61">
        <f t="shared" si="5"/>
        <v>0</v>
      </c>
      <c r="AU29" s="59"/>
      <c r="AV29" s="59"/>
      <c r="AW29" s="60"/>
      <c r="AX29" s="59"/>
      <c r="AY29" s="59"/>
      <c r="AZ29" s="60"/>
      <c r="BA29" s="59"/>
      <c r="BB29" s="59"/>
      <c r="BC29" s="60"/>
      <c r="BD29" s="59"/>
      <c r="BE29" s="59"/>
      <c r="BF29" s="60"/>
      <c r="BG29" s="61">
        <f t="shared" si="6"/>
        <v>0</v>
      </c>
      <c r="BH29" s="58"/>
      <c r="BI29" s="62">
        <f t="shared" si="7"/>
        <v>0</v>
      </c>
      <c r="BJ29" s="63"/>
      <c r="BK29" s="59"/>
      <c r="BL29" s="60"/>
      <c r="BM29" s="59"/>
      <c r="BN29" s="59"/>
      <c r="BO29" s="60"/>
      <c r="BP29" s="59"/>
      <c r="BQ29" s="59"/>
      <c r="BR29" s="60"/>
      <c r="BS29" s="59"/>
      <c r="BT29" s="59"/>
      <c r="BU29" s="60"/>
      <c r="BV29" s="62">
        <f t="shared" si="8"/>
        <v>0</v>
      </c>
      <c r="BW29" s="59">
        <f t="shared" si="9"/>
        <v>0</v>
      </c>
      <c r="BX29" s="61">
        <f t="shared" si="10"/>
        <v>0</v>
      </c>
      <c r="BY29" s="51"/>
      <c r="BZ29" s="54"/>
      <c r="CA29" s="57"/>
      <c r="CB29" s="54"/>
      <c r="CC29" s="54"/>
      <c r="CD29" s="57"/>
      <c r="CE29" s="54"/>
      <c r="CF29" s="54"/>
      <c r="CG29" s="57"/>
      <c r="CH29" s="54"/>
      <c r="CI29" s="54"/>
      <c r="CJ29" s="57"/>
      <c r="CK29" s="53">
        <f t="shared" si="11"/>
        <v>0</v>
      </c>
      <c r="CL29" s="51"/>
      <c r="CM29" s="54"/>
      <c r="CN29" s="57"/>
      <c r="CO29" s="54"/>
      <c r="CP29" s="54"/>
      <c r="CQ29" s="57"/>
      <c r="CR29" s="54"/>
      <c r="CS29" s="54"/>
      <c r="CT29" s="57"/>
      <c r="CU29" s="54"/>
      <c r="CV29" s="54"/>
      <c r="CW29" s="57"/>
      <c r="CX29" s="53">
        <f t="shared" si="12"/>
        <v>0</v>
      </c>
      <c r="CY29" s="51"/>
      <c r="CZ29" s="54"/>
      <c r="DA29" s="57"/>
      <c r="DB29" s="54"/>
      <c r="DC29" s="54"/>
      <c r="DD29" s="57"/>
      <c r="DE29" s="54"/>
      <c r="DF29" s="54"/>
      <c r="DG29" s="57"/>
      <c r="DH29" s="54"/>
      <c r="DI29" s="54"/>
      <c r="DJ29" s="57"/>
      <c r="DK29" s="53">
        <f t="shared" si="13"/>
        <v>0</v>
      </c>
      <c r="DL29" s="64"/>
      <c r="DM29" s="52"/>
      <c r="DN29" s="65"/>
      <c r="DO29" s="52"/>
      <c r="DP29" s="52"/>
      <c r="DQ29" s="65"/>
      <c r="DR29" s="52"/>
      <c r="DS29" s="52"/>
      <c r="DT29" s="65"/>
      <c r="DU29" s="52"/>
      <c r="DV29" s="52"/>
      <c r="DW29" s="66"/>
      <c r="DX29" s="54"/>
      <c r="DY29" s="54"/>
      <c r="DZ29" s="57"/>
      <c r="EA29" s="54"/>
      <c r="EB29" s="54"/>
      <c r="EC29" s="57"/>
      <c r="ED29" s="54"/>
      <c r="EE29" s="54"/>
      <c r="EF29" s="57"/>
      <c r="EG29" s="54"/>
      <c r="EH29" s="54"/>
      <c r="EI29" s="57"/>
      <c r="EJ29" s="53">
        <f t="shared" si="14"/>
        <v>0</v>
      </c>
      <c r="EK29" s="54"/>
      <c r="EL29" s="54"/>
      <c r="EM29" s="57"/>
      <c r="EN29" s="54"/>
      <c r="EO29" s="54"/>
      <c r="EP29" s="57"/>
      <c r="EQ29" s="54"/>
      <c r="ER29" s="54"/>
      <c r="ES29" s="57"/>
      <c r="ET29" s="54"/>
      <c r="EU29" s="54"/>
      <c r="EV29" s="57"/>
      <c r="EW29" s="53">
        <f t="shared" si="15"/>
        <v>0</v>
      </c>
    </row>
    <row r="30" spans="1:153" ht="20.100000000000001" customHeight="1" x14ac:dyDescent="0.25">
      <c r="A30" s="51" t="s">
        <v>98</v>
      </c>
      <c r="B30" s="52">
        <v>1</v>
      </c>
      <c r="C30" s="53" t="s">
        <v>99</v>
      </c>
      <c r="D30" s="51"/>
      <c r="E30" s="54"/>
      <c r="F30" s="57"/>
      <c r="G30" s="54"/>
      <c r="H30" s="54"/>
      <c r="I30" s="57"/>
      <c r="J30" s="54"/>
      <c r="K30" s="54"/>
      <c r="L30" s="57"/>
      <c r="M30" s="54"/>
      <c r="N30" s="54"/>
      <c r="O30" s="57"/>
      <c r="P30" s="53">
        <f t="shared" si="2"/>
        <v>0</v>
      </c>
      <c r="Q30" s="51"/>
      <c r="R30" s="54"/>
      <c r="S30" s="55"/>
      <c r="T30" s="56"/>
      <c r="U30" s="54"/>
      <c r="V30" s="57"/>
      <c r="W30" s="54"/>
      <c r="X30" s="54"/>
      <c r="Y30" s="57"/>
      <c r="Z30" s="54"/>
      <c r="AA30" s="54"/>
      <c r="AB30" s="57"/>
      <c r="AC30" s="54"/>
      <c r="AD30" s="54"/>
      <c r="AE30" s="57"/>
      <c r="AF30" s="55">
        <f t="shared" si="3"/>
        <v>0</v>
      </c>
      <c r="AG30" s="54">
        <f t="shared" si="4"/>
        <v>0</v>
      </c>
      <c r="AH30" s="58"/>
      <c r="AI30" s="59"/>
      <c r="AJ30" s="60"/>
      <c r="AK30" s="59"/>
      <c r="AL30" s="59"/>
      <c r="AM30" s="60"/>
      <c r="AN30" s="59"/>
      <c r="AO30" s="59"/>
      <c r="AP30" s="60"/>
      <c r="AQ30" s="59"/>
      <c r="AR30" s="59"/>
      <c r="AS30" s="60"/>
      <c r="AT30" s="61">
        <f t="shared" si="5"/>
        <v>0</v>
      </c>
      <c r="AU30" s="59"/>
      <c r="AV30" s="59"/>
      <c r="AW30" s="60"/>
      <c r="AX30" s="59"/>
      <c r="AY30" s="59"/>
      <c r="AZ30" s="60"/>
      <c r="BA30" s="59"/>
      <c r="BB30" s="59"/>
      <c r="BC30" s="60"/>
      <c r="BD30" s="59"/>
      <c r="BE30" s="59"/>
      <c r="BF30" s="60"/>
      <c r="BG30" s="61">
        <f t="shared" si="6"/>
        <v>0</v>
      </c>
      <c r="BH30" s="58"/>
      <c r="BI30" s="62">
        <f t="shared" si="7"/>
        <v>0</v>
      </c>
      <c r="BJ30" s="63"/>
      <c r="BK30" s="59"/>
      <c r="BL30" s="60"/>
      <c r="BM30" s="59"/>
      <c r="BN30" s="59"/>
      <c r="BO30" s="60"/>
      <c r="BP30" s="59"/>
      <c r="BQ30" s="59"/>
      <c r="BR30" s="60"/>
      <c r="BS30" s="59"/>
      <c r="BT30" s="59"/>
      <c r="BU30" s="60"/>
      <c r="BV30" s="62">
        <f t="shared" si="8"/>
        <v>0</v>
      </c>
      <c r="BW30" s="59">
        <f t="shared" si="9"/>
        <v>0</v>
      </c>
      <c r="BX30" s="61">
        <f t="shared" si="10"/>
        <v>0</v>
      </c>
      <c r="BY30" s="51"/>
      <c r="BZ30" s="54"/>
      <c r="CA30" s="57"/>
      <c r="CB30" s="54"/>
      <c r="CC30" s="54"/>
      <c r="CD30" s="57"/>
      <c r="CE30" s="54"/>
      <c r="CF30" s="54"/>
      <c r="CG30" s="57"/>
      <c r="CH30" s="54"/>
      <c r="CI30" s="54"/>
      <c r="CJ30" s="57"/>
      <c r="CK30" s="53">
        <f t="shared" si="11"/>
        <v>0</v>
      </c>
      <c r="CL30" s="51"/>
      <c r="CM30" s="54"/>
      <c r="CN30" s="57"/>
      <c r="CO30" s="54"/>
      <c r="CP30" s="54"/>
      <c r="CQ30" s="57"/>
      <c r="CR30" s="54"/>
      <c r="CS30" s="54"/>
      <c r="CT30" s="57"/>
      <c r="CU30" s="54"/>
      <c r="CV30" s="54"/>
      <c r="CW30" s="57"/>
      <c r="CX30" s="53">
        <f t="shared" si="12"/>
        <v>0</v>
      </c>
      <c r="CY30" s="51"/>
      <c r="CZ30" s="54"/>
      <c r="DA30" s="57"/>
      <c r="DB30" s="54"/>
      <c r="DC30" s="54"/>
      <c r="DD30" s="57"/>
      <c r="DE30" s="54"/>
      <c r="DF30" s="54"/>
      <c r="DG30" s="57"/>
      <c r="DH30" s="54"/>
      <c r="DI30" s="54"/>
      <c r="DJ30" s="57"/>
      <c r="DK30" s="53">
        <f t="shared" si="13"/>
        <v>0</v>
      </c>
      <c r="DL30" s="64"/>
      <c r="DM30" s="52"/>
      <c r="DN30" s="65"/>
      <c r="DO30" s="52"/>
      <c r="DP30" s="52"/>
      <c r="DQ30" s="65"/>
      <c r="DR30" s="52"/>
      <c r="DS30" s="52"/>
      <c r="DT30" s="65"/>
      <c r="DU30" s="52"/>
      <c r="DV30" s="52"/>
      <c r="DW30" s="66"/>
      <c r="DX30" s="54"/>
      <c r="DY30" s="54"/>
      <c r="DZ30" s="57"/>
      <c r="EA30" s="54"/>
      <c r="EB30" s="54"/>
      <c r="EC30" s="57"/>
      <c r="ED30" s="54"/>
      <c r="EE30" s="54"/>
      <c r="EF30" s="57"/>
      <c r="EG30" s="54"/>
      <c r="EH30" s="54"/>
      <c r="EI30" s="57"/>
      <c r="EJ30" s="53">
        <f t="shared" si="14"/>
        <v>0</v>
      </c>
      <c r="EK30" s="54"/>
      <c r="EL30" s="54"/>
      <c r="EM30" s="57"/>
      <c r="EN30" s="54"/>
      <c r="EO30" s="54"/>
      <c r="EP30" s="57"/>
      <c r="EQ30" s="54"/>
      <c r="ER30" s="54"/>
      <c r="ES30" s="57"/>
      <c r="ET30" s="54"/>
      <c r="EU30" s="54"/>
      <c r="EV30" s="57"/>
      <c r="EW30" s="53">
        <f t="shared" si="15"/>
        <v>0</v>
      </c>
    </row>
    <row r="31" spans="1:153" ht="20.100000000000001" customHeight="1" x14ac:dyDescent="0.25">
      <c r="A31" s="51" t="s">
        <v>113</v>
      </c>
      <c r="B31" s="52">
        <v>1</v>
      </c>
      <c r="C31" s="53">
        <v>1</v>
      </c>
      <c r="D31" s="51"/>
      <c r="E31" s="54"/>
      <c r="F31" s="57"/>
      <c r="G31" s="54"/>
      <c r="H31" s="54"/>
      <c r="I31" s="57"/>
      <c r="J31" s="54"/>
      <c r="K31" s="54"/>
      <c r="L31" s="57"/>
      <c r="M31" s="54"/>
      <c r="N31" s="54"/>
      <c r="O31" s="57"/>
      <c r="P31" s="53"/>
      <c r="Q31" s="51"/>
      <c r="R31" s="54"/>
      <c r="S31" s="55"/>
      <c r="T31" s="56"/>
      <c r="U31" s="54"/>
      <c r="V31" s="57"/>
      <c r="W31" s="54"/>
      <c r="X31" s="54"/>
      <c r="Y31" s="57"/>
      <c r="Z31" s="54"/>
      <c r="AA31" s="54"/>
      <c r="AB31" s="57"/>
      <c r="AC31" s="54"/>
      <c r="AD31" s="54"/>
      <c r="AE31" s="57"/>
      <c r="AF31" s="55"/>
      <c r="AG31" s="54"/>
      <c r="AH31" s="58"/>
      <c r="AI31" s="59"/>
      <c r="AJ31" s="60"/>
      <c r="AK31" s="59"/>
      <c r="AL31" s="59"/>
      <c r="AM31" s="60"/>
      <c r="AN31" s="59"/>
      <c r="AO31" s="59"/>
      <c r="AP31" s="60"/>
      <c r="AQ31" s="59"/>
      <c r="AR31" s="59"/>
      <c r="AS31" s="60"/>
      <c r="AT31" s="61"/>
      <c r="AU31" s="59"/>
      <c r="AV31" s="59"/>
      <c r="AW31" s="60"/>
      <c r="AX31" s="59"/>
      <c r="AY31" s="59"/>
      <c r="AZ31" s="60"/>
      <c r="BA31" s="59"/>
      <c r="BB31" s="59"/>
      <c r="BC31" s="60"/>
      <c r="BD31" s="59"/>
      <c r="BE31" s="59"/>
      <c r="BF31" s="60"/>
      <c r="BG31" s="61"/>
      <c r="BH31" s="58"/>
      <c r="BI31" s="62"/>
      <c r="BJ31" s="63"/>
      <c r="BK31" s="59"/>
      <c r="BL31" s="60"/>
      <c r="BM31" s="59"/>
      <c r="BN31" s="59"/>
      <c r="BO31" s="60"/>
      <c r="BP31" s="59"/>
      <c r="BQ31" s="59"/>
      <c r="BR31" s="60"/>
      <c r="BS31" s="59"/>
      <c r="BT31" s="59"/>
      <c r="BU31" s="60"/>
      <c r="BV31" s="62"/>
      <c r="BW31" s="59"/>
      <c r="BX31" s="61"/>
      <c r="BY31" s="51"/>
      <c r="BZ31" s="54"/>
      <c r="CA31" s="57"/>
      <c r="CB31" s="54"/>
      <c r="CC31" s="54"/>
      <c r="CD31" s="57"/>
      <c r="CE31" s="54"/>
      <c r="CF31" s="54"/>
      <c r="CG31" s="57"/>
      <c r="CH31" s="54"/>
      <c r="CI31" s="54"/>
      <c r="CJ31" s="57"/>
      <c r="CK31" s="53">
        <f t="shared" si="11"/>
        <v>0</v>
      </c>
      <c r="CL31" s="51"/>
      <c r="CM31" s="54"/>
      <c r="CN31" s="57"/>
      <c r="CO31" s="54"/>
      <c r="CP31" s="54"/>
      <c r="CQ31" s="57"/>
      <c r="CR31" s="54"/>
      <c r="CS31" s="54"/>
      <c r="CT31" s="57"/>
      <c r="CU31" s="54"/>
      <c r="CV31" s="54"/>
      <c r="CW31" s="57"/>
      <c r="CX31" s="53">
        <f t="shared" si="12"/>
        <v>0</v>
      </c>
      <c r="CY31" s="51"/>
      <c r="CZ31" s="54"/>
      <c r="DA31" s="57"/>
      <c r="DB31" s="54"/>
      <c r="DC31" s="54"/>
      <c r="DD31" s="57"/>
      <c r="DE31" s="54"/>
      <c r="DF31" s="54"/>
      <c r="DG31" s="57"/>
      <c r="DH31" s="54"/>
      <c r="DI31" s="54"/>
      <c r="DJ31" s="57"/>
      <c r="DK31" s="53">
        <f t="shared" si="13"/>
        <v>0</v>
      </c>
      <c r="DL31" s="64"/>
      <c r="DM31" s="52"/>
      <c r="DN31" s="65"/>
      <c r="DO31" s="52"/>
      <c r="DP31" s="52"/>
      <c r="DQ31" s="65"/>
      <c r="DR31" s="52"/>
      <c r="DS31" s="52"/>
      <c r="DT31" s="65"/>
      <c r="DU31" s="52"/>
      <c r="DV31" s="52"/>
      <c r="DW31" s="66"/>
      <c r="DX31" s="54"/>
      <c r="DY31" s="54"/>
      <c r="DZ31" s="57"/>
      <c r="EA31" s="54"/>
      <c r="EB31" s="54"/>
      <c r="EC31" s="57"/>
      <c r="ED31" s="54"/>
      <c r="EE31" s="54"/>
      <c r="EF31" s="57"/>
      <c r="EG31" s="54"/>
      <c r="EH31" s="54"/>
      <c r="EI31" s="57"/>
      <c r="EJ31" s="53">
        <f t="shared" si="14"/>
        <v>0</v>
      </c>
      <c r="EK31" s="54"/>
      <c r="EL31" s="54"/>
      <c r="EM31" s="57"/>
      <c r="EN31" s="54"/>
      <c r="EO31" s="54"/>
      <c r="EP31" s="57"/>
      <c r="EQ31" s="54"/>
      <c r="ER31" s="54"/>
      <c r="ES31" s="57"/>
      <c r="ET31" s="54"/>
      <c r="EU31" s="54"/>
      <c r="EV31" s="57"/>
      <c r="EW31" s="53">
        <f t="shared" si="15"/>
        <v>0</v>
      </c>
    </row>
    <row r="32" spans="1:153" ht="20.100000000000001" customHeight="1" x14ac:dyDescent="0.25">
      <c r="A32" s="51" t="s">
        <v>86</v>
      </c>
      <c r="B32" s="52">
        <v>1</v>
      </c>
      <c r="C32" s="53">
        <v>159</v>
      </c>
      <c r="D32" s="51"/>
      <c r="E32" s="54"/>
      <c r="F32" s="57"/>
      <c r="G32" s="54"/>
      <c r="H32" s="54"/>
      <c r="I32" s="57"/>
      <c r="J32" s="54"/>
      <c r="K32" s="54"/>
      <c r="L32" s="57"/>
      <c r="M32" s="54"/>
      <c r="N32" s="54"/>
      <c r="O32" s="57"/>
      <c r="P32" s="53">
        <f t="shared" si="2"/>
        <v>0</v>
      </c>
      <c r="Q32" s="51"/>
      <c r="R32" s="54"/>
      <c r="S32" s="55"/>
      <c r="T32" s="56"/>
      <c r="U32" s="54"/>
      <c r="V32" s="57"/>
      <c r="W32" s="54"/>
      <c r="X32" s="54"/>
      <c r="Y32" s="57"/>
      <c r="Z32" s="54"/>
      <c r="AA32" s="54"/>
      <c r="AB32" s="57"/>
      <c r="AC32" s="54"/>
      <c r="AD32" s="54"/>
      <c r="AE32" s="57"/>
      <c r="AF32" s="55">
        <f t="shared" si="3"/>
        <v>0</v>
      </c>
      <c r="AG32" s="54">
        <f t="shared" si="4"/>
        <v>0</v>
      </c>
      <c r="AH32" s="58"/>
      <c r="AI32" s="59"/>
      <c r="AJ32" s="60"/>
      <c r="AK32" s="59"/>
      <c r="AL32" s="59"/>
      <c r="AM32" s="60"/>
      <c r="AN32" s="59"/>
      <c r="AO32" s="59"/>
      <c r="AP32" s="60"/>
      <c r="AQ32" s="59"/>
      <c r="AR32" s="59"/>
      <c r="AS32" s="60"/>
      <c r="AT32" s="61">
        <f t="shared" si="5"/>
        <v>0</v>
      </c>
      <c r="AU32" s="59"/>
      <c r="AV32" s="59"/>
      <c r="AW32" s="60"/>
      <c r="AX32" s="59"/>
      <c r="AY32" s="59"/>
      <c r="AZ32" s="60"/>
      <c r="BA32" s="59"/>
      <c r="BB32" s="59"/>
      <c r="BC32" s="60"/>
      <c r="BD32" s="59"/>
      <c r="BE32" s="59"/>
      <c r="BF32" s="60"/>
      <c r="BG32" s="61">
        <f t="shared" si="6"/>
        <v>0</v>
      </c>
      <c r="BH32" s="58"/>
      <c r="BI32" s="62">
        <f t="shared" si="7"/>
        <v>0</v>
      </c>
      <c r="BJ32" s="63"/>
      <c r="BK32" s="59"/>
      <c r="BL32" s="60"/>
      <c r="BM32" s="59"/>
      <c r="BN32" s="59"/>
      <c r="BO32" s="60"/>
      <c r="BP32" s="59"/>
      <c r="BQ32" s="59"/>
      <c r="BR32" s="60"/>
      <c r="BS32" s="59"/>
      <c r="BT32" s="59"/>
      <c r="BU32" s="60"/>
      <c r="BV32" s="62">
        <f t="shared" si="8"/>
        <v>0</v>
      </c>
      <c r="BW32" s="59">
        <f t="shared" si="9"/>
        <v>0</v>
      </c>
      <c r="BX32" s="61">
        <f t="shared" si="10"/>
        <v>0</v>
      </c>
      <c r="BY32" s="51"/>
      <c r="BZ32" s="54"/>
      <c r="CA32" s="57"/>
      <c r="CB32" s="54"/>
      <c r="CC32" s="54"/>
      <c r="CD32" s="57"/>
      <c r="CE32" s="54"/>
      <c r="CF32" s="54"/>
      <c r="CG32" s="57"/>
      <c r="CH32" s="54"/>
      <c r="CI32" s="54"/>
      <c r="CJ32" s="57"/>
      <c r="CK32" s="53">
        <f t="shared" si="11"/>
        <v>0</v>
      </c>
      <c r="CL32" s="51"/>
      <c r="CM32" s="54">
        <f>99+60</f>
        <v>159</v>
      </c>
      <c r="CN32" s="57"/>
      <c r="CO32" s="54"/>
      <c r="CP32" s="54"/>
      <c r="CQ32" s="57"/>
      <c r="CR32" s="54"/>
      <c r="CS32" s="54"/>
      <c r="CT32" s="57"/>
      <c r="CU32" s="54"/>
      <c r="CV32" s="54"/>
      <c r="CW32" s="57"/>
      <c r="CX32" s="53">
        <f t="shared" si="12"/>
        <v>159</v>
      </c>
      <c r="CY32" s="51"/>
      <c r="CZ32" s="54"/>
      <c r="DA32" s="57"/>
      <c r="DB32" s="54"/>
      <c r="DC32" s="54"/>
      <c r="DD32" s="57">
        <v>99</v>
      </c>
      <c r="DE32" s="54"/>
      <c r="DF32" s="54"/>
      <c r="DG32" s="57"/>
      <c r="DH32" s="54">
        <v>60</v>
      </c>
      <c r="DI32" s="54"/>
      <c r="DJ32" s="57"/>
      <c r="DK32" s="53">
        <f t="shared" si="13"/>
        <v>159</v>
      </c>
      <c r="DL32" s="64"/>
      <c r="DM32" s="52"/>
      <c r="DN32" s="65"/>
      <c r="DO32" s="52"/>
      <c r="DP32" s="52"/>
      <c r="DQ32" s="65"/>
      <c r="DR32" s="52"/>
      <c r="DS32" s="52"/>
      <c r="DT32" s="65"/>
      <c r="DU32" s="52"/>
      <c r="DV32" s="52"/>
      <c r="DW32" s="66"/>
      <c r="DX32" s="54"/>
      <c r="DY32" s="54"/>
      <c r="DZ32" s="57"/>
      <c r="EA32" s="54"/>
      <c r="EB32" s="54"/>
      <c r="EC32" s="57"/>
      <c r="ED32" s="54"/>
      <c r="EE32" s="54"/>
      <c r="EF32" s="57"/>
      <c r="EG32" s="54"/>
      <c r="EH32" s="54"/>
      <c r="EI32" s="57"/>
      <c r="EJ32" s="53">
        <f t="shared" si="14"/>
        <v>0</v>
      </c>
      <c r="EK32" s="54"/>
      <c r="EL32" s="54"/>
      <c r="EM32" s="57"/>
      <c r="EN32" s="54"/>
      <c r="EO32" s="54"/>
      <c r="EP32" s="57"/>
      <c r="EQ32" s="54"/>
      <c r="ER32" s="54"/>
      <c r="ES32" s="57"/>
      <c r="ET32" s="54"/>
      <c r="EU32" s="54"/>
      <c r="EV32" s="57"/>
      <c r="EW32" s="53">
        <f t="shared" si="15"/>
        <v>0</v>
      </c>
    </row>
    <row r="33" spans="1:153" ht="20.100000000000001" customHeight="1" x14ac:dyDescent="0.25">
      <c r="A33" s="51" t="s">
        <v>87</v>
      </c>
      <c r="B33" s="52">
        <v>1</v>
      </c>
      <c r="C33" s="53">
        <v>39</v>
      </c>
      <c r="D33" s="51"/>
      <c r="E33" s="54"/>
      <c r="F33" s="57"/>
      <c r="G33" s="54"/>
      <c r="H33" s="54"/>
      <c r="I33" s="57"/>
      <c r="J33" s="54"/>
      <c r="K33" s="54"/>
      <c r="L33" s="57"/>
      <c r="M33" s="54"/>
      <c r="N33" s="54"/>
      <c r="O33" s="57"/>
      <c r="P33" s="53">
        <f t="shared" si="2"/>
        <v>0</v>
      </c>
      <c r="Q33" s="51"/>
      <c r="R33" s="54"/>
      <c r="S33" s="55"/>
      <c r="T33" s="56"/>
      <c r="U33" s="54"/>
      <c r="V33" s="57"/>
      <c r="W33" s="54"/>
      <c r="X33" s="54"/>
      <c r="Y33" s="57"/>
      <c r="Z33" s="54"/>
      <c r="AA33" s="54"/>
      <c r="AB33" s="57"/>
      <c r="AC33" s="54"/>
      <c r="AD33" s="54"/>
      <c r="AE33" s="57"/>
      <c r="AF33" s="55">
        <f t="shared" si="3"/>
        <v>0</v>
      </c>
      <c r="AG33" s="54">
        <f t="shared" si="4"/>
        <v>0</v>
      </c>
      <c r="AH33" s="58"/>
      <c r="AI33" s="59"/>
      <c r="AJ33" s="60"/>
      <c r="AK33" s="59"/>
      <c r="AL33" s="59"/>
      <c r="AM33" s="60"/>
      <c r="AN33" s="59"/>
      <c r="AO33" s="59"/>
      <c r="AP33" s="60"/>
      <c r="AQ33" s="59"/>
      <c r="AR33" s="59"/>
      <c r="AS33" s="60"/>
      <c r="AT33" s="61">
        <f t="shared" si="5"/>
        <v>0</v>
      </c>
      <c r="AU33" s="59"/>
      <c r="AV33" s="59"/>
      <c r="AW33" s="60"/>
      <c r="AX33" s="59"/>
      <c r="AY33" s="59"/>
      <c r="AZ33" s="60"/>
      <c r="BA33" s="59"/>
      <c r="BB33" s="59"/>
      <c r="BC33" s="60"/>
      <c r="BD33" s="59"/>
      <c r="BE33" s="59"/>
      <c r="BF33" s="60"/>
      <c r="BG33" s="61">
        <f t="shared" si="6"/>
        <v>0</v>
      </c>
      <c r="BH33" s="58"/>
      <c r="BI33" s="62">
        <f t="shared" si="7"/>
        <v>0</v>
      </c>
      <c r="BJ33" s="63"/>
      <c r="BK33" s="59"/>
      <c r="BL33" s="60"/>
      <c r="BM33" s="59"/>
      <c r="BN33" s="59"/>
      <c r="BO33" s="60"/>
      <c r="BP33" s="59"/>
      <c r="BQ33" s="59"/>
      <c r="BR33" s="60"/>
      <c r="BS33" s="59"/>
      <c r="BT33" s="59"/>
      <c r="BU33" s="60"/>
      <c r="BV33" s="62">
        <f t="shared" si="8"/>
        <v>0</v>
      </c>
      <c r="BW33" s="59">
        <f t="shared" si="9"/>
        <v>0</v>
      </c>
      <c r="BX33" s="61">
        <f t="shared" si="10"/>
        <v>0</v>
      </c>
      <c r="BY33" s="51"/>
      <c r="BZ33" s="54"/>
      <c r="CA33" s="57"/>
      <c r="CB33" s="54"/>
      <c r="CC33" s="54"/>
      <c r="CD33" s="57"/>
      <c r="CE33" s="54">
        <v>39</v>
      </c>
      <c r="CF33" s="54"/>
      <c r="CG33" s="57"/>
      <c r="CH33" s="54"/>
      <c r="CI33" s="54"/>
      <c r="CJ33" s="57"/>
      <c r="CK33" s="53">
        <f t="shared" si="11"/>
        <v>39</v>
      </c>
      <c r="CL33" s="51"/>
      <c r="CM33" s="54"/>
      <c r="CN33" s="57"/>
      <c r="CO33" s="54"/>
      <c r="CP33" s="54"/>
      <c r="CQ33" s="57"/>
      <c r="CR33" s="54"/>
      <c r="CS33" s="54"/>
      <c r="CT33" s="57"/>
      <c r="CU33" s="54"/>
      <c r="CV33" s="54">
        <v>39</v>
      </c>
      <c r="CW33" s="57"/>
      <c r="CX33" s="53">
        <f t="shared" si="12"/>
        <v>39</v>
      </c>
      <c r="CY33" s="51"/>
      <c r="CZ33" s="54"/>
      <c r="DA33" s="57"/>
      <c r="DB33" s="54"/>
      <c r="DC33" s="54"/>
      <c r="DD33" s="57"/>
      <c r="DE33" s="54"/>
      <c r="DF33" s="54"/>
      <c r="DG33" s="57"/>
      <c r="DH33" s="54"/>
      <c r="DI33" s="54"/>
      <c r="DJ33" s="57"/>
      <c r="DK33" s="53">
        <f t="shared" si="13"/>
        <v>0</v>
      </c>
      <c r="DL33" s="64"/>
      <c r="DM33" s="52"/>
      <c r="DN33" s="65"/>
      <c r="DO33" s="52"/>
      <c r="DP33" s="52"/>
      <c r="DQ33" s="65"/>
      <c r="DR33" s="52"/>
      <c r="DS33" s="52"/>
      <c r="DT33" s="65"/>
      <c r="DU33" s="52"/>
      <c r="DV33" s="52"/>
      <c r="DW33" s="66"/>
      <c r="DX33" s="54"/>
      <c r="DY33" s="54"/>
      <c r="DZ33" s="57"/>
      <c r="EA33" s="54"/>
      <c r="EB33" s="54"/>
      <c r="EC33" s="57"/>
      <c r="ED33" s="54"/>
      <c r="EE33" s="54"/>
      <c r="EF33" s="57"/>
      <c r="EG33" s="54"/>
      <c r="EH33" s="54"/>
      <c r="EI33" s="57"/>
      <c r="EJ33" s="53">
        <f t="shared" si="14"/>
        <v>0</v>
      </c>
      <c r="EK33" s="54"/>
      <c r="EL33" s="54"/>
      <c r="EM33" s="57"/>
      <c r="EN33" s="54"/>
      <c r="EO33" s="54"/>
      <c r="EP33" s="57"/>
      <c r="EQ33" s="54"/>
      <c r="ER33" s="54"/>
      <c r="ES33" s="57"/>
      <c r="ET33" s="54"/>
      <c r="EU33" s="54"/>
      <c r="EV33" s="57"/>
      <c r="EW33" s="53">
        <f t="shared" si="15"/>
        <v>0</v>
      </c>
    </row>
    <row r="34" spans="1:153" ht="20.100000000000001" customHeight="1" x14ac:dyDescent="0.25">
      <c r="A34" s="51" t="s">
        <v>88</v>
      </c>
      <c r="B34" s="52">
        <v>1</v>
      </c>
      <c r="C34" s="53">
        <v>76</v>
      </c>
      <c r="D34" s="51"/>
      <c r="E34" s="54"/>
      <c r="F34" s="57"/>
      <c r="G34" s="54"/>
      <c r="H34" s="54"/>
      <c r="I34" s="57"/>
      <c r="J34" s="54"/>
      <c r="K34" s="54"/>
      <c r="L34" s="57"/>
      <c r="M34" s="54"/>
      <c r="N34" s="54"/>
      <c r="O34" s="57"/>
      <c r="P34" s="53">
        <f t="shared" si="2"/>
        <v>0</v>
      </c>
      <c r="Q34" s="51"/>
      <c r="R34" s="54"/>
      <c r="S34" s="55"/>
      <c r="T34" s="56"/>
      <c r="U34" s="54"/>
      <c r="V34" s="57"/>
      <c r="W34" s="54"/>
      <c r="X34" s="54"/>
      <c r="Y34" s="57"/>
      <c r="Z34" s="54"/>
      <c r="AA34" s="54"/>
      <c r="AB34" s="57"/>
      <c r="AC34" s="54"/>
      <c r="AD34" s="54"/>
      <c r="AE34" s="57"/>
      <c r="AF34" s="55">
        <f t="shared" si="3"/>
        <v>0</v>
      </c>
      <c r="AG34" s="54">
        <f t="shared" si="4"/>
        <v>0</v>
      </c>
      <c r="AH34" s="58"/>
      <c r="AI34" s="59"/>
      <c r="AJ34" s="60"/>
      <c r="AK34" s="59"/>
      <c r="AL34" s="59"/>
      <c r="AM34" s="60"/>
      <c r="AN34" s="59"/>
      <c r="AO34" s="59"/>
      <c r="AP34" s="60"/>
      <c r="AQ34" s="59"/>
      <c r="AR34" s="59"/>
      <c r="AS34" s="60"/>
      <c r="AT34" s="61">
        <f t="shared" si="5"/>
        <v>0</v>
      </c>
      <c r="AU34" s="59"/>
      <c r="AV34" s="59"/>
      <c r="AW34" s="60"/>
      <c r="AX34" s="59"/>
      <c r="AY34" s="59"/>
      <c r="AZ34" s="60"/>
      <c r="BA34" s="59"/>
      <c r="BB34" s="59"/>
      <c r="BC34" s="60"/>
      <c r="BD34" s="59"/>
      <c r="BE34" s="59"/>
      <c r="BF34" s="60"/>
      <c r="BG34" s="61">
        <f t="shared" si="6"/>
        <v>0</v>
      </c>
      <c r="BH34" s="58"/>
      <c r="BI34" s="62">
        <f t="shared" si="7"/>
        <v>0</v>
      </c>
      <c r="BJ34" s="63"/>
      <c r="BK34" s="59"/>
      <c r="BL34" s="60"/>
      <c r="BM34" s="59"/>
      <c r="BN34" s="59"/>
      <c r="BO34" s="60"/>
      <c r="BP34" s="59"/>
      <c r="BQ34" s="59"/>
      <c r="BR34" s="60"/>
      <c r="BS34" s="59"/>
      <c r="BT34" s="59"/>
      <c r="BU34" s="60"/>
      <c r="BV34" s="62">
        <f t="shared" si="8"/>
        <v>0</v>
      </c>
      <c r="BW34" s="59">
        <f t="shared" si="9"/>
        <v>0</v>
      </c>
      <c r="BX34" s="61">
        <f t="shared" si="10"/>
        <v>0</v>
      </c>
      <c r="BY34" s="51"/>
      <c r="BZ34" s="54"/>
      <c r="CA34" s="57"/>
      <c r="CB34" s="54">
        <v>63</v>
      </c>
      <c r="CC34" s="54"/>
      <c r="CD34" s="57"/>
      <c r="CE34" s="54"/>
      <c r="CF34" s="54"/>
      <c r="CG34" s="57"/>
      <c r="CH34" s="54"/>
      <c r="CI34" s="54"/>
      <c r="CJ34" s="57"/>
      <c r="CK34" s="53">
        <f t="shared" si="11"/>
        <v>63</v>
      </c>
      <c r="CL34" s="51"/>
      <c r="CM34" s="54"/>
      <c r="CN34" s="57"/>
      <c r="CO34" s="54"/>
      <c r="CP34" s="54"/>
      <c r="CQ34" s="57"/>
      <c r="CR34" s="54"/>
      <c r="CS34" s="54"/>
      <c r="CT34" s="57">
        <v>63</v>
      </c>
      <c r="CU34" s="54"/>
      <c r="CV34" s="54"/>
      <c r="CW34" s="57"/>
      <c r="CX34" s="53">
        <f t="shared" si="12"/>
        <v>63</v>
      </c>
      <c r="CY34" s="51"/>
      <c r="CZ34" s="54"/>
      <c r="DA34" s="57"/>
      <c r="DB34" s="54"/>
      <c r="DC34" s="54"/>
      <c r="DD34" s="57"/>
      <c r="DE34" s="54"/>
      <c r="DF34" s="54"/>
      <c r="DG34" s="57"/>
      <c r="DH34" s="54"/>
      <c r="DI34" s="54"/>
      <c r="DJ34" s="57"/>
      <c r="DK34" s="53">
        <f t="shared" si="13"/>
        <v>0</v>
      </c>
      <c r="DL34" s="64"/>
      <c r="DM34" s="52"/>
      <c r="DN34" s="65"/>
      <c r="DO34" s="52"/>
      <c r="DP34" s="52"/>
      <c r="DQ34" s="65"/>
      <c r="DR34" s="52"/>
      <c r="DS34" s="52"/>
      <c r="DT34" s="65"/>
      <c r="DU34" s="52"/>
      <c r="DV34" s="52"/>
      <c r="DW34" s="66"/>
      <c r="DX34" s="54"/>
      <c r="DY34" s="54"/>
      <c r="DZ34" s="57"/>
      <c r="EA34" s="54"/>
      <c r="EB34" s="54"/>
      <c r="EC34" s="57"/>
      <c r="ED34" s="54"/>
      <c r="EE34" s="54"/>
      <c r="EF34" s="57"/>
      <c r="EG34" s="54"/>
      <c r="EH34" s="54"/>
      <c r="EI34" s="57"/>
      <c r="EJ34" s="53">
        <f t="shared" si="14"/>
        <v>0</v>
      </c>
      <c r="EK34" s="54"/>
      <c r="EL34" s="54"/>
      <c r="EM34" s="57"/>
      <c r="EN34" s="54"/>
      <c r="EO34" s="54"/>
      <c r="EP34" s="57"/>
      <c r="EQ34" s="54"/>
      <c r="ER34" s="54"/>
      <c r="ES34" s="57"/>
      <c r="ET34" s="54"/>
      <c r="EU34" s="54"/>
      <c r="EV34" s="57"/>
      <c r="EW34" s="53">
        <f t="shared" si="15"/>
        <v>0</v>
      </c>
    </row>
    <row r="35" spans="1:153" ht="20.100000000000001" customHeight="1" x14ac:dyDescent="0.25">
      <c r="A35" s="51" t="s">
        <v>62</v>
      </c>
      <c r="B35" s="52">
        <v>1</v>
      </c>
      <c r="C35" s="53">
        <v>39</v>
      </c>
      <c r="D35" s="51"/>
      <c r="E35" s="54"/>
      <c r="F35" s="57"/>
      <c r="G35" s="54"/>
      <c r="H35" s="54"/>
      <c r="I35" s="57"/>
      <c r="J35" s="54"/>
      <c r="K35" s="54"/>
      <c r="L35" s="57"/>
      <c r="M35" s="54"/>
      <c r="N35" s="54"/>
      <c r="O35" s="57"/>
      <c r="P35" s="53">
        <f t="shared" si="2"/>
        <v>0</v>
      </c>
      <c r="Q35" s="51"/>
      <c r="R35" s="54"/>
      <c r="S35" s="55"/>
      <c r="T35" s="56"/>
      <c r="U35" s="54"/>
      <c r="V35" s="57"/>
      <c r="W35" s="54"/>
      <c r="X35" s="54"/>
      <c r="Y35" s="57"/>
      <c r="Z35" s="54"/>
      <c r="AA35" s="54"/>
      <c r="AB35" s="57"/>
      <c r="AC35" s="54"/>
      <c r="AD35" s="54"/>
      <c r="AE35" s="57"/>
      <c r="AF35" s="55">
        <f t="shared" si="3"/>
        <v>0</v>
      </c>
      <c r="AG35" s="54">
        <f t="shared" si="4"/>
        <v>0</v>
      </c>
      <c r="AH35" s="58"/>
      <c r="AI35" s="59"/>
      <c r="AJ35" s="60"/>
      <c r="AK35" s="59"/>
      <c r="AL35" s="59"/>
      <c r="AM35" s="60"/>
      <c r="AN35" s="59"/>
      <c r="AO35" s="59"/>
      <c r="AP35" s="60"/>
      <c r="AQ35" s="59"/>
      <c r="AR35" s="59"/>
      <c r="AS35" s="60"/>
      <c r="AT35" s="61">
        <f t="shared" si="5"/>
        <v>0</v>
      </c>
      <c r="AU35" s="59"/>
      <c r="AV35" s="59"/>
      <c r="AW35" s="60"/>
      <c r="AX35" s="59"/>
      <c r="AY35" s="59"/>
      <c r="AZ35" s="60"/>
      <c r="BA35" s="59"/>
      <c r="BB35" s="59"/>
      <c r="BC35" s="60"/>
      <c r="BD35" s="59"/>
      <c r="BE35" s="59"/>
      <c r="BF35" s="60"/>
      <c r="BG35" s="61">
        <f t="shared" si="6"/>
        <v>0</v>
      </c>
      <c r="BH35" s="58"/>
      <c r="BI35" s="62">
        <f t="shared" si="7"/>
        <v>0</v>
      </c>
      <c r="BJ35" s="63"/>
      <c r="BK35" s="59"/>
      <c r="BL35" s="60"/>
      <c r="BM35" s="59"/>
      <c r="BN35" s="59"/>
      <c r="BO35" s="60"/>
      <c r="BP35" s="59"/>
      <c r="BQ35" s="59"/>
      <c r="BR35" s="60"/>
      <c r="BS35" s="59"/>
      <c r="BT35" s="59"/>
      <c r="BU35" s="60"/>
      <c r="BV35" s="62">
        <f t="shared" si="8"/>
        <v>0</v>
      </c>
      <c r="BW35" s="59">
        <f t="shared" si="9"/>
        <v>0</v>
      </c>
      <c r="BX35" s="61">
        <f t="shared" si="10"/>
        <v>0</v>
      </c>
      <c r="BY35" s="51"/>
      <c r="BZ35" s="54"/>
      <c r="CA35" s="57"/>
      <c r="CB35" s="54"/>
      <c r="CC35" s="54"/>
      <c r="CD35" s="57"/>
      <c r="CE35" s="54"/>
      <c r="CF35" s="54"/>
      <c r="CG35" s="57"/>
      <c r="CH35" s="54"/>
      <c r="CI35" s="54"/>
      <c r="CJ35" s="57"/>
      <c r="CK35" s="53">
        <f t="shared" si="11"/>
        <v>0</v>
      </c>
      <c r="CL35" s="51"/>
      <c r="CM35" s="54"/>
      <c r="CN35" s="57"/>
      <c r="CO35" s="54"/>
      <c r="CP35" s="54"/>
      <c r="CQ35" s="57"/>
      <c r="CR35" s="54"/>
      <c r="CS35" s="54"/>
      <c r="CT35" s="57"/>
      <c r="CU35" s="54"/>
      <c r="CV35" s="54"/>
      <c r="CW35" s="57"/>
      <c r="CX35" s="53">
        <f t="shared" si="12"/>
        <v>0</v>
      </c>
      <c r="CY35" s="51"/>
      <c r="CZ35" s="54"/>
      <c r="DA35" s="57"/>
      <c r="DB35" s="54"/>
      <c r="DC35" s="54"/>
      <c r="DD35" s="57"/>
      <c r="DE35" s="54"/>
      <c r="DF35" s="54"/>
      <c r="DG35" s="57"/>
      <c r="DH35" s="54"/>
      <c r="DI35" s="54"/>
      <c r="DJ35" s="57"/>
      <c r="DK35" s="53">
        <f t="shared" si="13"/>
        <v>0</v>
      </c>
      <c r="DL35" s="64">
        <v>0.92</v>
      </c>
      <c r="DM35" s="52">
        <v>0.96</v>
      </c>
      <c r="DN35" s="65">
        <v>0.98</v>
      </c>
      <c r="DO35" s="52">
        <v>1</v>
      </c>
      <c r="DP35" s="52"/>
      <c r="DQ35" s="65"/>
      <c r="DR35" s="52"/>
      <c r="DS35" s="52"/>
      <c r="DT35" s="65"/>
      <c r="DU35" s="52"/>
      <c r="DV35" s="52"/>
      <c r="DW35" s="66"/>
      <c r="DX35" s="54"/>
      <c r="DY35" s="54"/>
      <c r="DZ35" s="57"/>
      <c r="EA35" s="54"/>
      <c r="EB35" s="54">
        <v>39</v>
      </c>
      <c r="EC35" s="57"/>
      <c r="ED35" s="54"/>
      <c r="EE35" s="54"/>
      <c r="EF35" s="57"/>
      <c r="EG35" s="54"/>
      <c r="EH35" s="54"/>
      <c r="EI35" s="57"/>
      <c r="EJ35" s="53">
        <f t="shared" si="14"/>
        <v>39</v>
      </c>
      <c r="EK35" s="54"/>
      <c r="EL35" s="54"/>
      <c r="EM35" s="57"/>
      <c r="EN35" s="54"/>
      <c r="EO35" s="54"/>
      <c r="EP35" s="57"/>
      <c r="EQ35" s="54"/>
      <c r="ER35" s="54"/>
      <c r="ES35" s="57"/>
      <c r="ET35" s="54"/>
      <c r="EU35" s="54"/>
      <c r="EV35" s="57"/>
      <c r="EW35" s="53">
        <f t="shared" si="15"/>
        <v>0</v>
      </c>
    </row>
    <row r="36" spans="1:153" ht="20.100000000000001" customHeight="1" x14ac:dyDescent="0.25">
      <c r="A36" s="51" t="s">
        <v>63</v>
      </c>
      <c r="B36" s="52">
        <v>1</v>
      </c>
      <c r="C36" s="53">
        <v>95</v>
      </c>
      <c r="D36" s="51"/>
      <c r="E36" s="54"/>
      <c r="F36" s="57"/>
      <c r="G36" s="54"/>
      <c r="H36" s="54"/>
      <c r="I36" s="57"/>
      <c r="J36" s="54"/>
      <c r="K36" s="54"/>
      <c r="L36" s="57"/>
      <c r="M36" s="54"/>
      <c r="N36" s="54"/>
      <c r="O36" s="57"/>
      <c r="P36" s="53">
        <f t="shared" si="2"/>
        <v>0</v>
      </c>
      <c r="Q36" s="51"/>
      <c r="R36" s="54"/>
      <c r="S36" s="55"/>
      <c r="T36" s="56"/>
      <c r="U36" s="54"/>
      <c r="V36" s="57"/>
      <c r="W36" s="54"/>
      <c r="X36" s="54"/>
      <c r="Y36" s="57"/>
      <c r="Z36" s="54"/>
      <c r="AA36" s="54"/>
      <c r="AB36" s="57"/>
      <c r="AC36" s="54"/>
      <c r="AD36" s="54"/>
      <c r="AE36" s="57"/>
      <c r="AF36" s="55">
        <f t="shared" si="3"/>
        <v>0</v>
      </c>
      <c r="AG36" s="54">
        <f t="shared" si="4"/>
        <v>0</v>
      </c>
      <c r="AH36" s="58"/>
      <c r="AI36" s="59"/>
      <c r="AJ36" s="60"/>
      <c r="AK36" s="59"/>
      <c r="AL36" s="59"/>
      <c r="AM36" s="60"/>
      <c r="AN36" s="59"/>
      <c r="AO36" s="59"/>
      <c r="AP36" s="60"/>
      <c r="AQ36" s="59"/>
      <c r="AR36" s="59"/>
      <c r="AS36" s="60"/>
      <c r="AT36" s="61">
        <f t="shared" si="5"/>
        <v>0</v>
      </c>
      <c r="AU36" s="59"/>
      <c r="AV36" s="59"/>
      <c r="AW36" s="60"/>
      <c r="AX36" s="59"/>
      <c r="AY36" s="59"/>
      <c r="AZ36" s="60"/>
      <c r="BA36" s="59"/>
      <c r="BB36" s="59"/>
      <c r="BC36" s="60"/>
      <c r="BD36" s="59"/>
      <c r="BE36" s="59"/>
      <c r="BF36" s="60"/>
      <c r="BG36" s="61">
        <f t="shared" si="6"/>
        <v>0</v>
      </c>
      <c r="BH36" s="58"/>
      <c r="BI36" s="62">
        <f t="shared" si="7"/>
        <v>0</v>
      </c>
      <c r="BJ36" s="63"/>
      <c r="BK36" s="59"/>
      <c r="BL36" s="60"/>
      <c r="BM36" s="59"/>
      <c r="BN36" s="59"/>
      <c r="BO36" s="60"/>
      <c r="BP36" s="59"/>
      <c r="BQ36" s="59"/>
      <c r="BR36" s="60"/>
      <c r="BS36" s="59"/>
      <c r="BT36" s="59"/>
      <c r="BU36" s="60"/>
      <c r="BV36" s="62">
        <f t="shared" si="8"/>
        <v>0</v>
      </c>
      <c r="BW36" s="59">
        <f t="shared" si="9"/>
        <v>0</v>
      </c>
      <c r="BX36" s="61">
        <f t="shared" si="10"/>
        <v>0</v>
      </c>
      <c r="BY36" s="51"/>
      <c r="BZ36" s="54"/>
      <c r="CA36" s="57"/>
      <c r="CB36" s="54"/>
      <c r="CC36" s="54"/>
      <c r="CD36" s="57"/>
      <c r="CE36" s="54"/>
      <c r="CF36" s="54"/>
      <c r="CG36" s="57"/>
      <c r="CH36" s="54"/>
      <c r="CI36" s="54"/>
      <c r="CJ36" s="57"/>
      <c r="CK36" s="53">
        <f t="shared" si="11"/>
        <v>0</v>
      </c>
      <c r="CL36" s="51"/>
      <c r="CM36" s="54"/>
      <c r="CN36" s="57"/>
      <c r="CO36" s="54"/>
      <c r="CP36" s="54"/>
      <c r="CQ36" s="57"/>
      <c r="CR36" s="54"/>
      <c r="CS36" s="54"/>
      <c r="CT36" s="57"/>
      <c r="CU36" s="54"/>
      <c r="CV36" s="54"/>
      <c r="CW36" s="57"/>
      <c r="CX36" s="53">
        <f t="shared" si="12"/>
        <v>0</v>
      </c>
      <c r="CY36" s="51"/>
      <c r="CZ36" s="54"/>
      <c r="DA36" s="57"/>
      <c r="DB36" s="54"/>
      <c r="DC36" s="54"/>
      <c r="DD36" s="57"/>
      <c r="DE36" s="54"/>
      <c r="DF36" s="54"/>
      <c r="DG36" s="57"/>
      <c r="DH36" s="54"/>
      <c r="DI36" s="54"/>
      <c r="DJ36" s="57"/>
      <c r="DK36" s="53">
        <f t="shared" si="13"/>
        <v>0</v>
      </c>
      <c r="DL36" s="64">
        <v>0.99</v>
      </c>
      <c r="DM36" s="52">
        <v>0.99</v>
      </c>
      <c r="DN36" s="65">
        <v>1</v>
      </c>
      <c r="DO36" s="52"/>
      <c r="DP36" s="52"/>
      <c r="DQ36" s="65"/>
      <c r="DR36" s="52"/>
      <c r="DS36" s="52"/>
      <c r="DT36" s="65"/>
      <c r="DU36" s="52"/>
      <c r="DV36" s="52"/>
      <c r="DW36" s="66"/>
      <c r="DX36" s="54"/>
      <c r="DY36" s="54"/>
      <c r="DZ36" s="57">
        <v>95</v>
      </c>
      <c r="EA36" s="54"/>
      <c r="EB36" s="54"/>
      <c r="EC36" s="57"/>
      <c r="ED36" s="54"/>
      <c r="EE36" s="54"/>
      <c r="EF36" s="57"/>
      <c r="EG36" s="54"/>
      <c r="EH36" s="54"/>
      <c r="EI36" s="57"/>
      <c r="EJ36" s="53">
        <f t="shared" si="14"/>
        <v>95</v>
      </c>
      <c r="EK36" s="54"/>
      <c r="EL36" s="54"/>
      <c r="EM36" s="57"/>
      <c r="EN36" s="54"/>
      <c r="EO36" s="54"/>
      <c r="EP36" s="57"/>
      <c r="EQ36" s="54"/>
      <c r="ER36" s="54"/>
      <c r="ES36" s="57"/>
      <c r="ET36" s="54"/>
      <c r="EU36" s="54"/>
      <c r="EV36" s="57"/>
      <c r="EW36" s="53">
        <f t="shared" si="15"/>
        <v>0</v>
      </c>
    </row>
    <row r="37" spans="1:153" ht="20.100000000000001" customHeight="1" x14ac:dyDescent="0.25">
      <c r="A37" s="51" t="s">
        <v>114</v>
      </c>
      <c r="B37" s="52">
        <v>1</v>
      </c>
      <c r="C37" s="53">
        <v>1</v>
      </c>
      <c r="D37" s="51"/>
      <c r="E37" s="54"/>
      <c r="F37" s="57"/>
      <c r="G37" s="54"/>
      <c r="H37" s="54"/>
      <c r="I37" s="57"/>
      <c r="J37" s="54"/>
      <c r="K37" s="54"/>
      <c r="L37" s="57"/>
      <c r="M37" s="54"/>
      <c r="N37" s="54"/>
      <c r="O37" s="57"/>
      <c r="P37" s="53"/>
      <c r="Q37" s="51"/>
      <c r="R37" s="54"/>
      <c r="S37" s="55"/>
      <c r="T37" s="56"/>
      <c r="U37" s="54"/>
      <c r="V37" s="57"/>
      <c r="W37" s="54"/>
      <c r="X37" s="54"/>
      <c r="Y37" s="57"/>
      <c r="Z37" s="54"/>
      <c r="AA37" s="54"/>
      <c r="AB37" s="57"/>
      <c r="AC37" s="54"/>
      <c r="AD37" s="54"/>
      <c r="AE37" s="57"/>
      <c r="AF37" s="55"/>
      <c r="AG37" s="54"/>
      <c r="AH37" s="58"/>
      <c r="AI37" s="59"/>
      <c r="AJ37" s="60"/>
      <c r="AK37" s="59"/>
      <c r="AL37" s="59"/>
      <c r="AM37" s="60"/>
      <c r="AN37" s="59"/>
      <c r="AO37" s="59"/>
      <c r="AP37" s="60"/>
      <c r="AQ37" s="59"/>
      <c r="AR37" s="59"/>
      <c r="AS37" s="60"/>
      <c r="AT37" s="61"/>
      <c r="AU37" s="59"/>
      <c r="AV37" s="59"/>
      <c r="AW37" s="60"/>
      <c r="AX37" s="59"/>
      <c r="AY37" s="59"/>
      <c r="AZ37" s="60"/>
      <c r="BA37" s="59"/>
      <c r="BB37" s="59"/>
      <c r="BC37" s="60"/>
      <c r="BD37" s="59"/>
      <c r="BE37" s="59"/>
      <c r="BF37" s="60"/>
      <c r="BG37" s="61"/>
      <c r="BH37" s="58"/>
      <c r="BI37" s="62">
        <f t="shared" si="7"/>
        <v>0</v>
      </c>
      <c r="BJ37" s="63"/>
      <c r="BK37" s="59"/>
      <c r="BL37" s="60"/>
      <c r="BM37" s="59"/>
      <c r="BN37" s="59"/>
      <c r="BO37" s="60"/>
      <c r="BP37" s="59"/>
      <c r="BQ37" s="59"/>
      <c r="BR37" s="60"/>
      <c r="BS37" s="59"/>
      <c r="BT37" s="59"/>
      <c r="BU37" s="60"/>
      <c r="BV37" s="62"/>
      <c r="BW37" s="59"/>
      <c r="BX37" s="61"/>
      <c r="BY37" s="51"/>
      <c r="BZ37" s="54"/>
      <c r="CA37" s="57"/>
      <c r="CB37" s="54"/>
      <c r="CC37" s="54"/>
      <c r="CD37" s="57"/>
      <c r="CE37" s="54"/>
      <c r="CF37" s="54"/>
      <c r="CG37" s="57"/>
      <c r="CH37" s="54"/>
      <c r="CI37" s="54"/>
      <c r="CJ37" s="57"/>
      <c r="CK37" s="53">
        <f t="shared" si="11"/>
        <v>0</v>
      </c>
      <c r="CL37" s="51"/>
      <c r="CM37" s="54"/>
      <c r="CN37" s="57"/>
      <c r="CO37" s="54"/>
      <c r="CP37" s="54"/>
      <c r="CQ37" s="57"/>
      <c r="CR37" s="54"/>
      <c r="CS37" s="54"/>
      <c r="CT37" s="57"/>
      <c r="CU37" s="54"/>
      <c r="CV37" s="54"/>
      <c r="CW37" s="57"/>
      <c r="CX37" s="53">
        <f t="shared" si="12"/>
        <v>0</v>
      </c>
      <c r="CY37" s="51"/>
      <c r="CZ37" s="54"/>
      <c r="DA37" s="57"/>
      <c r="DB37" s="54"/>
      <c r="DC37" s="54"/>
      <c r="DD37" s="57"/>
      <c r="DE37" s="54"/>
      <c r="DF37" s="54"/>
      <c r="DG37" s="57"/>
      <c r="DH37" s="54"/>
      <c r="DI37" s="54"/>
      <c r="DJ37" s="57"/>
      <c r="DK37" s="53">
        <f t="shared" si="13"/>
        <v>0</v>
      </c>
      <c r="DL37" s="64"/>
      <c r="DM37" s="52"/>
      <c r="DN37" s="65"/>
      <c r="DO37" s="52"/>
      <c r="DP37" s="52"/>
      <c r="DQ37" s="65"/>
      <c r="DR37" s="52"/>
      <c r="DS37" s="52"/>
      <c r="DT37" s="65"/>
      <c r="DU37" s="52"/>
      <c r="DV37" s="52"/>
      <c r="DW37" s="66"/>
      <c r="DX37" s="54"/>
      <c r="DY37" s="54"/>
      <c r="DZ37" s="57"/>
      <c r="EA37" s="54"/>
      <c r="EB37" s="54"/>
      <c r="EC37" s="57"/>
      <c r="ED37" s="54"/>
      <c r="EE37" s="54"/>
      <c r="EF37" s="57"/>
      <c r="EG37" s="54"/>
      <c r="EH37" s="54"/>
      <c r="EI37" s="57"/>
      <c r="EJ37" s="53">
        <f t="shared" si="14"/>
        <v>0</v>
      </c>
      <c r="EK37" s="54"/>
      <c r="EL37" s="54"/>
      <c r="EM37" s="57"/>
      <c r="EN37" s="54"/>
      <c r="EO37" s="54"/>
      <c r="EP37" s="57"/>
      <c r="EQ37" s="54"/>
      <c r="ER37" s="54"/>
      <c r="ES37" s="57"/>
      <c r="ET37" s="54"/>
      <c r="EU37" s="54"/>
      <c r="EV37" s="57"/>
      <c r="EW37" s="53">
        <f t="shared" si="15"/>
        <v>0</v>
      </c>
    </row>
    <row r="38" spans="1:153" ht="20.100000000000001" customHeight="1" x14ac:dyDescent="0.25">
      <c r="A38" s="51" t="s">
        <v>100</v>
      </c>
      <c r="B38" s="52">
        <v>1</v>
      </c>
      <c r="C38" s="53">
        <v>83</v>
      </c>
      <c r="D38" s="51"/>
      <c r="E38" s="54"/>
      <c r="F38" s="57"/>
      <c r="G38" s="54"/>
      <c r="H38" s="54"/>
      <c r="I38" s="57"/>
      <c r="J38" s="54"/>
      <c r="K38" s="54"/>
      <c r="L38" s="57"/>
      <c r="M38" s="54"/>
      <c r="N38" s="54"/>
      <c r="O38" s="57"/>
      <c r="P38" s="53">
        <f t="shared" si="2"/>
        <v>0</v>
      </c>
      <c r="Q38" s="51"/>
      <c r="R38" s="54"/>
      <c r="S38" s="55"/>
      <c r="T38" s="56"/>
      <c r="U38" s="54"/>
      <c r="V38" s="57"/>
      <c r="W38" s="54"/>
      <c r="X38" s="54"/>
      <c r="Y38" s="57"/>
      <c r="Z38" s="54"/>
      <c r="AA38" s="54"/>
      <c r="AB38" s="57"/>
      <c r="AC38" s="54"/>
      <c r="AD38" s="54"/>
      <c r="AE38" s="57"/>
      <c r="AF38" s="55">
        <f t="shared" si="3"/>
        <v>0</v>
      </c>
      <c r="AG38" s="54">
        <f t="shared" si="4"/>
        <v>0</v>
      </c>
      <c r="AH38" s="58"/>
      <c r="AI38" s="59"/>
      <c r="AJ38" s="60"/>
      <c r="AK38" s="59"/>
      <c r="AL38" s="59"/>
      <c r="AM38" s="60"/>
      <c r="AN38" s="59"/>
      <c r="AO38" s="59"/>
      <c r="AP38" s="60"/>
      <c r="AQ38" s="59"/>
      <c r="AR38" s="59"/>
      <c r="AS38" s="60"/>
      <c r="AT38" s="61">
        <f t="shared" si="5"/>
        <v>0</v>
      </c>
      <c r="AU38" s="59"/>
      <c r="AV38" s="59"/>
      <c r="AW38" s="60"/>
      <c r="AX38" s="59"/>
      <c r="AY38" s="59"/>
      <c r="AZ38" s="60"/>
      <c r="BA38" s="59"/>
      <c r="BB38" s="59"/>
      <c r="BC38" s="60"/>
      <c r="BD38" s="59"/>
      <c r="BE38" s="59"/>
      <c r="BF38" s="60"/>
      <c r="BG38" s="61">
        <f t="shared" si="6"/>
        <v>0</v>
      </c>
      <c r="BH38" s="58"/>
      <c r="BI38" s="62">
        <f t="shared" si="7"/>
        <v>0</v>
      </c>
      <c r="BJ38" s="63"/>
      <c r="BK38" s="59"/>
      <c r="BL38" s="60"/>
      <c r="BM38" s="59"/>
      <c r="BN38" s="59"/>
      <c r="BO38" s="60"/>
      <c r="BP38" s="59"/>
      <c r="BQ38" s="59"/>
      <c r="BR38" s="60"/>
      <c r="BS38" s="59"/>
      <c r="BT38" s="59"/>
      <c r="BU38" s="60"/>
      <c r="BV38" s="62">
        <f t="shared" si="8"/>
        <v>0</v>
      </c>
      <c r="BW38" s="59">
        <f t="shared" si="9"/>
        <v>0</v>
      </c>
      <c r="BX38" s="61">
        <f t="shared" si="10"/>
        <v>0</v>
      </c>
      <c r="BY38" s="51"/>
      <c r="BZ38" s="54"/>
      <c r="CA38" s="57"/>
      <c r="CB38" s="54"/>
      <c r="CC38" s="54"/>
      <c r="CD38" s="57"/>
      <c r="CE38" s="54"/>
      <c r="CF38" s="54"/>
      <c r="CG38" s="57"/>
      <c r="CH38" s="54"/>
      <c r="CI38" s="54"/>
      <c r="CJ38" s="57"/>
      <c r="CK38" s="53">
        <f t="shared" si="11"/>
        <v>0</v>
      </c>
      <c r="CL38" s="51"/>
      <c r="CM38" s="54"/>
      <c r="CN38" s="57"/>
      <c r="CO38" s="54"/>
      <c r="CP38" s="54"/>
      <c r="CQ38" s="57"/>
      <c r="CR38" s="54"/>
      <c r="CS38" s="54"/>
      <c r="CT38" s="57"/>
      <c r="CU38" s="54"/>
      <c r="CV38" s="54"/>
      <c r="CW38" s="57"/>
      <c r="CX38" s="53">
        <f t="shared" si="12"/>
        <v>0</v>
      </c>
      <c r="CY38" s="51"/>
      <c r="CZ38" s="54"/>
      <c r="DA38" s="57"/>
      <c r="DB38" s="54"/>
      <c r="DC38" s="54"/>
      <c r="DD38" s="57"/>
      <c r="DE38" s="54"/>
      <c r="DF38" s="54"/>
      <c r="DG38" s="57"/>
      <c r="DH38" s="54"/>
      <c r="DI38" s="54"/>
      <c r="DJ38" s="57"/>
      <c r="DK38" s="53">
        <f t="shared" si="13"/>
        <v>0</v>
      </c>
      <c r="DL38" s="64"/>
      <c r="DM38" s="52"/>
      <c r="DN38" s="65"/>
      <c r="DO38" s="52"/>
      <c r="DP38" s="52"/>
      <c r="DQ38" s="65"/>
      <c r="DR38" s="52"/>
      <c r="DS38" s="52"/>
      <c r="DT38" s="65"/>
      <c r="DU38" s="52"/>
      <c r="DV38" s="52"/>
      <c r="DW38" s="66"/>
      <c r="DX38" s="54"/>
      <c r="DY38" s="54"/>
      <c r="DZ38" s="57"/>
      <c r="EA38" s="54"/>
      <c r="EB38" s="54"/>
      <c r="EC38" s="57"/>
      <c r="ED38" s="54"/>
      <c r="EE38" s="54"/>
      <c r="EF38" s="57"/>
      <c r="EG38" s="54"/>
      <c r="EH38" s="54"/>
      <c r="EI38" s="57"/>
      <c r="EJ38" s="53">
        <f t="shared" si="14"/>
        <v>0</v>
      </c>
      <c r="EK38" s="54"/>
      <c r="EL38" s="54"/>
      <c r="EM38" s="57"/>
      <c r="EN38" s="54"/>
      <c r="EO38" s="54"/>
      <c r="EP38" s="57"/>
      <c r="EQ38" s="54"/>
      <c r="ER38" s="54"/>
      <c r="ES38" s="57"/>
      <c r="ET38" s="54"/>
      <c r="EU38" s="54"/>
      <c r="EV38" s="57"/>
      <c r="EW38" s="53">
        <f t="shared" si="15"/>
        <v>0</v>
      </c>
    </row>
    <row r="39" spans="1:153" ht="20.100000000000001" customHeight="1" x14ac:dyDescent="0.25">
      <c r="A39" s="51" t="s">
        <v>101</v>
      </c>
      <c r="B39" s="52">
        <v>1</v>
      </c>
      <c r="C39" s="53">
        <v>180</v>
      </c>
      <c r="D39" s="51"/>
      <c r="E39" s="54"/>
      <c r="F39" s="57"/>
      <c r="G39" s="54"/>
      <c r="H39" s="54"/>
      <c r="I39" s="57"/>
      <c r="J39" s="54"/>
      <c r="K39" s="54"/>
      <c r="L39" s="57"/>
      <c r="M39" s="54"/>
      <c r="N39" s="54"/>
      <c r="O39" s="57"/>
      <c r="P39" s="53">
        <f t="shared" si="2"/>
        <v>0</v>
      </c>
      <c r="Q39" s="51"/>
      <c r="R39" s="54"/>
      <c r="S39" s="55"/>
      <c r="T39" s="56"/>
      <c r="U39" s="54"/>
      <c r="V39" s="57"/>
      <c r="W39" s="54"/>
      <c r="X39" s="54"/>
      <c r="Y39" s="57"/>
      <c r="Z39" s="54"/>
      <c r="AA39" s="54"/>
      <c r="AB39" s="57"/>
      <c r="AC39" s="54"/>
      <c r="AD39" s="54"/>
      <c r="AE39" s="57"/>
      <c r="AF39" s="55">
        <f t="shared" si="3"/>
        <v>0</v>
      </c>
      <c r="AG39" s="54">
        <f t="shared" si="4"/>
        <v>0</v>
      </c>
      <c r="AH39" s="58"/>
      <c r="AI39" s="59"/>
      <c r="AJ39" s="60"/>
      <c r="AK39" s="59"/>
      <c r="AL39" s="59"/>
      <c r="AM39" s="60"/>
      <c r="AN39" s="59"/>
      <c r="AO39" s="59"/>
      <c r="AP39" s="60"/>
      <c r="AQ39" s="59"/>
      <c r="AR39" s="59"/>
      <c r="AS39" s="60"/>
      <c r="AT39" s="61">
        <f t="shared" si="5"/>
        <v>0</v>
      </c>
      <c r="AU39" s="59"/>
      <c r="AV39" s="59"/>
      <c r="AW39" s="60"/>
      <c r="AX39" s="59"/>
      <c r="AY39" s="59"/>
      <c r="AZ39" s="60"/>
      <c r="BA39" s="59"/>
      <c r="BB39" s="59"/>
      <c r="BC39" s="60"/>
      <c r="BD39" s="59"/>
      <c r="BE39" s="59"/>
      <c r="BF39" s="60"/>
      <c r="BG39" s="61">
        <f t="shared" si="6"/>
        <v>0</v>
      </c>
      <c r="BH39" s="58"/>
      <c r="BI39" s="62">
        <f t="shared" si="7"/>
        <v>0</v>
      </c>
      <c r="BJ39" s="63"/>
      <c r="BK39" s="59"/>
      <c r="BL39" s="60"/>
      <c r="BM39" s="59"/>
      <c r="BN39" s="59"/>
      <c r="BO39" s="60"/>
      <c r="BP39" s="59"/>
      <c r="BQ39" s="59"/>
      <c r="BR39" s="60"/>
      <c r="BS39" s="59"/>
      <c r="BT39" s="59"/>
      <c r="BU39" s="60"/>
      <c r="BV39" s="62">
        <f t="shared" si="8"/>
        <v>0</v>
      </c>
      <c r="BW39" s="59">
        <f t="shared" si="9"/>
        <v>0</v>
      </c>
      <c r="BX39" s="61">
        <f t="shared" si="10"/>
        <v>0</v>
      </c>
      <c r="BY39" s="51"/>
      <c r="BZ39" s="54"/>
      <c r="CA39" s="57"/>
      <c r="CB39" s="54"/>
      <c r="CC39" s="54"/>
      <c r="CD39" s="57"/>
      <c r="CE39" s="54"/>
      <c r="CF39" s="54"/>
      <c r="CG39" s="57"/>
      <c r="CH39" s="54"/>
      <c r="CI39" s="54"/>
      <c r="CJ39" s="57"/>
      <c r="CK39" s="53">
        <f t="shared" si="11"/>
        <v>0</v>
      </c>
      <c r="CL39" s="51"/>
      <c r="CM39" s="54"/>
      <c r="CN39" s="57"/>
      <c r="CO39" s="54"/>
      <c r="CP39" s="54"/>
      <c r="CQ39" s="57"/>
      <c r="CR39" s="54"/>
      <c r="CS39" s="54"/>
      <c r="CT39" s="57"/>
      <c r="CU39" s="54"/>
      <c r="CV39" s="54"/>
      <c r="CW39" s="57"/>
      <c r="CX39" s="53">
        <f t="shared" si="12"/>
        <v>0</v>
      </c>
      <c r="CY39" s="51"/>
      <c r="CZ39" s="54"/>
      <c r="DA39" s="57"/>
      <c r="DB39" s="54"/>
      <c r="DC39" s="54"/>
      <c r="DD39" s="57"/>
      <c r="DE39" s="54"/>
      <c r="DF39" s="54"/>
      <c r="DG39" s="57"/>
      <c r="DH39" s="54"/>
      <c r="DI39" s="54"/>
      <c r="DJ39" s="57"/>
      <c r="DK39" s="53">
        <f t="shared" si="13"/>
        <v>0</v>
      </c>
      <c r="DL39" s="64"/>
      <c r="DM39" s="52"/>
      <c r="DN39" s="65"/>
      <c r="DO39" s="52"/>
      <c r="DP39" s="52"/>
      <c r="DQ39" s="65"/>
      <c r="DR39" s="52"/>
      <c r="DS39" s="52"/>
      <c r="DT39" s="65"/>
      <c r="DU39" s="52"/>
      <c r="DV39" s="52"/>
      <c r="DW39" s="66"/>
      <c r="DX39" s="54"/>
      <c r="DY39" s="54"/>
      <c r="DZ39" s="57"/>
      <c r="EA39" s="54"/>
      <c r="EB39" s="54"/>
      <c r="EC39" s="57"/>
      <c r="ED39" s="54"/>
      <c r="EE39" s="54"/>
      <c r="EF39" s="57"/>
      <c r="EG39" s="54"/>
      <c r="EH39" s="54"/>
      <c r="EI39" s="57"/>
      <c r="EJ39" s="53">
        <f t="shared" si="14"/>
        <v>0</v>
      </c>
      <c r="EK39" s="54"/>
      <c r="EL39" s="54"/>
      <c r="EM39" s="57"/>
      <c r="EN39" s="54"/>
      <c r="EO39" s="54"/>
      <c r="EP39" s="57"/>
      <c r="EQ39" s="54"/>
      <c r="ER39" s="54"/>
      <c r="ES39" s="57"/>
      <c r="ET39" s="54"/>
      <c r="EU39" s="54"/>
      <c r="EV39" s="57"/>
      <c r="EW39" s="53">
        <f t="shared" si="15"/>
        <v>0</v>
      </c>
    </row>
    <row r="40" spans="1:153" ht="20.100000000000001" customHeight="1" x14ac:dyDescent="0.25">
      <c r="A40" s="51" t="s">
        <v>115</v>
      </c>
      <c r="B40" s="52">
        <v>1</v>
      </c>
      <c r="C40" s="53">
        <v>1</v>
      </c>
      <c r="D40" s="51"/>
      <c r="E40" s="54"/>
      <c r="F40" s="57"/>
      <c r="G40" s="54"/>
      <c r="H40" s="54"/>
      <c r="I40" s="57"/>
      <c r="J40" s="54"/>
      <c r="K40" s="54"/>
      <c r="L40" s="57"/>
      <c r="M40" s="54"/>
      <c r="N40" s="54"/>
      <c r="O40" s="57"/>
      <c r="P40" s="53"/>
      <c r="Q40" s="51"/>
      <c r="R40" s="54"/>
      <c r="S40" s="55"/>
      <c r="T40" s="56"/>
      <c r="U40" s="54"/>
      <c r="V40" s="57"/>
      <c r="W40" s="54"/>
      <c r="X40" s="54"/>
      <c r="Y40" s="57"/>
      <c r="Z40" s="54"/>
      <c r="AA40" s="54"/>
      <c r="AB40" s="57"/>
      <c r="AC40" s="54"/>
      <c r="AD40" s="54"/>
      <c r="AE40" s="57"/>
      <c r="AF40" s="55"/>
      <c r="AG40" s="54"/>
      <c r="AH40" s="58"/>
      <c r="AI40" s="59"/>
      <c r="AJ40" s="60"/>
      <c r="AK40" s="59"/>
      <c r="AL40" s="59"/>
      <c r="AM40" s="60"/>
      <c r="AN40" s="59"/>
      <c r="AO40" s="59"/>
      <c r="AP40" s="60"/>
      <c r="AQ40" s="59"/>
      <c r="AR40" s="59"/>
      <c r="AS40" s="60"/>
      <c r="AT40" s="61"/>
      <c r="AU40" s="59"/>
      <c r="AV40" s="59"/>
      <c r="AW40" s="60"/>
      <c r="AX40" s="59"/>
      <c r="AY40" s="59"/>
      <c r="AZ40" s="60"/>
      <c r="BA40" s="59"/>
      <c r="BB40" s="59"/>
      <c r="BC40" s="60"/>
      <c r="BD40" s="59"/>
      <c r="BE40" s="59"/>
      <c r="BF40" s="60"/>
      <c r="BG40" s="61"/>
      <c r="BH40" s="58"/>
      <c r="BI40" s="62">
        <f t="shared" si="7"/>
        <v>0</v>
      </c>
      <c r="BJ40" s="63"/>
      <c r="BK40" s="59"/>
      <c r="BL40" s="60"/>
      <c r="BM40" s="59"/>
      <c r="BN40" s="59"/>
      <c r="BO40" s="60"/>
      <c r="BP40" s="59"/>
      <c r="BQ40" s="59"/>
      <c r="BR40" s="60"/>
      <c r="BS40" s="59"/>
      <c r="BT40" s="59"/>
      <c r="BU40" s="60"/>
      <c r="BV40" s="62"/>
      <c r="BW40" s="59"/>
      <c r="BX40" s="61"/>
      <c r="BY40" s="51"/>
      <c r="BZ40" s="54"/>
      <c r="CA40" s="57"/>
      <c r="CB40" s="54"/>
      <c r="CC40" s="54"/>
      <c r="CD40" s="57"/>
      <c r="CE40" s="54"/>
      <c r="CF40" s="54"/>
      <c r="CG40" s="57"/>
      <c r="CH40" s="54"/>
      <c r="CI40" s="54"/>
      <c r="CJ40" s="57"/>
      <c r="CK40" s="53">
        <f t="shared" si="11"/>
        <v>0</v>
      </c>
      <c r="CL40" s="51"/>
      <c r="CM40" s="54"/>
      <c r="CN40" s="57"/>
      <c r="CO40" s="54"/>
      <c r="CP40" s="54"/>
      <c r="CQ40" s="57"/>
      <c r="CR40" s="54"/>
      <c r="CS40" s="54"/>
      <c r="CT40" s="57"/>
      <c r="CU40" s="54"/>
      <c r="CV40" s="54"/>
      <c r="CW40" s="57"/>
      <c r="CX40" s="53">
        <f t="shared" si="12"/>
        <v>0</v>
      </c>
      <c r="CY40" s="51"/>
      <c r="CZ40" s="54"/>
      <c r="DA40" s="57"/>
      <c r="DB40" s="54"/>
      <c r="DC40" s="54"/>
      <c r="DD40" s="57"/>
      <c r="DE40" s="54"/>
      <c r="DF40" s="54"/>
      <c r="DG40" s="57"/>
      <c r="DH40" s="54"/>
      <c r="DI40" s="54"/>
      <c r="DJ40" s="57"/>
      <c r="DK40" s="53">
        <f t="shared" si="13"/>
        <v>0</v>
      </c>
      <c r="DL40" s="64"/>
      <c r="DM40" s="52"/>
      <c r="DN40" s="65"/>
      <c r="DO40" s="52"/>
      <c r="DP40" s="52"/>
      <c r="DQ40" s="65"/>
      <c r="DR40" s="52"/>
      <c r="DS40" s="52"/>
      <c r="DT40" s="65"/>
      <c r="DU40" s="52"/>
      <c r="DV40" s="52"/>
      <c r="DW40" s="66"/>
      <c r="DX40" s="54"/>
      <c r="DY40" s="54"/>
      <c r="DZ40" s="57"/>
      <c r="EA40" s="54"/>
      <c r="EB40" s="54"/>
      <c r="EC40" s="57"/>
      <c r="ED40" s="54"/>
      <c r="EE40" s="54"/>
      <c r="EF40" s="57"/>
      <c r="EG40" s="54"/>
      <c r="EH40" s="54"/>
      <c r="EI40" s="57"/>
      <c r="EJ40" s="53">
        <f t="shared" si="14"/>
        <v>0</v>
      </c>
      <c r="EK40" s="54"/>
      <c r="EL40" s="54"/>
      <c r="EM40" s="57"/>
      <c r="EN40" s="54"/>
      <c r="EO40" s="54"/>
      <c r="EP40" s="57"/>
      <c r="EQ40" s="54"/>
      <c r="ER40" s="54"/>
      <c r="ES40" s="57"/>
      <c r="ET40" s="54"/>
      <c r="EU40" s="54"/>
      <c r="EV40" s="57"/>
      <c r="EW40" s="53">
        <f t="shared" si="15"/>
        <v>0</v>
      </c>
    </row>
    <row r="41" spans="1:153" ht="20.100000000000001" customHeight="1" x14ac:dyDescent="0.25">
      <c r="A41" s="51" t="s">
        <v>102</v>
      </c>
      <c r="B41" s="52">
        <v>1</v>
      </c>
      <c r="C41" s="53">
        <v>133</v>
      </c>
      <c r="D41" s="51"/>
      <c r="E41" s="54"/>
      <c r="F41" s="57"/>
      <c r="G41" s="54"/>
      <c r="H41" s="54"/>
      <c r="I41" s="57"/>
      <c r="J41" s="54"/>
      <c r="K41" s="54"/>
      <c r="L41" s="57"/>
      <c r="M41" s="54"/>
      <c r="N41" s="54"/>
      <c r="O41" s="57"/>
      <c r="P41" s="53">
        <f t="shared" si="2"/>
        <v>0</v>
      </c>
      <c r="Q41" s="51"/>
      <c r="R41" s="54"/>
      <c r="S41" s="55"/>
      <c r="T41" s="56"/>
      <c r="U41" s="54"/>
      <c r="V41" s="57"/>
      <c r="W41" s="54"/>
      <c r="X41" s="54"/>
      <c r="Y41" s="57"/>
      <c r="Z41" s="54"/>
      <c r="AA41" s="54"/>
      <c r="AB41" s="57"/>
      <c r="AC41" s="54"/>
      <c r="AD41" s="54"/>
      <c r="AE41" s="57"/>
      <c r="AF41" s="55">
        <f t="shared" si="3"/>
        <v>0</v>
      </c>
      <c r="AG41" s="54">
        <f t="shared" si="4"/>
        <v>0</v>
      </c>
      <c r="AH41" s="58"/>
      <c r="AI41" s="59"/>
      <c r="AJ41" s="60"/>
      <c r="AK41" s="59"/>
      <c r="AL41" s="59"/>
      <c r="AM41" s="60"/>
      <c r="AN41" s="59"/>
      <c r="AO41" s="59"/>
      <c r="AP41" s="60"/>
      <c r="AQ41" s="59"/>
      <c r="AR41" s="59"/>
      <c r="AS41" s="60"/>
      <c r="AT41" s="61">
        <f t="shared" si="5"/>
        <v>0</v>
      </c>
      <c r="AU41" s="59"/>
      <c r="AV41" s="59"/>
      <c r="AW41" s="60"/>
      <c r="AX41" s="59"/>
      <c r="AY41" s="59"/>
      <c r="AZ41" s="60"/>
      <c r="BA41" s="59"/>
      <c r="BB41" s="59"/>
      <c r="BC41" s="60"/>
      <c r="BD41" s="59"/>
      <c r="BE41" s="59"/>
      <c r="BF41" s="60"/>
      <c r="BG41" s="61">
        <f t="shared" si="6"/>
        <v>0</v>
      </c>
      <c r="BH41" s="58"/>
      <c r="BI41" s="62">
        <f t="shared" si="7"/>
        <v>0</v>
      </c>
      <c r="BJ41" s="63"/>
      <c r="BK41" s="59"/>
      <c r="BL41" s="60"/>
      <c r="BM41" s="59"/>
      <c r="BN41" s="59"/>
      <c r="BO41" s="60"/>
      <c r="BP41" s="59"/>
      <c r="BQ41" s="59"/>
      <c r="BR41" s="60"/>
      <c r="BS41" s="59"/>
      <c r="BT41" s="59"/>
      <c r="BU41" s="60"/>
      <c r="BV41" s="62">
        <f t="shared" si="8"/>
        <v>0</v>
      </c>
      <c r="BW41" s="59">
        <f t="shared" si="9"/>
        <v>0</v>
      </c>
      <c r="BX41" s="61">
        <f t="shared" si="10"/>
        <v>0</v>
      </c>
      <c r="BY41" s="51"/>
      <c r="BZ41" s="54"/>
      <c r="CA41" s="57"/>
      <c r="CB41" s="54"/>
      <c r="CC41" s="54"/>
      <c r="CD41" s="57"/>
      <c r="CE41" s="54"/>
      <c r="CF41" s="54"/>
      <c r="CG41" s="57"/>
      <c r="CH41" s="54"/>
      <c r="CI41" s="54"/>
      <c r="CJ41" s="57"/>
      <c r="CK41" s="53">
        <f t="shared" si="11"/>
        <v>0</v>
      </c>
      <c r="CL41" s="51"/>
      <c r="CM41" s="54"/>
      <c r="CN41" s="57"/>
      <c r="CO41" s="54"/>
      <c r="CP41" s="54"/>
      <c r="CQ41" s="57"/>
      <c r="CR41" s="54"/>
      <c r="CS41" s="54"/>
      <c r="CT41" s="57"/>
      <c r="CU41" s="54"/>
      <c r="CV41" s="54"/>
      <c r="CW41" s="57"/>
      <c r="CX41" s="53">
        <f t="shared" si="12"/>
        <v>0</v>
      </c>
      <c r="CY41" s="51"/>
      <c r="CZ41" s="54"/>
      <c r="DA41" s="57"/>
      <c r="DB41" s="54"/>
      <c r="DC41" s="54"/>
      <c r="DD41" s="57"/>
      <c r="DE41" s="54"/>
      <c r="DF41" s="54"/>
      <c r="DG41" s="57"/>
      <c r="DH41" s="54"/>
      <c r="DI41" s="54"/>
      <c r="DJ41" s="57"/>
      <c r="DK41" s="53">
        <f t="shared" si="13"/>
        <v>0</v>
      </c>
      <c r="DL41" s="64"/>
      <c r="DM41" s="52"/>
      <c r="DN41" s="65"/>
      <c r="DO41" s="52"/>
      <c r="DP41" s="52"/>
      <c r="DQ41" s="65"/>
      <c r="DR41" s="52"/>
      <c r="DS41" s="52"/>
      <c r="DT41" s="65"/>
      <c r="DU41" s="52"/>
      <c r="DV41" s="52"/>
      <c r="DW41" s="66"/>
      <c r="DX41" s="54"/>
      <c r="DY41" s="54"/>
      <c r="DZ41" s="57"/>
      <c r="EA41" s="54"/>
      <c r="EB41" s="54"/>
      <c r="EC41" s="57"/>
      <c r="ED41" s="54"/>
      <c r="EE41" s="54"/>
      <c r="EF41" s="57"/>
      <c r="EG41" s="54"/>
      <c r="EH41" s="54"/>
      <c r="EI41" s="57"/>
      <c r="EJ41" s="53">
        <f t="shared" si="14"/>
        <v>0</v>
      </c>
      <c r="EK41" s="54"/>
      <c r="EL41" s="54"/>
      <c r="EM41" s="57"/>
      <c r="EN41" s="54"/>
      <c r="EO41" s="54"/>
      <c r="EP41" s="57"/>
      <c r="EQ41" s="54"/>
      <c r="ER41" s="54"/>
      <c r="ES41" s="57"/>
      <c r="ET41" s="54"/>
      <c r="EU41" s="54"/>
      <c r="EV41" s="57"/>
      <c r="EW41" s="53">
        <f t="shared" si="15"/>
        <v>0</v>
      </c>
    </row>
    <row r="42" spans="1:153" ht="20.100000000000001" customHeight="1" x14ac:dyDescent="0.25">
      <c r="A42" s="51" t="s">
        <v>103</v>
      </c>
      <c r="B42" s="52">
        <v>1</v>
      </c>
      <c r="C42" s="53">
        <v>132</v>
      </c>
      <c r="D42" s="51"/>
      <c r="E42" s="54"/>
      <c r="F42" s="57"/>
      <c r="G42" s="54"/>
      <c r="H42" s="54"/>
      <c r="I42" s="57"/>
      <c r="J42" s="54"/>
      <c r="K42" s="54"/>
      <c r="L42" s="57"/>
      <c r="M42" s="54"/>
      <c r="N42" s="54"/>
      <c r="O42" s="57"/>
      <c r="P42" s="53">
        <f t="shared" si="2"/>
        <v>0</v>
      </c>
      <c r="Q42" s="51"/>
      <c r="R42" s="54"/>
      <c r="S42" s="55"/>
      <c r="T42" s="56"/>
      <c r="U42" s="54"/>
      <c r="V42" s="57"/>
      <c r="W42" s="54"/>
      <c r="X42" s="54"/>
      <c r="Y42" s="57"/>
      <c r="Z42" s="54"/>
      <c r="AA42" s="54"/>
      <c r="AB42" s="57"/>
      <c r="AC42" s="54"/>
      <c r="AD42" s="54"/>
      <c r="AE42" s="57"/>
      <c r="AF42" s="55">
        <f t="shared" si="3"/>
        <v>0</v>
      </c>
      <c r="AG42" s="54">
        <f t="shared" si="4"/>
        <v>0</v>
      </c>
      <c r="AH42" s="58"/>
      <c r="AI42" s="59"/>
      <c r="AJ42" s="60"/>
      <c r="AK42" s="59"/>
      <c r="AL42" s="59"/>
      <c r="AM42" s="60"/>
      <c r="AN42" s="59"/>
      <c r="AO42" s="59"/>
      <c r="AP42" s="60"/>
      <c r="AQ42" s="59"/>
      <c r="AR42" s="59"/>
      <c r="AS42" s="60"/>
      <c r="AT42" s="61">
        <f t="shared" si="5"/>
        <v>0</v>
      </c>
      <c r="AU42" s="59"/>
      <c r="AV42" s="59"/>
      <c r="AW42" s="60"/>
      <c r="AX42" s="59"/>
      <c r="AY42" s="59"/>
      <c r="AZ42" s="60"/>
      <c r="BA42" s="59"/>
      <c r="BB42" s="59"/>
      <c r="BC42" s="60"/>
      <c r="BD42" s="59"/>
      <c r="BE42" s="59"/>
      <c r="BF42" s="60"/>
      <c r="BG42" s="61">
        <f t="shared" si="6"/>
        <v>0</v>
      </c>
      <c r="BH42" s="58"/>
      <c r="BI42" s="62">
        <f t="shared" si="7"/>
        <v>0</v>
      </c>
      <c r="BJ42" s="63"/>
      <c r="BK42" s="59"/>
      <c r="BL42" s="60"/>
      <c r="BM42" s="59"/>
      <c r="BN42" s="59"/>
      <c r="BO42" s="60"/>
      <c r="BP42" s="59"/>
      <c r="BQ42" s="59"/>
      <c r="BR42" s="60"/>
      <c r="BS42" s="59"/>
      <c r="BT42" s="59"/>
      <c r="BU42" s="60"/>
      <c r="BV42" s="62">
        <f t="shared" si="8"/>
        <v>0</v>
      </c>
      <c r="BW42" s="59">
        <f t="shared" si="9"/>
        <v>0</v>
      </c>
      <c r="BX42" s="61">
        <f t="shared" si="10"/>
        <v>0</v>
      </c>
      <c r="BY42" s="51"/>
      <c r="BZ42" s="54"/>
      <c r="CA42" s="57"/>
      <c r="CB42" s="54"/>
      <c r="CC42" s="54"/>
      <c r="CD42" s="57"/>
      <c r="CE42" s="54"/>
      <c r="CF42" s="54"/>
      <c r="CG42" s="57"/>
      <c r="CH42" s="54"/>
      <c r="CI42" s="54"/>
      <c r="CJ42" s="57"/>
      <c r="CK42" s="53">
        <f t="shared" si="11"/>
        <v>0</v>
      </c>
      <c r="CL42" s="51"/>
      <c r="CM42" s="54"/>
      <c r="CN42" s="57"/>
      <c r="CO42" s="54"/>
      <c r="CP42" s="54"/>
      <c r="CQ42" s="57"/>
      <c r="CR42" s="54"/>
      <c r="CS42" s="54"/>
      <c r="CT42" s="57"/>
      <c r="CU42" s="54"/>
      <c r="CV42" s="54"/>
      <c r="CW42" s="57"/>
      <c r="CX42" s="53">
        <f t="shared" si="12"/>
        <v>0</v>
      </c>
      <c r="CY42" s="51"/>
      <c r="CZ42" s="54"/>
      <c r="DA42" s="57"/>
      <c r="DB42" s="54"/>
      <c r="DC42" s="54"/>
      <c r="DD42" s="57"/>
      <c r="DE42" s="54"/>
      <c r="DF42" s="54"/>
      <c r="DG42" s="57"/>
      <c r="DH42" s="54"/>
      <c r="DI42" s="54"/>
      <c r="DJ42" s="57"/>
      <c r="DK42" s="53">
        <f t="shared" si="13"/>
        <v>0</v>
      </c>
      <c r="DL42" s="64"/>
      <c r="DM42" s="52"/>
      <c r="DN42" s="65"/>
      <c r="DO42" s="52"/>
      <c r="DP42" s="52"/>
      <c r="DQ42" s="65"/>
      <c r="DR42" s="52"/>
      <c r="DS42" s="52"/>
      <c r="DT42" s="65"/>
      <c r="DU42" s="52"/>
      <c r="DV42" s="52"/>
      <c r="DW42" s="66"/>
      <c r="DX42" s="54"/>
      <c r="DY42" s="54"/>
      <c r="DZ42" s="57"/>
      <c r="EA42" s="54"/>
      <c r="EB42" s="54"/>
      <c r="EC42" s="57"/>
      <c r="ED42" s="54"/>
      <c r="EE42" s="54"/>
      <c r="EF42" s="57"/>
      <c r="EG42" s="54"/>
      <c r="EH42" s="54"/>
      <c r="EI42" s="57"/>
      <c r="EJ42" s="53">
        <f t="shared" si="14"/>
        <v>0</v>
      </c>
      <c r="EK42" s="54"/>
      <c r="EL42" s="54"/>
      <c r="EM42" s="57"/>
      <c r="EN42" s="54"/>
      <c r="EO42" s="54"/>
      <c r="EP42" s="57"/>
      <c r="EQ42" s="54"/>
      <c r="ER42" s="54"/>
      <c r="ES42" s="57"/>
      <c r="ET42" s="54"/>
      <c r="EU42" s="54"/>
      <c r="EV42" s="57"/>
      <c r="EW42" s="53">
        <f t="shared" si="15"/>
        <v>0</v>
      </c>
    </row>
    <row r="43" spans="1:153" ht="20.100000000000001" customHeight="1" x14ac:dyDescent="0.25">
      <c r="A43" s="51" t="s">
        <v>104</v>
      </c>
      <c r="B43" s="52">
        <v>1</v>
      </c>
      <c r="C43" s="53">
        <v>90</v>
      </c>
      <c r="D43" s="51"/>
      <c r="E43" s="54"/>
      <c r="F43" s="57"/>
      <c r="G43" s="54"/>
      <c r="H43" s="54"/>
      <c r="I43" s="57"/>
      <c r="J43" s="54"/>
      <c r="K43" s="54"/>
      <c r="L43" s="57"/>
      <c r="M43" s="54"/>
      <c r="N43" s="54"/>
      <c r="O43" s="57"/>
      <c r="P43" s="53">
        <f t="shared" si="2"/>
        <v>0</v>
      </c>
      <c r="Q43" s="51"/>
      <c r="R43" s="54"/>
      <c r="S43" s="55"/>
      <c r="T43" s="56"/>
      <c r="U43" s="54"/>
      <c r="V43" s="57"/>
      <c r="W43" s="54"/>
      <c r="X43" s="54"/>
      <c r="Y43" s="57"/>
      <c r="Z43" s="54"/>
      <c r="AA43" s="54"/>
      <c r="AB43" s="57"/>
      <c r="AC43" s="54"/>
      <c r="AD43" s="54"/>
      <c r="AE43" s="57"/>
      <c r="AF43" s="55">
        <f t="shared" si="3"/>
        <v>0</v>
      </c>
      <c r="AG43" s="54">
        <f t="shared" si="4"/>
        <v>0</v>
      </c>
      <c r="AH43" s="58"/>
      <c r="AI43" s="59"/>
      <c r="AJ43" s="60"/>
      <c r="AK43" s="59"/>
      <c r="AL43" s="59"/>
      <c r="AM43" s="60"/>
      <c r="AN43" s="59"/>
      <c r="AO43" s="59"/>
      <c r="AP43" s="60"/>
      <c r="AQ43" s="59"/>
      <c r="AR43" s="59"/>
      <c r="AS43" s="60"/>
      <c r="AT43" s="61">
        <f t="shared" si="5"/>
        <v>0</v>
      </c>
      <c r="AU43" s="59"/>
      <c r="AV43" s="59"/>
      <c r="AW43" s="60"/>
      <c r="AX43" s="59"/>
      <c r="AY43" s="59"/>
      <c r="AZ43" s="60"/>
      <c r="BA43" s="59"/>
      <c r="BB43" s="59"/>
      <c r="BC43" s="60"/>
      <c r="BD43" s="59"/>
      <c r="BE43" s="59"/>
      <c r="BF43" s="60"/>
      <c r="BG43" s="61">
        <f t="shared" si="6"/>
        <v>0</v>
      </c>
      <c r="BH43" s="58"/>
      <c r="BI43" s="62">
        <f t="shared" si="7"/>
        <v>0</v>
      </c>
      <c r="BJ43" s="63"/>
      <c r="BK43" s="59"/>
      <c r="BL43" s="60"/>
      <c r="BM43" s="59"/>
      <c r="BN43" s="59"/>
      <c r="BO43" s="60"/>
      <c r="BP43" s="59"/>
      <c r="BQ43" s="59"/>
      <c r="BR43" s="60"/>
      <c r="BS43" s="59"/>
      <c r="BT43" s="59"/>
      <c r="BU43" s="60"/>
      <c r="BV43" s="62">
        <f t="shared" si="8"/>
        <v>0</v>
      </c>
      <c r="BW43" s="59">
        <f t="shared" si="9"/>
        <v>0</v>
      </c>
      <c r="BX43" s="61">
        <f t="shared" si="10"/>
        <v>0</v>
      </c>
      <c r="BY43" s="51"/>
      <c r="BZ43" s="54"/>
      <c r="CA43" s="57"/>
      <c r="CB43" s="54"/>
      <c r="CC43" s="54"/>
      <c r="CD43" s="57"/>
      <c r="CE43" s="54"/>
      <c r="CF43" s="54"/>
      <c r="CG43" s="57"/>
      <c r="CH43" s="54"/>
      <c r="CI43" s="54"/>
      <c r="CJ43" s="57"/>
      <c r="CK43" s="53">
        <f t="shared" si="11"/>
        <v>0</v>
      </c>
      <c r="CL43" s="51"/>
      <c r="CM43" s="54"/>
      <c r="CN43" s="57"/>
      <c r="CO43" s="54"/>
      <c r="CP43" s="54"/>
      <c r="CQ43" s="57"/>
      <c r="CR43" s="54"/>
      <c r="CS43" s="54"/>
      <c r="CT43" s="57"/>
      <c r="CU43" s="54"/>
      <c r="CV43" s="54"/>
      <c r="CW43" s="57"/>
      <c r="CX43" s="53">
        <f t="shared" si="12"/>
        <v>0</v>
      </c>
      <c r="CY43" s="51"/>
      <c r="CZ43" s="54"/>
      <c r="DA43" s="57"/>
      <c r="DB43" s="54"/>
      <c r="DC43" s="54"/>
      <c r="DD43" s="57"/>
      <c r="DE43" s="54"/>
      <c r="DF43" s="54"/>
      <c r="DG43" s="57"/>
      <c r="DH43" s="54"/>
      <c r="DI43" s="54"/>
      <c r="DJ43" s="57"/>
      <c r="DK43" s="53">
        <f t="shared" si="13"/>
        <v>0</v>
      </c>
      <c r="DL43" s="64"/>
      <c r="DM43" s="52"/>
      <c r="DN43" s="65"/>
      <c r="DO43" s="52"/>
      <c r="DP43" s="52"/>
      <c r="DQ43" s="65"/>
      <c r="DR43" s="52"/>
      <c r="DS43" s="52"/>
      <c r="DT43" s="65"/>
      <c r="DU43" s="52"/>
      <c r="DV43" s="52"/>
      <c r="DW43" s="66"/>
      <c r="DX43" s="54"/>
      <c r="DY43" s="54"/>
      <c r="DZ43" s="57"/>
      <c r="EA43" s="54"/>
      <c r="EB43" s="54"/>
      <c r="EC43" s="57"/>
      <c r="ED43" s="54"/>
      <c r="EE43" s="54"/>
      <c r="EF43" s="57"/>
      <c r="EG43" s="54"/>
      <c r="EH43" s="54"/>
      <c r="EI43" s="57"/>
      <c r="EJ43" s="53">
        <f t="shared" si="14"/>
        <v>0</v>
      </c>
      <c r="EK43" s="54"/>
      <c r="EL43" s="54"/>
      <c r="EM43" s="57"/>
      <c r="EN43" s="54"/>
      <c r="EO43" s="54"/>
      <c r="EP43" s="57"/>
      <c r="EQ43" s="54"/>
      <c r="ER43" s="54"/>
      <c r="ES43" s="57"/>
      <c r="ET43" s="54"/>
      <c r="EU43" s="54"/>
      <c r="EV43" s="57"/>
      <c r="EW43" s="53">
        <f t="shared" si="15"/>
        <v>0</v>
      </c>
    </row>
    <row r="44" spans="1:153" ht="20.100000000000001" customHeight="1" x14ac:dyDescent="0.25">
      <c r="A44" s="51" t="s">
        <v>111</v>
      </c>
      <c r="B44" s="52">
        <v>1</v>
      </c>
      <c r="C44" s="53">
        <v>144</v>
      </c>
      <c r="D44" s="58"/>
      <c r="E44" s="59"/>
      <c r="F44" s="60"/>
      <c r="G44" s="59"/>
      <c r="H44" s="59"/>
      <c r="I44" s="60"/>
      <c r="J44" s="59"/>
      <c r="K44" s="59"/>
      <c r="L44" s="60"/>
      <c r="M44" s="59"/>
      <c r="N44" s="59"/>
      <c r="O44" s="60"/>
      <c r="P44" s="61">
        <f t="shared" si="2"/>
        <v>0</v>
      </c>
      <c r="Q44" s="58"/>
      <c r="R44" s="59"/>
      <c r="S44" s="62"/>
      <c r="T44" s="63"/>
      <c r="U44" s="59"/>
      <c r="V44" s="60"/>
      <c r="W44" s="59"/>
      <c r="X44" s="59"/>
      <c r="Y44" s="60"/>
      <c r="Z44" s="59"/>
      <c r="AA44" s="59"/>
      <c r="AB44" s="60"/>
      <c r="AC44" s="59"/>
      <c r="AD44" s="59"/>
      <c r="AE44" s="60"/>
      <c r="AF44" s="62">
        <f t="shared" si="3"/>
        <v>0</v>
      </c>
      <c r="AG44" s="61">
        <f t="shared" si="4"/>
        <v>0</v>
      </c>
      <c r="AH44" s="58"/>
      <c r="AI44" s="59"/>
      <c r="AJ44" s="60"/>
      <c r="AK44" s="59"/>
      <c r="AL44" s="59"/>
      <c r="AM44" s="60"/>
      <c r="AN44" s="59"/>
      <c r="AO44" s="59"/>
      <c r="AP44" s="60"/>
      <c r="AQ44" s="59"/>
      <c r="AR44" s="59"/>
      <c r="AS44" s="60"/>
      <c r="AT44" s="59">
        <f t="shared" si="5"/>
        <v>0</v>
      </c>
      <c r="AU44" s="58"/>
      <c r="AV44" s="59"/>
      <c r="AW44" s="60"/>
      <c r="AX44" s="59"/>
      <c r="AY44" s="59"/>
      <c r="AZ44" s="60"/>
      <c r="BA44" s="59"/>
      <c r="BB44" s="59"/>
      <c r="BC44" s="60"/>
      <c r="BD44" s="59"/>
      <c r="BE44" s="59"/>
      <c r="BF44" s="60"/>
      <c r="BG44" s="61">
        <f t="shared" si="6"/>
        <v>0</v>
      </c>
      <c r="BH44" s="58"/>
      <c r="BI44" s="62">
        <f t="shared" si="7"/>
        <v>0</v>
      </c>
      <c r="BJ44" s="63"/>
      <c r="BK44" s="59"/>
      <c r="BL44" s="60"/>
      <c r="BM44" s="59"/>
      <c r="BN44" s="59"/>
      <c r="BO44" s="60"/>
      <c r="BP44" s="59"/>
      <c r="BQ44" s="59"/>
      <c r="BR44" s="60"/>
      <c r="BS44" s="59"/>
      <c r="BT44" s="59"/>
      <c r="BU44" s="60"/>
      <c r="BV44" s="62">
        <f t="shared" si="8"/>
        <v>0</v>
      </c>
      <c r="BW44" s="59">
        <f t="shared" si="9"/>
        <v>0</v>
      </c>
      <c r="BX44" s="61">
        <f t="shared" si="10"/>
        <v>0</v>
      </c>
      <c r="BY44" s="58"/>
      <c r="BZ44" s="59"/>
      <c r="CA44" s="60"/>
      <c r="CB44" s="59"/>
      <c r="CC44" s="59"/>
      <c r="CD44" s="60"/>
      <c r="CE44" s="59"/>
      <c r="CF44" s="59"/>
      <c r="CG44" s="60">
        <v>144</v>
      </c>
      <c r="CH44" s="59"/>
      <c r="CI44" s="59"/>
      <c r="CJ44" s="60"/>
      <c r="CK44" s="61">
        <f t="shared" si="11"/>
        <v>144</v>
      </c>
      <c r="CL44" s="58"/>
      <c r="CM44" s="59"/>
      <c r="CN44" s="60"/>
      <c r="CO44" s="59"/>
      <c r="CP44" s="59"/>
      <c r="CQ44" s="60"/>
      <c r="CR44" s="59"/>
      <c r="CS44" s="59"/>
      <c r="CT44" s="60"/>
      <c r="CU44" s="59"/>
      <c r="CV44" s="59"/>
      <c r="CW44" s="60"/>
      <c r="CX44" s="61">
        <f t="shared" si="12"/>
        <v>0</v>
      </c>
      <c r="CY44" s="58"/>
      <c r="CZ44" s="59"/>
      <c r="DA44" s="60"/>
      <c r="DB44" s="59"/>
      <c r="DC44" s="59"/>
      <c r="DD44" s="60"/>
      <c r="DE44" s="59"/>
      <c r="DF44" s="59"/>
      <c r="DG44" s="60"/>
      <c r="DH44" s="59"/>
      <c r="DI44" s="59"/>
      <c r="DJ44" s="60"/>
      <c r="DK44" s="61">
        <f t="shared" si="13"/>
        <v>0</v>
      </c>
      <c r="DL44" s="64"/>
      <c r="DM44" s="52"/>
      <c r="DN44" s="65"/>
      <c r="DO44" s="52"/>
      <c r="DP44" s="52"/>
      <c r="DQ44" s="65"/>
      <c r="DR44" s="52"/>
      <c r="DS44" s="52"/>
      <c r="DT44" s="65"/>
      <c r="DU44" s="52"/>
      <c r="DV44" s="52"/>
      <c r="DW44" s="66"/>
      <c r="DX44" s="59"/>
      <c r="DY44" s="59"/>
      <c r="DZ44" s="60"/>
      <c r="EA44" s="59"/>
      <c r="EB44" s="59"/>
      <c r="EC44" s="60"/>
      <c r="ED44" s="59"/>
      <c r="EE44" s="59"/>
      <c r="EF44" s="60"/>
      <c r="EG44" s="59"/>
      <c r="EH44" s="59"/>
      <c r="EI44" s="60"/>
      <c r="EJ44" s="61">
        <f t="shared" si="14"/>
        <v>0</v>
      </c>
      <c r="EK44" s="59"/>
      <c r="EL44" s="59"/>
      <c r="EM44" s="60"/>
      <c r="EN44" s="59"/>
      <c r="EO44" s="59"/>
      <c r="EP44" s="60"/>
      <c r="EQ44" s="59"/>
      <c r="ER44" s="59"/>
      <c r="ES44" s="60"/>
      <c r="ET44" s="59"/>
      <c r="EU44" s="59"/>
      <c r="EV44" s="60"/>
      <c r="EW44" s="61">
        <f t="shared" si="15"/>
        <v>0</v>
      </c>
    </row>
    <row r="45" spans="1:153" ht="20.100000000000001" customHeight="1" x14ac:dyDescent="0.25">
      <c r="A45" s="51" t="s">
        <v>112</v>
      </c>
      <c r="B45" s="52">
        <v>1</v>
      </c>
      <c r="C45" s="53">
        <v>46</v>
      </c>
      <c r="D45" s="58"/>
      <c r="E45" s="59"/>
      <c r="F45" s="60"/>
      <c r="G45" s="59"/>
      <c r="H45" s="59"/>
      <c r="I45" s="60"/>
      <c r="J45" s="59"/>
      <c r="K45" s="59"/>
      <c r="L45" s="60"/>
      <c r="M45" s="59"/>
      <c r="N45" s="59"/>
      <c r="O45" s="60"/>
      <c r="P45" s="61">
        <f t="shared" si="2"/>
        <v>0</v>
      </c>
      <c r="Q45" s="58"/>
      <c r="R45" s="59"/>
      <c r="S45" s="62"/>
      <c r="T45" s="63"/>
      <c r="U45" s="59"/>
      <c r="V45" s="60"/>
      <c r="W45" s="59"/>
      <c r="X45" s="59"/>
      <c r="Y45" s="60"/>
      <c r="Z45" s="59"/>
      <c r="AA45" s="59"/>
      <c r="AB45" s="60"/>
      <c r="AC45" s="59"/>
      <c r="AD45" s="59"/>
      <c r="AE45" s="60"/>
      <c r="AF45" s="62">
        <f t="shared" si="3"/>
        <v>0</v>
      </c>
      <c r="AG45" s="61">
        <f t="shared" si="4"/>
        <v>0</v>
      </c>
      <c r="AH45" s="58"/>
      <c r="AI45" s="59"/>
      <c r="AJ45" s="60"/>
      <c r="AK45" s="59"/>
      <c r="AL45" s="59"/>
      <c r="AM45" s="60"/>
      <c r="AN45" s="59"/>
      <c r="AO45" s="59"/>
      <c r="AP45" s="60"/>
      <c r="AQ45" s="59"/>
      <c r="AR45" s="59"/>
      <c r="AS45" s="60"/>
      <c r="AT45" s="59">
        <f t="shared" si="5"/>
        <v>0</v>
      </c>
      <c r="AU45" s="58"/>
      <c r="AV45" s="59"/>
      <c r="AW45" s="60"/>
      <c r="AX45" s="59"/>
      <c r="AY45" s="59"/>
      <c r="AZ45" s="60"/>
      <c r="BA45" s="59"/>
      <c r="BB45" s="59"/>
      <c r="BC45" s="60"/>
      <c r="BD45" s="59"/>
      <c r="BE45" s="59"/>
      <c r="BF45" s="60"/>
      <c r="BG45" s="61">
        <f t="shared" si="6"/>
        <v>0</v>
      </c>
      <c r="BH45" s="58"/>
      <c r="BI45" s="62">
        <f t="shared" si="7"/>
        <v>0</v>
      </c>
      <c r="BJ45" s="63"/>
      <c r="BK45" s="59"/>
      <c r="BL45" s="60"/>
      <c r="BM45" s="59"/>
      <c r="BN45" s="59"/>
      <c r="BO45" s="60"/>
      <c r="BP45" s="59"/>
      <c r="BQ45" s="59"/>
      <c r="BR45" s="60"/>
      <c r="BS45" s="59"/>
      <c r="BT45" s="59"/>
      <c r="BU45" s="60"/>
      <c r="BV45" s="62">
        <f t="shared" si="8"/>
        <v>0</v>
      </c>
      <c r="BW45" s="59">
        <f t="shared" si="9"/>
        <v>0</v>
      </c>
      <c r="BX45" s="61">
        <f t="shared" si="10"/>
        <v>0</v>
      </c>
      <c r="BY45" s="58"/>
      <c r="BZ45" s="59"/>
      <c r="CA45" s="60">
        <v>46</v>
      </c>
      <c r="CB45" s="59"/>
      <c r="CC45" s="59"/>
      <c r="CD45" s="60"/>
      <c r="CE45" s="59"/>
      <c r="CF45" s="59"/>
      <c r="CG45" s="60"/>
      <c r="CH45" s="59"/>
      <c r="CI45" s="59"/>
      <c r="CJ45" s="60"/>
      <c r="CK45" s="61">
        <f t="shared" si="11"/>
        <v>46</v>
      </c>
      <c r="CL45" s="58"/>
      <c r="CM45" s="59"/>
      <c r="CN45" s="60"/>
      <c r="CO45" s="59"/>
      <c r="CP45" s="59"/>
      <c r="CQ45" s="60">
        <v>46</v>
      </c>
      <c r="CR45" s="59"/>
      <c r="CS45" s="59"/>
      <c r="CT45" s="60"/>
      <c r="CU45" s="59"/>
      <c r="CV45" s="59"/>
      <c r="CW45" s="60"/>
      <c r="CX45" s="61">
        <f t="shared" si="12"/>
        <v>46</v>
      </c>
      <c r="CY45" s="58"/>
      <c r="CZ45" s="59"/>
      <c r="DA45" s="60"/>
      <c r="DB45" s="59"/>
      <c r="DC45" s="59"/>
      <c r="DD45" s="60"/>
      <c r="DE45" s="59"/>
      <c r="DF45" s="59"/>
      <c r="DG45" s="60"/>
      <c r="DH45" s="59"/>
      <c r="DI45" s="59">
        <v>46</v>
      </c>
      <c r="DJ45" s="60"/>
      <c r="DK45" s="61">
        <f t="shared" si="13"/>
        <v>46</v>
      </c>
      <c r="DL45" s="64"/>
      <c r="DM45" s="52"/>
      <c r="DN45" s="65"/>
      <c r="DO45" s="52"/>
      <c r="DP45" s="52"/>
      <c r="DQ45" s="65"/>
      <c r="DR45" s="52"/>
      <c r="DS45" s="52"/>
      <c r="DT45" s="65"/>
      <c r="DU45" s="52"/>
      <c r="DV45" s="52">
        <v>0.01</v>
      </c>
      <c r="DW45" s="66">
        <v>0.04</v>
      </c>
      <c r="DX45" s="59"/>
      <c r="DY45" s="59"/>
      <c r="DZ45" s="60"/>
      <c r="EA45" s="59"/>
      <c r="EB45" s="59"/>
      <c r="EC45" s="60"/>
      <c r="ED45" s="59"/>
      <c r="EE45" s="59"/>
      <c r="EF45" s="60"/>
      <c r="EG45" s="59"/>
      <c r="EH45" s="59"/>
      <c r="EI45" s="60"/>
      <c r="EJ45" s="61">
        <f t="shared" si="14"/>
        <v>0</v>
      </c>
      <c r="EK45" s="59"/>
      <c r="EL45" s="59"/>
      <c r="EM45" s="60"/>
      <c r="EN45" s="59"/>
      <c r="EO45" s="59"/>
      <c r="EP45" s="60"/>
      <c r="EQ45" s="59"/>
      <c r="ER45" s="59"/>
      <c r="ES45" s="60"/>
      <c r="ET45" s="59"/>
      <c r="EU45" s="59"/>
      <c r="EV45" s="60"/>
      <c r="EW45" s="61">
        <f t="shared" si="15"/>
        <v>0</v>
      </c>
    </row>
    <row r="46" spans="1:153" ht="20.100000000000001" customHeight="1" x14ac:dyDescent="0.25">
      <c r="A46" s="51" t="s">
        <v>105</v>
      </c>
      <c r="B46" s="52">
        <v>1</v>
      </c>
      <c r="C46" s="53">
        <v>144</v>
      </c>
      <c r="D46" s="51"/>
      <c r="E46" s="54"/>
      <c r="F46" s="57"/>
      <c r="G46" s="54"/>
      <c r="H46" s="54"/>
      <c r="I46" s="57"/>
      <c r="J46" s="54"/>
      <c r="K46" s="54"/>
      <c r="L46" s="57"/>
      <c r="M46" s="54"/>
      <c r="N46" s="54"/>
      <c r="O46" s="57"/>
      <c r="P46" s="53">
        <f t="shared" si="2"/>
        <v>0</v>
      </c>
      <c r="Q46" s="51"/>
      <c r="R46" s="54"/>
      <c r="S46" s="55"/>
      <c r="T46" s="56"/>
      <c r="U46" s="54"/>
      <c r="V46" s="57"/>
      <c r="W46" s="54"/>
      <c r="X46" s="54"/>
      <c r="Y46" s="57"/>
      <c r="Z46" s="54"/>
      <c r="AA46" s="54"/>
      <c r="AB46" s="57"/>
      <c r="AC46" s="54"/>
      <c r="AD46" s="54"/>
      <c r="AE46" s="57"/>
      <c r="AF46" s="55">
        <f t="shared" si="3"/>
        <v>0</v>
      </c>
      <c r="AG46" s="54">
        <f t="shared" si="4"/>
        <v>0</v>
      </c>
      <c r="AH46" s="58"/>
      <c r="AI46" s="59"/>
      <c r="AJ46" s="60"/>
      <c r="AK46" s="59"/>
      <c r="AL46" s="59"/>
      <c r="AM46" s="60"/>
      <c r="AN46" s="59"/>
      <c r="AO46" s="59"/>
      <c r="AP46" s="60"/>
      <c r="AQ46" s="59"/>
      <c r="AR46" s="59"/>
      <c r="AS46" s="60"/>
      <c r="AT46" s="61">
        <f t="shared" si="5"/>
        <v>0</v>
      </c>
      <c r="AU46" s="59"/>
      <c r="AV46" s="59"/>
      <c r="AW46" s="60"/>
      <c r="AX46" s="59"/>
      <c r="AY46" s="59"/>
      <c r="AZ46" s="60"/>
      <c r="BA46" s="59"/>
      <c r="BB46" s="59"/>
      <c r="BC46" s="60"/>
      <c r="BD46" s="59"/>
      <c r="BE46" s="59"/>
      <c r="BF46" s="60"/>
      <c r="BG46" s="61">
        <f t="shared" si="6"/>
        <v>0</v>
      </c>
      <c r="BH46" s="58"/>
      <c r="BI46" s="62">
        <f t="shared" si="7"/>
        <v>0</v>
      </c>
      <c r="BJ46" s="63"/>
      <c r="BK46" s="59"/>
      <c r="BL46" s="60"/>
      <c r="BM46" s="59"/>
      <c r="BN46" s="59"/>
      <c r="BO46" s="60"/>
      <c r="BP46" s="59"/>
      <c r="BQ46" s="59"/>
      <c r="BR46" s="60"/>
      <c r="BS46" s="59"/>
      <c r="BT46" s="59"/>
      <c r="BU46" s="60"/>
      <c r="BV46" s="62">
        <f t="shared" si="8"/>
        <v>0</v>
      </c>
      <c r="BW46" s="59">
        <f t="shared" si="9"/>
        <v>0</v>
      </c>
      <c r="BX46" s="61">
        <f t="shared" si="10"/>
        <v>0</v>
      </c>
      <c r="BY46" s="51"/>
      <c r="BZ46" s="54"/>
      <c r="CA46" s="57"/>
      <c r="CB46" s="54"/>
      <c r="CC46" s="54"/>
      <c r="CD46" s="57"/>
      <c r="CE46" s="54">
        <v>150</v>
      </c>
      <c r="CF46" s="54"/>
      <c r="CG46" s="57"/>
      <c r="CH46" s="54"/>
      <c r="CI46" s="54"/>
      <c r="CJ46" s="57"/>
      <c r="CK46" s="53">
        <f t="shared" si="11"/>
        <v>150</v>
      </c>
      <c r="CL46" s="51"/>
      <c r="CM46" s="54"/>
      <c r="CN46" s="57"/>
      <c r="CO46" s="54"/>
      <c r="CP46" s="54"/>
      <c r="CQ46" s="57"/>
      <c r="CR46" s="54"/>
      <c r="CS46" s="54"/>
      <c r="CT46" s="57"/>
      <c r="CU46" s="54"/>
      <c r="CV46" s="54"/>
      <c r="CW46" s="57"/>
      <c r="CX46" s="53">
        <f t="shared" si="12"/>
        <v>0</v>
      </c>
      <c r="CY46" s="51"/>
      <c r="CZ46" s="54"/>
      <c r="DA46" s="57"/>
      <c r="DB46" s="54"/>
      <c r="DC46" s="54"/>
      <c r="DD46" s="57"/>
      <c r="DE46" s="54"/>
      <c r="DF46" s="54"/>
      <c r="DG46" s="57"/>
      <c r="DH46" s="54"/>
      <c r="DI46" s="54"/>
      <c r="DJ46" s="57"/>
      <c r="DK46" s="53">
        <f t="shared" si="13"/>
        <v>0</v>
      </c>
      <c r="DL46" s="64"/>
      <c r="DM46" s="52"/>
      <c r="DN46" s="65"/>
      <c r="DO46" s="52"/>
      <c r="DP46" s="52"/>
      <c r="DQ46" s="65"/>
      <c r="DR46" s="52"/>
      <c r="DS46" s="52"/>
      <c r="DT46" s="65"/>
      <c r="DU46" s="52"/>
      <c r="DV46" s="52"/>
      <c r="DW46" s="66"/>
      <c r="DX46" s="54"/>
      <c r="DY46" s="54"/>
      <c r="DZ46" s="57"/>
      <c r="EA46" s="54"/>
      <c r="EB46" s="54"/>
      <c r="EC46" s="57"/>
      <c r="ED46" s="54"/>
      <c r="EE46" s="54"/>
      <c r="EF46" s="57"/>
      <c r="EG46" s="54"/>
      <c r="EH46" s="54"/>
      <c r="EI46" s="57"/>
      <c r="EJ46" s="53">
        <f t="shared" si="14"/>
        <v>0</v>
      </c>
      <c r="EK46" s="54"/>
      <c r="EL46" s="54"/>
      <c r="EM46" s="57"/>
      <c r="EN46" s="54"/>
      <c r="EO46" s="54"/>
      <c r="EP46" s="57"/>
      <c r="EQ46" s="54"/>
      <c r="ER46" s="54"/>
      <c r="ES46" s="57"/>
      <c r="ET46" s="54"/>
      <c r="EU46" s="54"/>
      <c r="EV46" s="57"/>
      <c r="EW46" s="53">
        <f t="shared" si="15"/>
        <v>0</v>
      </c>
    </row>
    <row r="47" spans="1:153" ht="20.100000000000001" customHeight="1" thickBot="1" x14ac:dyDescent="0.3">
      <c r="A47" s="51" t="s">
        <v>106</v>
      </c>
      <c r="B47" s="52">
        <v>1</v>
      </c>
      <c r="C47" s="53">
        <v>378</v>
      </c>
      <c r="D47" s="51"/>
      <c r="E47" s="54"/>
      <c r="F47" s="57"/>
      <c r="G47" s="54"/>
      <c r="H47" s="54"/>
      <c r="I47" s="57"/>
      <c r="J47" s="54"/>
      <c r="K47" s="54"/>
      <c r="L47" s="57"/>
      <c r="M47" s="54"/>
      <c r="N47" s="54"/>
      <c r="O47" s="57"/>
      <c r="P47" s="53">
        <f t="shared" si="2"/>
        <v>0</v>
      </c>
      <c r="Q47" s="51"/>
      <c r="R47" s="54"/>
      <c r="S47" s="55"/>
      <c r="T47" s="56"/>
      <c r="U47" s="54"/>
      <c r="V47" s="57"/>
      <c r="W47" s="54"/>
      <c r="X47" s="54"/>
      <c r="Y47" s="57"/>
      <c r="Z47" s="54"/>
      <c r="AA47" s="54"/>
      <c r="AB47" s="57"/>
      <c r="AC47" s="54"/>
      <c r="AD47" s="54"/>
      <c r="AE47" s="57"/>
      <c r="AF47" s="55">
        <f t="shared" si="3"/>
        <v>0</v>
      </c>
      <c r="AG47" s="54">
        <f t="shared" si="4"/>
        <v>0</v>
      </c>
      <c r="AH47" s="58"/>
      <c r="AI47" s="59"/>
      <c r="AJ47" s="60"/>
      <c r="AK47" s="59"/>
      <c r="AL47" s="59"/>
      <c r="AM47" s="60"/>
      <c r="AN47" s="59"/>
      <c r="AO47" s="59"/>
      <c r="AP47" s="60"/>
      <c r="AQ47" s="59"/>
      <c r="AR47" s="59"/>
      <c r="AS47" s="60"/>
      <c r="AT47" s="61">
        <f t="shared" si="5"/>
        <v>0</v>
      </c>
      <c r="AU47" s="59"/>
      <c r="AV47" s="59"/>
      <c r="AW47" s="60"/>
      <c r="AX47" s="59"/>
      <c r="AY47" s="59"/>
      <c r="AZ47" s="60"/>
      <c r="BA47" s="59"/>
      <c r="BB47" s="59"/>
      <c r="BC47" s="60"/>
      <c r="BD47" s="59"/>
      <c r="BE47" s="59"/>
      <c r="BF47" s="60"/>
      <c r="BG47" s="61">
        <f t="shared" si="6"/>
        <v>0</v>
      </c>
      <c r="BH47" s="58"/>
      <c r="BI47" s="62">
        <f t="shared" si="7"/>
        <v>0</v>
      </c>
      <c r="BJ47" s="63"/>
      <c r="BK47" s="59"/>
      <c r="BL47" s="60"/>
      <c r="BM47" s="59"/>
      <c r="BN47" s="59"/>
      <c r="BO47" s="60"/>
      <c r="BP47" s="59"/>
      <c r="BQ47" s="59"/>
      <c r="BR47" s="60"/>
      <c r="BS47" s="59"/>
      <c r="BT47" s="59"/>
      <c r="BU47" s="60"/>
      <c r="BV47" s="62">
        <f t="shared" si="8"/>
        <v>0</v>
      </c>
      <c r="BW47" s="59">
        <f t="shared" si="9"/>
        <v>0</v>
      </c>
      <c r="BX47" s="61">
        <f t="shared" si="10"/>
        <v>0</v>
      </c>
      <c r="BY47" s="51"/>
      <c r="BZ47" s="54"/>
      <c r="CA47" s="57"/>
      <c r="CB47" s="54"/>
      <c r="CC47" s="54"/>
      <c r="CD47" s="57"/>
      <c r="CE47" s="54"/>
      <c r="CF47" s="54"/>
      <c r="CG47" s="57"/>
      <c r="CH47" s="54"/>
      <c r="CI47" s="54"/>
      <c r="CJ47" s="57"/>
      <c r="CK47" s="53">
        <f t="shared" ref="CK4:CK47" si="16">+SUM(BY47:CJ47)</f>
        <v>0</v>
      </c>
      <c r="CL47" s="51"/>
      <c r="CM47" s="54"/>
      <c r="CN47" s="57"/>
      <c r="CO47" s="54"/>
      <c r="CP47" s="54"/>
      <c r="CQ47" s="57"/>
      <c r="CR47" s="54"/>
      <c r="CS47" s="54"/>
      <c r="CT47" s="57"/>
      <c r="CU47" s="54"/>
      <c r="CV47" s="54"/>
      <c r="CW47" s="57"/>
      <c r="CX47" s="53">
        <f t="shared" si="12"/>
        <v>0</v>
      </c>
      <c r="CY47" s="51"/>
      <c r="CZ47" s="54"/>
      <c r="DA47" s="57"/>
      <c r="DB47" s="54"/>
      <c r="DC47" s="54"/>
      <c r="DD47" s="57"/>
      <c r="DE47" s="54"/>
      <c r="DF47" s="54"/>
      <c r="DG47" s="57"/>
      <c r="DH47" s="54"/>
      <c r="DI47" s="54"/>
      <c r="DJ47" s="57"/>
      <c r="DK47" s="53">
        <f t="shared" si="13"/>
        <v>0</v>
      </c>
      <c r="DL47" s="64"/>
      <c r="DM47" s="52"/>
      <c r="DN47" s="65"/>
      <c r="DO47" s="52"/>
      <c r="DP47" s="52"/>
      <c r="DQ47" s="65"/>
      <c r="DR47" s="52"/>
      <c r="DS47" s="52"/>
      <c r="DT47" s="65"/>
      <c r="DU47" s="52"/>
      <c r="DV47" s="52"/>
      <c r="DW47" s="66"/>
      <c r="DX47" s="54"/>
      <c r="DY47" s="54"/>
      <c r="DZ47" s="57"/>
      <c r="EA47" s="54"/>
      <c r="EB47" s="54"/>
      <c r="EC47" s="57"/>
      <c r="ED47" s="54"/>
      <c r="EE47" s="54"/>
      <c r="EF47" s="57"/>
      <c r="EG47" s="54"/>
      <c r="EH47" s="54"/>
      <c r="EI47" s="57"/>
      <c r="EJ47" s="53">
        <f t="shared" si="14"/>
        <v>0</v>
      </c>
      <c r="EK47" s="54"/>
      <c r="EL47" s="54"/>
      <c r="EM47" s="57"/>
      <c r="EN47" s="54"/>
      <c r="EO47" s="54"/>
      <c r="EP47" s="57"/>
      <c r="EQ47" s="54"/>
      <c r="ER47" s="54"/>
      <c r="ES47" s="57"/>
      <c r="ET47" s="54"/>
      <c r="EU47" s="54"/>
      <c r="EV47" s="57"/>
      <c r="EW47" s="53">
        <f t="shared" si="15"/>
        <v>0</v>
      </c>
    </row>
    <row r="48" spans="1:153" ht="20.100000000000001" customHeight="1" x14ac:dyDescent="0.25">
      <c r="A48" s="172" t="s">
        <v>12</v>
      </c>
      <c r="B48" s="173"/>
      <c r="C48" s="118"/>
      <c r="D48" s="125">
        <f>+SUM(D3:D47)</f>
        <v>0</v>
      </c>
      <c r="E48" s="126">
        <f>+SUM(E3:E47)</f>
        <v>0</v>
      </c>
      <c r="F48" s="127">
        <f>+SUM(F3:F47)</f>
        <v>0</v>
      </c>
      <c r="G48" s="126">
        <f>+SUM(G3:G47)</f>
        <v>0</v>
      </c>
      <c r="H48" s="126">
        <f>+SUM(H3:H47)</f>
        <v>0</v>
      </c>
      <c r="I48" s="127">
        <f>+SUM(I3:I47)</f>
        <v>0</v>
      </c>
      <c r="J48" s="126">
        <f>+SUM(J3:J47)</f>
        <v>0</v>
      </c>
      <c r="K48" s="126">
        <f>+SUM(K3:K47)</f>
        <v>0</v>
      </c>
      <c r="L48" s="127">
        <f>+SUM(L3:L47)</f>
        <v>0</v>
      </c>
      <c r="M48" s="126">
        <f>+SUM(M3:M47)</f>
        <v>0</v>
      </c>
      <c r="N48" s="126">
        <f>+SUM(N3:N47)</f>
        <v>0</v>
      </c>
      <c r="O48" s="127">
        <f>+SUM(O3:O47)</f>
        <v>0</v>
      </c>
      <c r="P48" s="118">
        <f>+SUM(P3:P47)</f>
        <v>0</v>
      </c>
      <c r="Q48" s="119">
        <f>+SUM(Q3:Q47)</f>
        <v>0</v>
      </c>
      <c r="R48" s="120">
        <f>+SUM(R3:R47)</f>
        <v>0</v>
      </c>
      <c r="S48" s="121">
        <f>+SUM(S3:S47)</f>
        <v>0</v>
      </c>
      <c r="T48" s="122">
        <f>+SUM(T3:T47)</f>
        <v>0</v>
      </c>
      <c r="U48" s="122">
        <f>+SUM(U3:U47)</f>
        <v>0</v>
      </c>
      <c r="V48" s="123">
        <f>+SUM(V3:V47)</f>
        <v>0</v>
      </c>
      <c r="W48" s="122">
        <f>+SUM(W3:W47)</f>
        <v>0</v>
      </c>
      <c r="X48" s="122">
        <f>+SUM(X3:X47)</f>
        <v>0</v>
      </c>
      <c r="Y48" s="123">
        <f>+SUM(Y3:Y47)</f>
        <v>0</v>
      </c>
      <c r="Z48" s="122">
        <f>+SUM(Z3:Z47)</f>
        <v>0</v>
      </c>
      <c r="AA48" s="122">
        <f>+SUM(AA3:AA47)</f>
        <v>0</v>
      </c>
      <c r="AB48" s="123">
        <f>+SUM(AB3:AB47)</f>
        <v>0</v>
      </c>
      <c r="AC48" s="122">
        <f>+SUM(AC3:AC47)</f>
        <v>0</v>
      </c>
      <c r="AD48" s="122">
        <f>+SUM(AD3:AD47)</f>
        <v>0</v>
      </c>
      <c r="AE48" s="123">
        <f>+SUM(AE3:AE47)</f>
        <v>0</v>
      </c>
      <c r="AF48" s="124">
        <f>+SUM(AF3:AF47)</f>
        <v>0</v>
      </c>
      <c r="AG48" s="122">
        <f>+SUM(AG3:AG47)</f>
        <v>0</v>
      </c>
      <c r="AH48" s="184" t="e">
        <f>+AVERAGE(AH3:AH47)</f>
        <v>#DIV/0!</v>
      </c>
      <c r="AI48" s="186" t="e">
        <f>+AVERAGE(AI3:AI47)</f>
        <v>#DIV/0!</v>
      </c>
      <c r="AJ48" s="191" t="e">
        <f>+AVERAGE(AJ3:AJ47)</f>
        <v>#DIV/0!</v>
      </c>
      <c r="AK48" s="193" t="e">
        <f>+AVERAGE(AK3:AK47)</f>
        <v>#DIV/0!</v>
      </c>
      <c r="AL48" s="186" t="e">
        <f>+AVERAGE(AL3:AL47)</f>
        <v>#DIV/0!</v>
      </c>
      <c r="AM48" s="191" t="e">
        <f>+AVERAGE(AM3:AM47)</f>
        <v>#DIV/0!</v>
      </c>
      <c r="AN48" s="186" t="e">
        <f>+AVERAGE(AN3:AN47)</f>
        <v>#DIV/0!</v>
      </c>
      <c r="AO48" s="186" t="e">
        <f>+AVERAGE(AO3:AO47)</f>
        <v>#DIV/0!</v>
      </c>
      <c r="AP48" s="191" t="e">
        <f>+AVERAGE(AP3:AP47)</f>
        <v>#DIV/0!</v>
      </c>
      <c r="AQ48" s="186" t="e">
        <f>+AVERAGE(AQ3:AQ47)</f>
        <v>#DIV/0!</v>
      </c>
      <c r="AR48" s="186" t="e">
        <f>+AVERAGE(AR3:AR47)</f>
        <v>#DIV/0!</v>
      </c>
      <c r="AS48" s="191" t="e">
        <f>+AVERAGE(AS3:AS47)</f>
        <v>#DIV/0!</v>
      </c>
      <c r="AT48" s="176">
        <f>IFERROR(AVERAGE(AH48:AS48),0)</f>
        <v>0</v>
      </c>
      <c r="AU48" s="120">
        <f>+SUM(AU3:AU47)</f>
        <v>0</v>
      </c>
      <c r="AV48" s="120">
        <f>+SUM(AV3:AV47)</f>
        <v>0</v>
      </c>
      <c r="AW48" s="129">
        <f>+SUM(AW3:AW47)</f>
        <v>0</v>
      </c>
      <c r="AX48" s="120">
        <f>+SUM(AX3:AX47)</f>
        <v>0</v>
      </c>
      <c r="AY48" s="120">
        <f>+SUM(AY3:AY47)</f>
        <v>0</v>
      </c>
      <c r="AZ48" s="129">
        <f>+SUM(AZ3:AZ47)</f>
        <v>0</v>
      </c>
      <c r="BA48" s="120">
        <f>+SUM(BA3:BA47)</f>
        <v>0</v>
      </c>
      <c r="BB48" s="120">
        <f>+SUM(BB3:BB47)</f>
        <v>0</v>
      </c>
      <c r="BC48" s="129">
        <f>+SUM(BC3:BC47)</f>
        <v>0</v>
      </c>
      <c r="BD48" s="120">
        <f>+SUM(BD3:BD47)</f>
        <v>0</v>
      </c>
      <c r="BE48" s="120">
        <f>+SUM(BE3:BE47)</f>
        <v>0</v>
      </c>
      <c r="BF48" s="129">
        <f>+SUM(BF3:BF47)</f>
        <v>0</v>
      </c>
      <c r="BG48" s="130">
        <f>+SUM(BG3:BG47)</f>
        <v>0</v>
      </c>
      <c r="BH48" s="119">
        <f>+SUM(BH3:BH47)</f>
        <v>0</v>
      </c>
      <c r="BI48" s="181">
        <f>+IFERROR(AVERAGEIF(BI3:BI47,"&gt;0"),0)</f>
        <v>0</v>
      </c>
      <c r="BJ48" s="131">
        <f>+SUM(BJ3:BJ47)</f>
        <v>0</v>
      </c>
      <c r="BK48" s="120">
        <f>+SUM(BK3:BK47)</f>
        <v>0</v>
      </c>
      <c r="BL48" s="129">
        <f>+SUM(BL3:BL47)</f>
        <v>0</v>
      </c>
      <c r="BM48" s="120">
        <f>+SUM(BM3:BM47)</f>
        <v>0</v>
      </c>
      <c r="BN48" s="120">
        <f>+SUM(BN3:BN47)</f>
        <v>0</v>
      </c>
      <c r="BO48" s="129">
        <f>+SUM(BO3:BO47)</f>
        <v>0</v>
      </c>
      <c r="BP48" s="120">
        <f>+SUM(BP3:BP47)</f>
        <v>0</v>
      </c>
      <c r="BQ48" s="120">
        <f>+SUM(BQ3:BQ47)</f>
        <v>0</v>
      </c>
      <c r="BR48" s="129">
        <f>+SUM(BR3:BR47)</f>
        <v>0</v>
      </c>
      <c r="BS48" s="120">
        <f>+SUM(BS3:BS47)</f>
        <v>0</v>
      </c>
      <c r="BT48" s="120">
        <f>+SUM(BT3:BT47)</f>
        <v>0</v>
      </c>
      <c r="BU48" s="129">
        <f>+SUM(BU3:BU47)</f>
        <v>0</v>
      </c>
      <c r="BV48" s="121">
        <f>+SUM(BV3:BV47)</f>
        <v>0</v>
      </c>
      <c r="BW48" s="128">
        <f>+SUM(BW3:BW47)</f>
        <v>0</v>
      </c>
      <c r="BX48" s="176">
        <f>+IFERROR(AVERAGEIF(BX3:BX47,"&gt;0"),0)</f>
        <v>0</v>
      </c>
      <c r="BY48" s="125">
        <f>+SUM(BY3:BY47)</f>
        <v>56</v>
      </c>
      <c r="BZ48" s="126">
        <f>+SUM(BZ3:BZ47)</f>
        <v>0</v>
      </c>
      <c r="CA48" s="127">
        <f>+SUM(CA3:CA47)</f>
        <v>76</v>
      </c>
      <c r="CB48" s="126">
        <f>+SUM(CB3:CB47)</f>
        <v>63</v>
      </c>
      <c r="CC48" s="126">
        <f>+SUM(CC3:CC47)</f>
        <v>232</v>
      </c>
      <c r="CD48" s="127">
        <f>+SUM(CD3:CD47)</f>
        <v>0</v>
      </c>
      <c r="CE48" s="126">
        <f>+SUM(CE3:CE47)</f>
        <v>189</v>
      </c>
      <c r="CF48" s="126">
        <f>+SUM(CF3:CF47)</f>
        <v>0</v>
      </c>
      <c r="CG48" s="127">
        <f>+SUM(CG3:CG47)</f>
        <v>144</v>
      </c>
      <c r="CH48" s="126">
        <f>+SUM(CH3:CH47)</f>
        <v>0</v>
      </c>
      <c r="CI48" s="126">
        <f>+SUM(CI3:CI47)</f>
        <v>0</v>
      </c>
      <c r="CJ48" s="127">
        <f>+SUM(CJ3:CJ47)</f>
        <v>0</v>
      </c>
      <c r="CK48" s="118">
        <f>+SUM(CK3:CK47)</f>
        <v>760</v>
      </c>
      <c r="CL48" s="125">
        <f>+SUM(CL3:CL47)</f>
        <v>0</v>
      </c>
      <c r="CM48" s="126">
        <f>+SUM(CM3:CM47)</f>
        <v>159</v>
      </c>
      <c r="CN48" s="127">
        <f>+SUM(CN3:CN47)</f>
        <v>0</v>
      </c>
      <c r="CO48" s="126">
        <f>+SUM(CO3:CO47)</f>
        <v>0</v>
      </c>
      <c r="CP48" s="126">
        <f>+SUM(CP3:CP47)</f>
        <v>56</v>
      </c>
      <c r="CQ48" s="127">
        <f>+SUM(CQ3:CQ47)</f>
        <v>46</v>
      </c>
      <c r="CR48" s="126">
        <f>+SUM(CR3:CR47)</f>
        <v>0</v>
      </c>
      <c r="CS48" s="126">
        <f>+SUM(CS3:CS47)</f>
        <v>0</v>
      </c>
      <c r="CT48" s="127">
        <f>+SUM(CT3:CT47)</f>
        <v>63</v>
      </c>
      <c r="CU48" s="126">
        <f>+SUM(CU3:CU47)</f>
        <v>0</v>
      </c>
      <c r="CV48" s="126">
        <f>+SUM(CV3:CV47)</f>
        <v>39</v>
      </c>
      <c r="CW48" s="127">
        <f>+SUM(CW3:CW47)</f>
        <v>262</v>
      </c>
      <c r="CX48" s="118">
        <f>+SUM(CX3:CX47)</f>
        <v>625</v>
      </c>
      <c r="CY48" s="125">
        <f>+SUM(CY3:CY47)</f>
        <v>58</v>
      </c>
      <c r="CZ48" s="126">
        <f>+SUM(CZ3:CZ47)</f>
        <v>24</v>
      </c>
      <c r="DA48" s="127">
        <f>+SUM(DA3:DA47)</f>
        <v>0</v>
      </c>
      <c r="DB48" s="126">
        <f>+SUM(DB3:DB47)</f>
        <v>0</v>
      </c>
      <c r="DC48" s="126">
        <f>+SUM(DC3:DC47)</f>
        <v>0</v>
      </c>
      <c r="DD48" s="127">
        <f>+SUM(DD3:DD47)</f>
        <v>99</v>
      </c>
      <c r="DE48" s="126">
        <f>+SUM(DE3:DE47)</f>
        <v>0</v>
      </c>
      <c r="DF48" s="126">
        <f>+SUM(DF3:DF47)</f>
        <v>28</v>
      </c>
      <c r="DG48" s="127">
        <f>+SUM(DG3:DG47)</f>
        <v>28</v>
      </c>
      <c r="DH48" s="126">
        <f>+SUM(DH3:DH47)</f>
        <v>88</v>
      </c>
      <c r="DI48" s="126">
        <f>+SUM(DI3:DI47)</f>
        <v>46</v>
      </c>
      <c r="DJ48" s="127">
        <f>+SUM(DJ3:DJ47)</f>
        <v>0</v>
      </c>
      <c r="DK48" s="118">
        <f>+SUM(DK3:DK47)</f>
        <v>371</v>
      </c>
      <c r="DL48" s="163"/>
      <c r="DM48" s="164"/>
      <c r="DN48" s="164"/>
      <c r="DO48" s="164"/>
      <c r="DP48" s="164"/>
      <c r="DQ48" s="164"/>
      <c r="DR48" s="164"/>
      <c r="DS48" s="164"/>
      <c r="DT48" s="164"/>
      <c r="DU48" s="164"/>
      <c r="DV48" s="164"/>
      <c r="DW48" s="165"/>
      <c r="DX48" s="126">
        <f>+SUM(DX3:DX47)</f>
        <v>0</v>
      </c>
      <c r="DY48" s="126">
        <f>+SUM(DY3:DY47)</f>
        <v>64</v>
      </c>
      <c r="DZ48" s="127">
        <f>+SUM(DZ3:DZ47)</f>
        <v>122</v>
      </c>
      <c r="EA48" s="126">
        <f>+SUM(EA3:EA47)</f>
        <v>0</v>
      </c>
      <c r="EB48" s="126">
        <f>+SUM(EB3:EB47)</f>
        <v>95</v>
      </c>
      <c r="EC48" s="127">
        <f>+SUM(EC3:EC47)</f>
        <v>0</v>
      </c>
      <c r="ED48" s="126">
        <f>+SUM(ED3:ED47)</f>
        <v>54</v>
      </c>
      <c r="EE48" s="126">
        <f>+SUM(EE3:EE47)</f>
        <v>0</v>
      </c>
      <c r="EF48" s="127">
        <f>+SUM(EF3:EF47)</f>
        <v>0</v>
      </c>
      <c r="EG48" s="126">
        <f>+SUM(EG3:EG47)</f>
        <v>0</v>
      </c>
      <c r="EH48" s="126">
        <f>+SUM(EH3:EH47)</f>
        <v>142</v>
      </c>
      <c r="EI48" s="127">
        <f>+SUM(EI3:EI47)</f>
        <v>46</v>
      </c>
      <c r="EJ48" s="118">
        <f>+SUM(EJ3:EJ47)</f>
        <v>523</v>
      </c>
      <c r="EK48" s="126">
        <f>+SUM(EK3:EK47)</f>
        <v>0</v>
      </c>
      <c r="EL48" s="126">
        <f>+SUM(EL3:EL47)</f>
        <v>0</v>
      </c>
      <c r="EM48" s="127">
        <f>+SUM(EM3:EM47)</f>
        <v>0</v>
      </c>
      <c r="EN48" s="126">
        <f>+SUM(EN3:EN47)</f>
        <v>0</v>
      </c>
      <c r="EO48" s="126">
        <f>+SUM(EO3:EO47)</f>
        <v>0</v>
      </c>
      <c r="EP48" s="127">
        <f>+SUM(EP3:EP47)</f>
        <v>0</v>
      </c>
      <c r="EQ48" s="126">
        <f>+SUM(EQ3:EQ47)</f>
        <v>0</v>
      </c>
      <c r="ER48" s="126">
        <f>+SUM(ER3:ER47)</f>
        <v>0</v>
      </c>
      <c r="ES48" s="127">
        <f>+SUM(ES3:ES47)</f>
        <v>0</v>
      </c>
      <c r="ET48" s="126">
        <f>+SUM(ET3:ET47)</f>
        <v>0</v>
      </c>
      <c r="EU48" s="126">
        <f>+SUM(EU3:EU47)</f>
        <v>0</v>
      </c>
      <c r="EV48" s="127">
        <f>+SUM(EV3:EV47)</f>
        <v>0</v>
      </c>
      <c r="EW48" s="118">
        <f>+SUM(EW3:EW47)</f>
        <v>0</v>
      </c>
    </row>
    <row r="49" spans="1:153" ht="20.100000000000001" customHeight="1" thickBot="1" x14ac:dyDescent="0.3">
      <c r="A49" s="174" t="s">
        <v>23</v>
      </c>
      <c r="B49" s="175"/>
      <c r="C49" s="132"/>
      <c r="D49" s="139">
        <f>+SUMPRODUCT(D3:D47,$B$3:$B$47)</f>
        <v>0</v>
      </c>
      <c r="E49" s="140">
        <f>+SUMPRODUCT(E3:E47,$B$3:$B$47)</f>
        <v>0</v>
      </c>
      <c r="F49" s="141">
        <f>+SUMPRODUCT(F3:F47,$B$3:$B$47)</f>
        <v>0</v>
      </c>
      <c r="G49" s="140">
        <f>+SUMPRODUCT(G3:G47,$B$3:$B$47)</f>
        <v>0</v>
      </c>
      <c r="H49" s="140">
        <f>+SUMPRODUCT(H3:H47,$B$3:$B$47)</f>
        <v>0</v>
      </c>
      <c r="I49" s="141">
        <f>+SUMPRODUCT(I3:I47,$B$3:$B$47)</f>
        <v>0</v>
      </c>
      <c r="J49" s="140">
        <f>+SUMPRODUCT(J3:J47,$B$3:$B$47)</f>
        <v>0</v>
      </c>
      <c r="K49" s="140">
        <f>+SUMPRODUCT(K3:K47,$B$3:$B$47)</f>
        <v>0</v>
      </c>
      <c r="L49" s="141">
        <f>+SUMPRODUCT(L3:L47,$B$3:$B$47)</f>
        <v>0</v>
      </c>
      <c r="M49" s="140">
        <f>+SUMPRODUCT(M3:M47,$B$3:$B$47)</f>
        <v>0</v>
      </c>
      <c r="N49" s="140">
        <f>+SUMPRODUCT(N3:N47,$B$3:$B$47)</f>
        <v>0</v>
      </c>
      <c r="O49" s="141">
        <f>+SUMPRODUCT(O3:O47,$B$3:$B$47)</f>
        <v>0</v>
      </c>
      <c r="P49" s="132">
        <f>+SUMPRODUCT(P3:P47,$B$3:$B$47)</f>
        <v>0</v>
      </c>
      <c r="Q49" s="133">
        <f>+SUMPRODUCT(Q3:Q47,B3:B47)</f>
        <v>0</v>
      </c>
      <c r="R49" s="134">
        <f>+SUMPRODUCT(R3:R47,B3:B47)</f>
        <v>0</v>
      </c>
      <c r="S49" s="135">
        <f>+SUMPRODUCT(S3:S47,$B$3:$B$47)</f>
        <v>0</v>
      </c>
      <c r="T49" s="136">
        <f>+SUMPRODUCT(T3:T47,$B$3:$B$47)</f>
        <v>0</v>
      </c>
      <c r="U49" s="136">
        <f>+SUMPRODUCT(U3:U47,$B$3:$B$47)</f>
        <v>0</v>
      </c>
      <c r="V49" s="137">
        <f>+SUMPRODUCT(V3:V47,$B$3:$B$47)</f>
        <v>0</v>
      </c>
      <c r="W49" s="136">
        <f>+SUMPRODUCT(W3:W47,$B$3:$B$47)</f>
        <v>0</v>
      </c>
      <c r="X49" s="136">
        <f>+SUMPRODUCT(X3:X47,$B$3:$B$47)</f>
        <v>0</v>
      </c>
      <c r="Y49" s="137">
        <f>+SUMPRODUCT(Y3:Y47,$B$3:$B$47)</f>
        <v>0</v>
      </c>
      <c r="Z49" s="136">
        <f>+SUMPRODUCT(Z3:Z47,$B$3:$B$47)</f>
        <v>0</v>
      </c>
      <c r="AA49" s="136">
        <f>+SUMPRODUCT(AA3:AA47,$B$3:$B$47)</f>
        <v>0</v>
      </c>
      <c r="AB49" s="137">
        <f>+SUMPRODUCT(AB3:AB47,$B$3:$B$47)</f>
        <v>0</v>
      </c>
      <c r="AC49" s="136">
        <f>+SUMPRODUCT(AC3:AC47,$B$3:$B$47)</f>
        <v>0</v>
      </c>
      <c r="AD49" s="136">
        <f>+SUMPRODUCT(AD3:AD47,$B$3:$B$47)</f>
        <v>0</v>
      </c>
      <c r="AE49" s="137">
        <f>+SUMPRODUCT(AE3:AE47,$B$3:$B$47)</f>
        <v>0</v>
      </c>
      <c r="AF49" s="138">
        <f>+SUMPRODUCT(AF3:AF47,$B$3:$B$47)</f>
        <v>0</v>
      </c>
      <c r="AG49" s="136">
        <f>+SUMPRODUCT(AG3:AG47,$B$3:$B$47)</f>
        <v>0</v>
      </c>
      <c r="AH49" s="185"/>
      <c r="AI49" s="187"/>
      <c r="AJ49" s="192"/>
      <c r="AK49" s="194"/>
      <c r="AL49" s="187"/>
      <c r="AM49" s="192"/>
      <c r="AN49" s="187"/>
      <c r="AO49" s="187"/>
      <c r="AP49" s="192"/>
      <c r="AQ49" s="187"/>
      <c r="AR49" s="187"/>
      <c r="AS49" s="192"/>
      <c r="AT49" s="177"/>
      <c r="AU49" s="134">
        <f>+SUMPRODUCT(AU3:AU47,$B$3:$B$47)</f>
        <v>0</v>
      </c>
      <c r="AV49" s="134">
        <f>+SUMPRODUCT(AV3:AV47,$B$3:$B$47)</f>
        <v>0</v>
      </c>
      <c r="AW49" s="142">
        <f>+SUMPRODUCT(AW3:AW47,$B$3:$B$47)</f>
        <v>0</v>
      </c>
      <c r="AX49" s="134">
        <f>+SUMPRODUCT(AX3:AX47,$B$3:$B$47)</f>
        <v>0</v>
      </c>
      <c r="AY49" s="134">
        <f>+SUMPRODUCT(AY3:AY47,$B$3:$B$47)</f>
        <v>0</v>
      </c>
      <c r="AZ49" s="142">
        <f>+SUMPRODUCT(AZ3:AZ47,$B$3:$B$47)</f>
        <v>0</v>
      </c>
      <c r="BA49" s="134">
        <f>+SUMPRODUCT(BA3:BA47,$B$3:$B$47)</f>
        <v>0</v>
      </c>
      <c r="BB49" s="134">
        <f>+SUMPRODUCT(BB3:BB47,$B$3:$B$47)</f>
        <v>0</v>
      </c>
      <c r="BC49" s="142">
        <f>+SUMPRODUCT(BC3:BC47,$B$3:$B$47)</f>
        <v>0</v>
      </c>
      <c r="BD49" s="134">
        <f>+SUMPRODUCT(BD3:BD47,$B$3:$B$47)</f>
        <v>0</v>
      </c>
      <c r="BE49" s="134">
        <f>+SUMPRODUCT(BE3:BE47,$B$3:$B$47)</f>
        <v>0</v>
      </c>
      <c r="BF49" s="142">
        <f>+SUMPRODUCT(BF3:BF47,$B$3:$B$47)</f>
        <v>0</v>
      </c>
      <c r="BG49" s="143">
        <f>+SUMPRODUCT(BG3:BG47,$B$3:$B$47)</f>
        <v>0</v>
      </c>
      <c r="BH49" s="133">
        <f>+SUMPRODUCT(BH3:BH47,$B$3:$B$47)</f>
        <v>0</v>
      </c>
      <c r="BI49" s="182"/>
      <c r="BJ49" s="144">
        <f>+SUMPRODUCT(BJ3:BJ47,$B$3:$B$47)</f>
        <v>0</v>
      </c>
      <c r="BK49" s="134">
        <f>+SUMPRODUCT(BK3:BK47,$B$3:$B$47)</f>
        <v>0</v>
      </c>
      <c r="BL49" s="142">
        <f>+SUMPRODUCT(BL3:BL47,$B$3:$B$47)</f>
        <v>0</v>
      </c>
      <c r="BM49" s="134">
        <f>+SUMPRODUCT(BM3:BM47,$B$3:$B$47)</f>
        <v>0</v>
      </c>
      <c r="BN49" s="134">
        <f>+SUMPRODUCT(BN3:BN47,$B$3:$B$47)</f>
        <v>0</v>
      </c>
      <c r="BO49" s="142">
        <f>+SUMPRODUCT(BO3:BO47,$B$3:$B$47)</f>
        <v>0</v>
      </c>
      <c r="BP49" s="134">
        <f>+SUMPRODUCT(BP3:BP47,$B$3:$B$47)</f>
        <v>0</v>
      </c>
      <c r="BQ49" s="134">
        <f>+SUMPRODUCT(BQ3:BQ47,$B$3:$B$47)</f>
        <v>0</v>
      </c>
      <c r="BR49" s="142">
        <f>+SUMPRODUCT(BR3:BR47,$B$3:$B$47)</f>
        <v>0</v>
      </c>
      <c r="BS49" s="134">
        <f>+SUMPRODUCT(BS3:BS47,$B$3:$B$47)</f>
        <v>0</v>
      </c>
      <c r="BT49" s="134">
        <f>+SUMPRODUCT(BT3:BT47,$B$3:$B$47)</f>
        <v>0</v>
      </c>
      <c r="BU49" s="142">
        <f>+SUMPRODUCT(BU3:BU47,$B$3:$B$47)</f>
        <v>0</v>
      </c>
      <c r="BV49" s="135">
        <f>+SUMPRODUCT(BV3:BV47,$B$3:$B$47)</f>
        <v>0</v>
      </c>
      <c r="BW49" s="134">
        <f>+SUMPRODUCT(BW3:BW47,$B$3:$B$47)</f>
        <v>0</v>
      </c>
      <c r="BX49" s="177"/>
      <c r="BY49" s="139">
        <f>+SUMPRODUCT(BY3:BY47,$B$3:$B$47)</f>
        <v>56</v>
      </c>
      <c r="BZ49" s="140">
        <f>+SUMPRODUCT(BZ3:BZ47,$B$3:$B$47)</f>
        <v>0</v>
      </c>
      <c r="CA49" s="141">
        <f>+SUMPRODUCT(CA3:CA47,$B$3:$B$47)</f>
        <v>76</v>
      </c>
      <c r="CB49" s="140">
        <f>+SUMPRODUCT(CB3:CB47,$B$3:$B$47)</f>
        <v>63</v>
      </c>
      <c r="CC49" s="140">
        <f>+SUMPRODUCT(CC3:CC47,$B$3:$B$47)</f>
        <v>116</v>
      </c>
      <c r="CD49" s="141">
        <f>+SUMPRODUCT(CD3:CD47,$B$3:$B$47)</f>
        <v>0</v>
      </c>
      <c r="CE49" s="140">
        <f>+SUMPRODUCT(CE3:CE47,$B$3:$B$47)</f>
        <v>189</v>
      </c>
      <c r="CF49" s="140">
        <f>+SUMPRODUCT(CF3:CF47,$B$3:$B$47)</f>
        <v>0</v>
      </c>
      <c r="CG49" s="141">
        <f>+SUMPRODUCT(CG3:CG47,$B$3:$B$47)</f>
        <v>144</v>
      </c>
      <c r="CH49" s="140">
        <f>+SUMPRODUCT(CH3:CH47,$B$3:$B$47)</f>
        <v>0</v>
      </c>
      <c r="CI49" s="140">
        <f>+SUMPRODUCT(CI3:CI47,$B$3:$B$47)</f>
        <v>0</v>
      </c>
      <c r="CJ49" s="141">
        <f>+SUMPRODUCT(CJ3:CJ47,$B$3:$B$47)</f>
        <v>0</v>
      </c>
      <c r="CK49" s="132">
        <f>+SUMPRODUCT(CK3:CK47,$B$3:$B$47)</f>
        <v>644</v>
      </c>
      <c r="CL49" s="139">
        <f>+SUMPRODUCT(CL3:CL47,$B$3:$B$47)</f>
        <v>0</v>
      </c>
      <c r="CM49" s="140">
        <f>+SUMPRODUCT(CM3:CM47,$B$3:$B$47)</f>
        <v>159</v>
      </c>
      <c r="CN49" s="141">
        <f>+SUMPRODUCT(CN3:CN47,$B$3:$B$47)</f>
        <v>0</v>
      </c>
      <c r="CO49" s="140">
        <f>+SUMPRODUCT(CO3:CO47,$B$3:$B$47)</f>
        <v>0</v>
      </c>
      <c r="CP49" s="140">
        <f>+SUMPRODUCT(CP3:CP47,$B$3:$B$47)</f>
        <v>56</v>
      </c>
      <c r="CQ49" s="141">
        <f>+SUMPRODUCT(CQ3:CQ47,$B$3:$B$47)</f>
        <v>46</v>
      </c>
      <c r="CR49" s="140">
        <f>+SUMPRODUCT(CR3:CR47,$B$3:$B$47)</f>
        <v>0</v>
      </c>
      <c r="CS49" s="140">
        <f>+SUMPRODUCT(CS3:CS47,$B$3:$B$47)</f>
        <v>0</v>
      </c>
      <c r="CT49" s="141">
        <f>+SUMPRODUCT(CT3:CT47,$B$3:$B$47)</f>
        <v>63</v>
      </c>
      <c r="CU49" s="140">
        <f>+SUMPRODUCT(CU3:CU47,$B$3:$B$47)</f>
        <v>0</v>
      </c>
      <c r="CV49" s="140">
        <f>+SUMPRODUCT(CV3:CV47,$B$3:$B$47)</f>
        <v>39</v>
      </c>
      <c r="CW49" s="141">
        <f>+SUMPRODUCT(CW3:CW47,$B$3:$B$47)</f>
        <v>146</v>
      </c>
      <c r="CX49" s="132">
        <f>+SUMPRODUCT(CX3:CX47,$B$3:$B$47)</f>
        <v>509</v>
      </c>
      <c r="CY49" s="139">
        <f>+SUMPRODUCT(CY3:CY47,$B$3:$B$47)</f>
        <v>58</v>
      </c>
      <c r="CZ49" s="140">
        <f>+SUMPRODUCT(CZ3:CZ47,$B$3:$B$47)</f>
        <v>24</v>
      </c>
      <c r="DA49" s="141">
        <f>+SUMPRODUCT(DA3:DA47,$B$3:$B$47)</f>
        <v>0</v>
      </c>
      <c r="DB49" s="140">
        <f>+SUMPRODUCT(DB3:DB47,$B$3:$B$47)</f>
        <v>0</v>
      </c>
      <c r="DC49" s="140">
        <f>+SUMPRODUCT(DC3:DC47,$B$3:$B$47)</f>
        <v>0</v>
      </c>
      <c r="DD49" s="141">
        <f>+SUMPRODUCT(DD3:DD47,$B$3:$B$47)</f>
        <v>99</v>
      </c>
      <c r="DE49" s="140">
        <f>+SUMPRODUCT(DE3:DE47,$B$3:$B$47)</f>
        <v>0</v>
      </c>
      <c r="DF49" s="140">
        <f>+SUMPRODUCT(DF3:DF47,$B$3:$B$47)</f>
        <v>28</v>
      </c>
      <c r="DG49" s="141">
        <f>+SUMPRODUCT(DG3:DG47,$B$3:$B$47)</f>
        <v>28</v>
      </c>
      <c r="DH49" s="140">
        <f>+SUMPRODUCT(DH3:DH47,$B$3:$B$47)</f>
        <v>88</v>
      </c>
      <c r="DI49" s="140">
        <f>+SUMPRODUCT(DI3:DI47,$B$3:$B$47)</f>
        <v>46</v>
      </c>
      <c r="DJ49" s="141">
        <f>+SUMPRODUCT(DJ3:DJ47,$B$3:$B$47)</f>
        <v>0</v>
      </c>
      <c r="DK49" s="132">
        <f>+SUMPRODUCT(DK3:DK47,$B$3:$B$47)</f>
        <v>371</v>
      </c>
      <c r="DL49" s="166"/>
      <c r="DM49" s="167"/>
      <c r="DN49" s="167"/>
      <c r="DO49" s="167"/>
      <c r="DP49" s="167"/>
      <c r="DQ49" s="167"/>
      <c r="DR49" s="167"/>
      <c r="DS49" s="167"/>
      <c r="DT49" s="167"/>
      <c r="DU49" s="167"/>
      <c r="DV49" s="167"/>
      <c r="DW49" s="168"/>
      <c r="DX49" s="140">
        <f>+SUMPRODUCT(DX3:DX47,$B$3:$B$47)</f>
        <v>0</v>
      </c>
      <c r="DY49" s="140">
        <f>+SUMPRODUCT(DY3:DY47,$B$3:$B$47)</f>
        <v>64</v>
      </c>
      <c r="DZ49" s="141">
        <f>+SUMPRODUCT(DZ3:DZ47,$B$3:$B$47)</f>
        <v>122</v>
      </c>
      <c r="EA49" s="140">
        <f>+SUMPRODUCT(EA3:EA47,$B$3:$B$47)</f>
        <v>0</v>
      </c>
      <c r="EB49" s="140">
        <f>+SUMPRODUCT(EB3:EB47,$B$3:$B$47)</f>
        <v>95</v>
      </c>
      <c r="EC49" s="141">
        <f>+SUMPRODUCT(EC3:EC47,$B$3:$B$47)</f>
        <v>0</v>
      </c>
      <c r="ED49" s="140">
        <f>+SUMPRODUCT(ED3:ED47,$B$3:$B$47)</f>
        <v>54</v>
      </c>
      <c r="EE49" s="140">
        <f>+SUMPRODUCT(EE3:EE47,$B$3:$B$47)</f>
        <v>0</v>
      </c>
      <c r="EF49" s="141">
        <f>+SUMPRODUCT(EF3:EF47,$B$3:$B$47)</f>
        <v>0</v>
      </c>
      <c r="EG49" s="140">
        <f>+SUMPRODUCT(EG3:EG47,$B$3:$B$47)</f>
        <v>0</v>
      </c>
      <c r="EH49" s="140">
        <f>+SUMPRODUCT(EH3:EH47,$B$3:$B$47)</f>
        <v>142</v>
      </c>
      <c r="EI49" s="141">
        <f>+SUMPRODUCT(EI3:EI47,$B$3:$B$47)</f>
        <v>46</v>
      </c>
      <c r="EJ49" s="132">
        <f>+SUMPRODUCT(EJ3:EJ47,$B$3:$B$47)</f>
        <v>523</v>
      </c>
      <c r="EK49" s="140">
        <f>+SUMPRODUCT(EK3:EK47,$B$3:$B$47)</f>
        <v>0</v>
      </c>
      <c r="EL49" s="140">
        <f>+SUMPRODUCT(EL3:EL47,$B$3:$B$47)</f>
        <v>0</v>
      </c>
      <c r="EM49" s="141">
        <f>+SUMPRODUCT(EM3:EM47,$B$3:$B$47)</f>
        <v>0</v>
      </c>
      <c r="EN49" s="140">
        <f>+SUMPRODUCT(EN3:EN47,$B$3:$B$47)</f>
        <v>0</v>
      </c>
      <c r="EO49" s="140">
        <f>+SUMPRODUCT(EO3:EO47,$B$3:$B$47)</f>
        <v>0</v>
      </c>
      <c r="EP49" s="141">
        <f>+SUMPRODUCT(EP3:EP47,$B$3:$B$47)</f>
        <v>0</v>
      </c>
      <c r="EQ49" s="140">
        <f>+SUMPRODUCT(EQ3:EQ47,$B$3:$B$47)</f>
        <v>0</v>
      </c>
      <c r="ER49" s="140">
        <f>+SUMPRODUCT(ER3:ER47,$B$3:$B$47)</f>
        <v>0</v>
      </c>
      <c r="ES49" s="141">
        <f>+SUMPRODUCT(ES3:ES47,$B$3:$B$47)</f>
        <v>0</v>
      </c>
      <c r="ET49" s="140">
        <f>+SUMPRODUCT(ET3:ET47,$B$3:$B$47)</f>
        <v>0</v>
      </c>
      <c r="EU49" s="140">
        <f>+SUMPRODUCT(EU3:EU47,$B$3:$B$47)</f>
        <v>0</v>
      </c>
      <c r="EV49" s="141">
        <f>+SUMPRODUCT(EV3:EV47,$B$3:$B$47)</f>
        <v>0</v>
      </c>
      <c r="EW49" s="132">
        <f>+SUMPRODUCT(EW3:EW47,$B$3:$B$47)</f>
        <v>0</v>
      </c>
    </row>
  </sheetData>
  <mergeCells count="30">
    <mergeCell ref="D1:P1"/>
    <mergeCell ref="AJ48:AJ49"/>
    <mergeCell ref="AK48:AK49"/>
    <mergeCell ref="DX1:EJ1"/>
    <mergeCell ref="AH1:AT1"/>
    <mergeCell ref="Q1:AG1"/>
    <mergeCell ref="AU1:BG1"/>
    <mergeCell ref="AR48:AR49"/>
    <mergeCell ref="AS48:AS49"/>
    <mergeCell ref="AL48:AL49"/>
    <mergeCell ref="AM48:AM49"/>
    <mergeCell ref="AN48:AN49"/>
    <mergeCell ref="AO48:AO49"/>
    <mergeCell ref="AP48:AP49"/>
    <mergeCell ref="EK1:EW1"/>
    <mergeCell ref="DL48:DW49"/>
    <mergeCell ref="A1:C1"/>
    <mergeCell ref="A48:B48"/>
    <mergeCell ref="A49:B49"/>
    <mergeCell ref="AT48:AT49"/>
    <mergeCell ref="BX48:BX49"/>
    <mergeCell ref="BH1:BX1"/>
    <mergeCell ref="BI48:BI49"/>
    <mergeCell ref="BY1:CK1"/>
    <mergeCell ref="CL1:CX1"/>
    <mergeCell ref="CY1:DK1"/>
    <mergeCell ref="DL1:DW1"/>
    <mergeCell ref="AH48:AH49"/>
    <mergeCell ref="AI48:AI49"/>
    <mergeCell ref="AQ48:AQ49"/>
  </mergeCells>
  <pageMargins left="0.7" right="0.7" top="0.75" bottom="0.75" header="0.3" footer="0.3"/>
  <pageSetup paperSize="9" scale="30" orientation="landscape" r:id="rId1"/>
  <ignoredErrors>
    <ignoredError sqref="T48:AE49 AU48:BF49 BJ48:BV49 BY48:CJ49 CY48:DJ49 CL48:CW49 AH48:AS49 DX49:EV49 D48:O49 DX48:EI48 EK48:EV48 P41:P47 P3:P30 P32:P36 P38:P3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282B-B281-4764-AAC7-813659D27CA9}">
  <sheetPr>
    <tabColor theme="9" tint="0.79998168889431442"/>
  </sheetPr>
  <dimension ref="A1:EW49"/>
  <sheetViews>
    <sheetView showGridLines="0" zoomScale="85" zoomScaleNormal="85" workbookViewId="0">
      <pane xSplit="3" ySplit="2" topLeftCell="DO24" activePane="bottomRight" state="frozen"/>
      <selection activeCell="DI15" sqref="DI15"/>
      <selection pane="topRight" activeCell="DI15" sqref="DI15"/>
      <selection pane="bottomLeft" activeCell="DI15" sqref="DI15"/>
      <selection pane="bottomRight" activeCell="DT36" sqref="A1:XFD1048576"/>
    </sheetView>
  </sheetViews>
  <sheetFormatPr defaultRowHeight="20.100000000000001" customHeight="1" x14ac:dyDescent="0.25"/>
  <cols>
    <col min="1" max="1" width="22" style="30" bestFit="1" customWidth="1"/>
    <col min="2" max="2" width="7.140625" style="30" bestFit="1" customWidth="1"/>
    <col min="3" max="3" width="9.28515625" style="30" bestFit="1" customWidth="1"/>
    <col min="4" max="4" width="7" style="30" bestFit="1" customWidth="1"/>
    <col min="5" max="6" width="7.42578125" style="30" bestFit="1" customWidth="1"/>
    <col min="7" max="7" width="7.140625" style="30" bestFit="1" customWidth="1"/>
    <col min="8" max="8" width="7.5703125" style="30" bestFit="1" customWidth="1"/>
    <col min="9" max="9" width="7.140625" style="30" bestFit="1" customWidth="1"/>
    <col min="10" max="10" width="6.5703125" style="30" bestFit="1" customWidth="1"/>
    <col min="11" max="12" width="7.42578125" style="30" bestFit="1" customWidth="1"/>
    <col min="13" max="13" width="7.140625" style="30" bestFit="1" customWidth="1"/>
    <col min="14" max="15" width="7.5703125" style="30" bestFit="1" customWidth="1"/>
    <col min="16" max="16" width="5.5703125" style="30" bestFit="1" customWidth="1"/>
    <col min="17" max="17" width="22.140625" style="30" bestFit="1" customWidth="1"/>
    <col min="18" max="18" width="20.140625" style="30" bestFit="1" customWidth="1"/>
    <col min="19" max="19" width="15.5703125" style="30" bestFit="1" customWidth="1"/>
    <col min="20" max="20" width="7" style="30" bestFit="1" customWidth="1"/>
    <col min="21" max="22" width="7.42578125" style="30" bestFit="1" customWidth="1"/>
    <col min="23" max="23" width="7.140625" style="30" bestFit="1" customWidth="1"/>
    <col min="24" max="24" width="7.5703125" style="30" bestFit="1" customWidth="1"/>
    <col min="25" max="25" width="7.140625" style="30" bestFit="1" customWidth="1"/>
    <col min="26" max="26" width="6.5703125" style="30" bestFit="1" customWidth="1"/>
    <col min="27" max="28" width="7.42578125" style="30" bestFit="1" customWidth="1"/>
    <col min="29" max="29" width="7.140625" style="30" bestFit="1" customWidth="1"/>
    <col min="30" max="31" width="7.5703125" style="30" bestFit="1" customWidth="1"/>
    <col min="32" max="32" width="10.85546875" style="30" bestFit="1" customWidth="1"/>
    <col min="33" max="33" width="19.140625" style="30" bestFit="1" customWidth="1"/>
    <col min="34" max="46" width="8" style="30" bestFit="1" customWidth="1"/>
    <col min="47" max="48" width="9.5703125" style="30" bestFit="1" customWidth="1"/>
    <col min="49" max="49" width="10.5703125" style="30" bestFit="1" customWidth="1"/>
    <col min="50" max="52" width="9.5703125" style="30" bestFit="1" customWidth="1"/>
    <col min="53" max="57" width="10.5703125" style="30" bestFit="1" customWidth="1"/>
    <col min="58" max="58" width="9.5703125" style="30" bestFit="1" customWidth="1"/>
    <col min="59" max="59" width="11.5703125" style="30" bestFit="1" customWidth="1"/>
    <col min="60" max="60" width="13.85546875" style="30" bestFit="1" customWidth="1"/>
    <col min="61" max="61" width="10.42578125" style="30" bestFit="1" customWidth="1"/>
    <col min="62" max="62" width="7" style="30" bestFit="1" customWidth="1"/>
    <col min="63" max="64" width="7.42578125" style="30" bestFit="1" customWidth="1"/>
    <col min="65" max="65" width="7.140625" style="30" bestFit="1" customWidth="1"/>
    <col min="66" max="66" width="8" style="30" bestFit="1" customWidth="1"/>
    <col min="67" max="67" width="7.140625" style="30" bestFit="1" customWidth="1"/>
    <col min="68" max="68" width="7" style="30" bestFit="1" customWidth="1"/>
    <col min="69" max="70" width="7.42578125" style="30" bestFit="1" customWidth="1"/>
    <col min="71" max="71" width="7.140625" style="30" bestFit="1" customWidth="1"/>
    <col min="72" max="73" width="7.5703125" style="30" bestFit="1" customWidth="1"/>
    <col min="74" max="74" width="8" style="30" bestFit="1" customWidth="1"/>
    <col min="75" max="75" width="13.42578125" style="30" bestFit="1" customWidth="1"/>
    <col min="76" max="76" width="11.5703125" style="30" bestFit="1" customWidth="1"/>
    <col min="77" max="77" width="7" style="30" bestFit="1" customWidth="1"/>
    <col min="78" max="79" width="7.42578125" style="30" bestFit="1" customWidth="1"/>
    <col min="80" max="80" width="7.140625" style="30" bestFit="1" customWidth="1"/>
    <col min="81" max="81" width="7.5703125" style="30" bestFit="1" customWidth="1"/>
    <col min="82" max="82" width="7.140625" style="30" bestFit="1" customWidth="1"/>
    <col min="83" max="83" width="6.5703125" style="30" bestFit="1" customWidth="1"/>
    <col min="84" max="85" width="7.42578125" style="30" bestFit="1" customWidth="1"/>
    <col min="86" max="86" width="7.140625" style="30" bestFit="1" customWidth="1"/>
    <col min="87" max="88" width="7.5703125" style="30" bestFit="1" customWidth="1"/>
    <col min="89" max="89" width="5.5703125" style="30" bestFit="1" customWidth="1"/>
    <col min="90" max="90" width="7" style="30" bestFit="1" customWidth="1"/>
    <col min="91" max="92" width="7.42578125" style="30" bestFit="1" customWidth="1"/>
    <col min="93" max="93" width="7.140625" style="30" bestFit="1" customWidth="1"/>
    <col min="94" max="94" width="7.5703125" style="30" bestFit="1" customWidth="1"/>
    <col min="95" max="95" width="7.140625" style="30" bestFit="1" customWidth="1"/>
    <col min="96" max="96" width="6.5703125" style="30" bestFit="1" customWidth="1"/>
    <col min="97" max="98" width="7.42578125" style="30" bestFit="1" customWidth="1"/>
    <col min="99" max="99" width="7.140625" style="30" bestFit="1" customWidth="1"/>
    <col min="100" max="101" width="7.5703125" style="30" bestFit="1" customWidth="1"/>
    <col min="102" max="102" width="5.5703125" style="30" bestFit="1" customWidth="1"/>
    <col min="103" max="103" width="7" style="30" bestFit="1" customWidth="1"/>
    <col min="104" max="105" width="7.42578125" style="30" bestFit="1" customWidth="1"/>
    <col min="106" max="106" width="7.140625" style="30" bestFit="1" customWidth="1"/>
    <col min="107" max="107" width="7.5703125" style="30" bestFit="1" customWidth="1"/>
    <col min="108" max="108" width="7.140625" style="30" bestFit="1" customWidth="1"/>
    <col min="109" max="109" width="6.5703125" style="30" bestFit="1" customWidth="1"/>
    <col min="110" max="111" width="7.42578125" style="30" bestFit="1" customWidth="1"/>
    <col min="112" max="112" width="7.140625" style="30" bestFit="1" customWidth="1"/>
    <col min="113" max="114" width="7.5703125" style="30" bestFit="1" customWidth="1"/>
    <col min="115" max="115" width="5.5703125" style="30" bestFit="1" customWidth="1"/>
    <col min="116" max="116" width="6.85546875" style="30" bestFit="1" customWidth="1"/>
    <col min="117" max="118" width="7.28515625" style="30" bestFit="1" customWidth="1"/>
    <col min="119" max="119" width="7" style="30" bestFit="1" customWidth="1"/>
    <col min="120" max="120" width="7.42578125" style="30" bestFit="1" customWidth="1"/>
    <col min="121" max="121" width="7" style="30" bestFit="1" customWidth="1"/>
    <col min="122" max="122" width="6.42578125" style="30" bestFit="1" customWidth="1"/>
    <col min="123" max="124" width="7.28515625" style="30" bestFit="1" customWidth="1"/>
    <col min="125" max="125" width="7" style="30" bestFit="1" customWidth="1"/>
    <col min="126" max="127" width="7.42578125" style="30" bestFit="1" customWidth="1"/>
    <col min="128" max="128" width="6.85546875" style="30" bestFit="1" customWidth="1"/>
    <col min="129" max="130" width="7.28515625" style="30" bestFit="1" customWidth="1"/>
    <col min="131" max="131" width="7" style="30" bestFit="1" customWidth="1"/>
    <col min="132" max="132" width="7.42578125" style="30" bestFit="1" customWidth="1"/>
    <col min="133" max="133" width="7" style="30" bestFit="1" customWidth="1"/>
    <col min="134" max="134" width="6.42578125" style="30" bestFit="1" customWidth="1"/>
    <col min="135" max="136" width="7.28515625" style="30" bestFit="1" customWidth="1"/>
    <col min="137" max="137" width="7" style="30" bestFit="1" customWidth="1"/>
    <col min="138" max="139" width="7.42578125" style="30" bestFit="1" customWidth="1"/>
    <col min="140" max="140" width="5.42578125" style="30" bestFit="1" customWidth="1"/>
    <col min="141" max="16384" width="9.140625" style="30"/>
  </cols>
  <sheetData>
    <row r="1" spans="1:153" ht="20.100000000000001" customHeight="1" x14ac:dyDescent="0.25">
      <c r="A1" s="169" t="s">
        <v>17</v>
      </c>
      <c r="B1" s="170"/>
      <c r="C1" s="171"/>
      <c r="D1" s="188" t="s">
        <v>2</v>
      </c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90"/>
      <c r="Q1" s="198" t="s">
        <v>13</v>
      </c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210"/>
      <c r="AH1" s="195" t="s">
        <v>14</v>
      </c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211" t="s">
        <v>15</v>
      </c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1"/>
      <c r="BH1" s="178" t="s">
        <v>3</v>
      </c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80"/>
      <c r="BY1" s="183" t="s">
        <v>4</v>
      </c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2"/>
      <c r="CL1" s="169" t="s">
        <v>5</v>
      </c>
      <c r="CM1" s="170"/>
      <c r="CN1" s="170"/>
      <c r="CO1" s="170"/>
      <c r="CP1" s="170"/>
      <c r="CQ1" s="170"/>
      <c r="CR1" s="170"/>
      <c r="CS1" s="170"/>
      <c r="CT1" s="170"/>
      <c r="CU1" s="170"/>
      <c r="CV1" s="170"/>
      <c r="CW1" s="170"/>
      <c r="CX1" s="171"/>
      <c r="CY1" s="183" t="s">
        <v>6</v>
      </c>
      <c r="CZ1" s="161"/>
      <c r="DA1" s="161"/>
      <c r="DB1" s="161"/>
      <c r="DC1" s="161"/>
      <c r="DD1" s="161"/>
      <c r="DE1" s="161"/>
      <c r="DF1" s="161"/>
      <c r="DG1" s="161"/>
      <c r="DH1" s="161"/>
      <c r="DI1" s="161"/>
      <c r="DJ1" s="161"/>
      <c r="DK1" s="162"/>
      <c r="DL1" s="169" t="s">
        <v>7</v>
      </c>
      <c r="DM1" s="170"/>
      <c r="DN1" s="170"/>
      <c r="DO1" s="170"/>
      <c r="DP1" s="170"/>
      <c r="DQ1" s="170"/>
      <c r="DR1" s="170"/>
      <c r="DS1" s="170"/>
      <c r="DT1" s="170"/>
      <c r="DU1" s="170"/>
      <c r="DV1" s="170"/>
      <c r="DW1" s="171"/>
      <c r="DX1" s="161" t="s">
        <v>8</v>
      </c>
      <c r="DY1" s="161"/>
      <c r="DZ1" s="161"/>
      <c r="EA1" s="161"/>
      <c r="EB1" s="161"/>
      <c r="EC1" s="161"/>
      <c r="ED1" s="161"/>
      <c r="EE1" s="161"/>
      <c r="EF1" s="161"/>
      <c r="EG1" s="161"/>
      <c r="EH1" s="161"/>
      <c r="EI1" s="161"/>
      <c r="EJ1" s="162"/>
      <c r="EK1" s="161" t="s">
        <v>67</v>
      </c>
      <c r="EL1" s="161"/>
      <c r="EM1" s="161"/>
      <c r="EN1" s="161"/>
      <c r="EO1" s="161"/>
      <c r="EP1" s="161"/>
      <c r="EQ1" s="161"/>
      <c r="ER1" s="161"/>
      <c r="ES1" s="161"/>
      <c r="ET1" s="161"/>
      <c r="EU1" s="161"/>
      <c r="EV1" s="161"/>
      <c r="EW1" s="162"/>
    </row>
    <row r="2" spans="1:153" ht="20.100000000000001" customHeight="1" thickBot="1" x14ac:dyDescent="0.3">
      <c r="A2" s="86" t="s">
        <v>0</v>
      </c>
      <c r="B2" s="87" t="s">
        <v>22</v>
      </c>
      <c r="C2" s="88" t="s">
        <v>1</v>
      </c>
      <c r="D2" s="95">
        <v>46023</v>
      </c>
      <c r="E2" s="96">
        <v>46054</v>
      </c>
      <c r="F2" s="97">
        <v>46082</v>
      </c>
      <c r="G2" s="96">
        <v>46113</v>
      </c>
      <c r="H2" s="96">
        <v>46143</v>
      </c>
      <c r="I2" s="97">
        <v>46174</v>
      </c>
      <c r="J2" s="96">
        <v>46204</v>
      </c>
      <c r="K2" s="96">
        <v>46235</v>
      </c>
      <c r="L2" s="97">
        <v>46266</v>
      </c>
      <c r="M2" s="96">
        <v>46296</v>
      </c>
      <c r="N2" s="96">
        <v>46327</v>
      </c>
      <c r="O2" s="97">
        <v>46357</v>
      </c>
      <c r="P2" s="98" t="s">
        <v>12</v>
      </c>
      <c r="Q2" s="89" t="s">
        <v>107</v>
      </c>
      <c r="R2" s="90" t="s">
        <v>9</v>
      </c>
      <c r="S2" s="91" t="s">
        <v>10</v>
      </c>
      <c r="T2" s="92">
        <v>46023</v>
      </c>
      <c r="U2" s="92">
        <v>46054</v>
      </c>
      <c r="V2" s="93">
        <v>46082</v>
      </c>
      <c r="W2" s="92">
        <v>46113</v>
      </c>
      <c r="X2" s="92">
        <v>46143</v>
      </c>
      <c r="Y2" s="93">
        <v>46174</v>
      </c>
      <c r="Z2" s="92">
        <v>46204</v>
      </c>
      <c r="AA2" s="92">
        <v>46235</v>
      </c>
      <c r="AB2" s="93">
        <v>46266</v>
      </c>
      <c r="AC2" s="92">
        <v>46296</v>
      </c>
      <c r="AD2" s="92">
        <v>46327</v>
      </c>
      <c r="AE2" s="93">
        <v>46357</v>
      </c>
      <c r="AF2" s="94" t="s">
        <v>11</v>
      </c>
      <c r="AG2" s="145" t="s">
        <v>108</v>
      </c>
      <c r="AH2" s="99">
        <v>46023</v>
      </c>
      <c r="AI2" s="100">
        <v>46054</v>
      </c>
      <c r="AJ2" s="101">
        <v>46082</v>
      </c>
      <c r="AK2" s="100">
        <v>46113</v>
      </c>
      <c r="AL2" s="100">
        <v>46143</v>
      </c>
      <c r="AM2" s="101">
        <v>46174</v>
      </c>
      <c r="AN2" s="100">
        <v>46204</v>
      </c>
      <c r="AO2" s="100">
        <v>46235</v>
      </c>
      <c r="AP2" s="101">
        <v>46266</v>
      </c>
      <c r="AQ2" s="100">
        <v>46296</v>
      </c>
      <c r="AR2" s="100">
        <v>46327</v>
      </c>
      <c r="AS2" s="101">
        <v>46357</v>
      </c>
      <c r="AT2" s="100" t="s">
        <v>16</v>
      </c>
      <c r="AU2" s="146">
        <v>46023</v>
      </c>
      <c r="AV2" s="103">
        <v>46054</v>
      </c>
      <c r="AW2" s="104">
        <v>46082</v>
      </c>
      <c r="AX2" s="103">
        <v>46113</v>
      </c>
      <c r="AY2" s="103">
        <v>46143</v>
      </c>
      <c r="AZ2" s="104">
        <v>46174</v>
      </c>
      <c r="BA2" s="103">
        <v>46204</v>
      </c>
      <c r="BB2" s="103">
        <v>46235</v>
      </c>
      <c r="BC2" s="104">
        <v>46266</v>
      </c>
      <c r="BD2" s="103">
        <v>46296</v>
      </c>
      <c r="BE2" s="103">
        <v>46327</v>
      </c>
      <c r="BF2" s="104">
        <v>46357</v>
      </c>
      <c r="BG2" s="105" t="s">
        <v>12</v>
      </c>
      <c r="BH2" s="106" t="s">
        <v>25</v>
      </c>
      <c r="BI2" s="107" t="s">
        <v>26</v>
      </c>
      <c r="BJ2" s="108">
        <v>46023</v>
      </c>
      <c r="BK2" s="109">
        <v>46054</v>
      </c>
      <c r="BL2" s="110">
        <v>46082</v>
      </c>
      <c r="BM2" s="109">
        <v>46113</v>
      </c>
      <c r="BN2" s="109">
        <v>46143</v>
      </c>
      <c r="BO2" s="110">
        <v>46174</v>
      </c>
      <c r="BP2" s="109">
        <v>46204</v>
      </c>
      <c r="BQ2" s="109">
        <v>46235</v>
      </c>
      <c r="BR2" s="110">
        <v>46266</v>
      </c>
      <c r="BS2" s="109">
        <v>46296</v>
      </c>
      <c r="BT2" s="109">
        <v>46327</v>
      </c>
      <c r="BU2" s="110">
        <v>46357</v>
      </c>
      <c r="BV2" s="111" t="s">
        <v>12</v>
      </c>
      <c r="BW2" s="112" t="s">
        <v>24</v>
      </c>
      <c r="BX2" s="113" t="s">
        <v>26</v>
      </c>
      <c r="BY2" s="114">
        <v>46023</v>
      </c>
      <c r="BZ2" s="115">
        <v>46054</v>
      </c>
      <c r="CA2" s="116">
        <v>46082</v>
      </c>
      <c r="CB2" s="115">
        <v>46113</v>
      </c>
      <c r="CC2" s="115">
        <v>46143</v>
      </c>
      <c r="CD2" s="116">
        <v>46174</v>
      </c>
      <c r="CE2" s="115">
        <v>46204</v>
      </c>
      <c r="CF2" s="115">
        <v>46235</v>
      </c>
      <c r="CG2" s="116">
        <v>46266</v>
      </c>
      <c r="CH2" s="115">
        <v>46296</v>
      </c>
      <c r="CI2" s="115">
        <v>46327</v>
      </c>
      <c r="CJ2" s="116">
        <v>46357</v>
      </c>
      <c r="CK2" s="117" t="s">
        <v>12</v>
      </c>
      <c r="CL2" s="95">
        <v>46023</v>
      </c>
      <c r="CM2" s="96">
        <v>46054</v>
      </c>
      <c r="CN2" s="97">
        <v>46082</v>
      </c>
      <c r="CO2" s="96">
        <v>46113</v>
      </c>
      <c r="CP2" s="96">
        <v>46143</v>
      </c>
      <c r="CQ2" s="97">
        <v>46174</v>
      </c>
      <c r="CR2" s="96">
        <v>46204</v>
      </c>
      <c r="CS2" s="96">
        <v>46235</v>
      </c>
      <c r="CT2" s="97">
        <v>46266</v>
      </c>
      <c r="CU2" s="96">
        <v>46296</v>
      </c>
      <c r="CV2" s="96">
        <v>46327</v>
      </c>
      <c r="CW2" s="97">
        <v>46357</v>
      </c>
      <c r="CX2" s="98" t="s">
        <v>12</v>
      </c>
      <c r="CY2" s="114">
        <v>46023</v>
      </c>
      <c r="CZ2" s="115">
        <v>46054</v>
      </c>
      <c r="DA2" s="116">
        <v>46082</v>
      </c>
      <c r="DB2" s="115">
        <v>46113</v>
      </c>
      <c r="DC2" s="115">
        <v>46143</v>
      </c>
      <c r="DD2" s="116">
        <v>46174</v>
      </c>
      <c r="DE2" s="115">
        <v>46204</v>
      </c>
      <c r="DF2" s="115">
        <v>46235</v>
      </c>
      <c r="DG2" s="116">
        <v>46266</v>
      </c>
      <c r="DH2" s="115">
        <v>46296</v>
      </c>
      <c r="DI2" s="115">
        <v>46327</v>
      </c>
      <c r="DJ2" s="116">
        <v>46357</v>
      </c>
      <c r="DK2" s="117" t="s">
        <v>12</v>
      </c>
      <c r="DL2" s="95">
        <v>46023</v>
      </c>
      <c r="DM2" s="96">
        <v>46054</v>
      </c>
      <c r="DN2" s="97">
        <v>46082</v>
      </c>
      <c r="DO2" s="96">
        <v>46113</v>
      </c>
      <c r="DP2" s="96">
        <v>46143</v>
      </c>
      <c r="DQ2" s="97">
        <v>46174</v>
      </c>
      <c r="DR2" s="96">
        <v>46204</v>
      </c>
      <c r="DS2" s="96">
        <v>46235</v>
      </c>
      <c r="DT2" s="97">
        <v>46266</v>
      </c>
      <c r="DU2" s="96">
        <v>46296</v>
      </c>
      <c r="DV2" s="96">
        <v>46327</v>
      </c>
      <c r="DW2" s="98">
        <v>46357</v>
      </c>
      <c r="DX2" s="115">
        <v>46023</v>
      </c>
      <c r="DY2" s="115">
        <v>46054</v>
      </c>
      <c r="DZ2" s="116">
        <v>46082</v>
      </c>
      <c r="EA2" s="115">
        <v>46113</v>
      </c>
      <c r="EB2" s="115">
        <v>46143</v>
      </c>
      <c r="EC2" s="116">
        <v>46174</v>
      </c>
      <c r="ED2" s="115">
        <v>46204</v>
      </c>
      <c r="EE2" s="115">
        <v>46235</v>
      </c>
      <c r="EF2" s="116">
        <v>46266</v>
      </c>
      <c r="EG2" s="115">
        <v>46296</v>
      </c>
      <c r="EH2" s="115">
        <v>46327</v>
      </c>
      <c r="EI2" s="116">
        <v>46357</v>
      </c>
      <c r="EJ2" s="117" t="s">
        <v>12</v>
      </c>
      <c r="EK2" s="115">
        <v>46023</v>
      </c>
      <c r="EL2" s="115">
        <v>46054</v>
      </c>
      <c r="EM2" s="116">
        <v>46082</v>
      </c>
      <c r="EN2" s="115">
        <v>46113</v>
      </c>
      <c r="EO2" s="115">
        <v>46143</v>
      </c>
      <c r="EP2" s="116">
        <v>46174</v>
      </c>
      <c r="EQ2" s="115">
        <v>46204</v>
      </c>
      <c r="ER2" s="115">
        <v>46235</v>
      </c>
      <c r="ES2" s="116">
        <v>46266</v>
      </c>
      <c r="ET2" s="115">
        <v>46296</v>
      </c>
      <c r="EU2" s="115">
        <v>46327</v>
      </c>
      <c r="EV2" s="116">
        <v>46357</v>
      </c>
      <c r="EW2" s="117" t="s">
        <v>12</v>
      </c>
    </row>
    <row r="3" spans="1:153" ht="20.100000000000001" customHeight="1" x14ac:dyDescent="0.25">
      <c r="A3" s="35" t="s">
        <v>18</v>
      </c>
      <c r="B3" s="36">
        <v>1</v>
      </c>
      <c r="C3" s="37">
        <v>30</v>
      </c>
      <c r="D3" s="42"/>
      <c r="E3" s="43"/>
      <c r="F3" s="44"/>
      <c r="G3" s="43"/>
      <c r="H3" s="43"/>
      <c r="I3" s="44"/>
      <c r="J3" s="43"/>
      <c r="K3" s="43"/>
      <c r="L3" s="44"/>
      <c r="M3" s="43"/>
      <c r="N3" s="43"/>
      <c r="O3" s="44"/>
      <c r="P3" s="45">
        <f>+SUM(D3:O3)</f>
        <v>0</v>
      </c>
      <c r="Q3" s="42"/>
      <c r="R3" s="43"/>
      <c r="S3" s="46"/>
      <c r="T3" s="47"/>
      <c r="U3" s="43"/>
      <c r="V3" s="44"/>
      <c r="W3" s="43"/>
      <c r="X3" s="43"/>
      <c r="Y3" s="44"/>
      <c r="Z3" s="43"/>
      <c r="AA3" s="43"/>
      <c r="AB3" s="44"/>
      <c r="AC3" s="43"/>
      <c r="AD3" s="43"/>
      <c r="AE3" s="44"/>
      <c r="AF3" s="46">
        <f>+SUM(T3:AE3)</f>
        <v>0</v>
      </c>
      <c r="AG3" s="45">
        <f>+S3-AF3</f>
        <v>0</v>
      </c>
      <c r="AH3" s="42"/>
      <c r="AI3" s="43"/>
      <c r="AJ3" s="44"/>
      <c r="AK3" s="43"/>
      <c r="AL3" s="43"/>
      <c r="AM3" s="44"/>
      <c r="AN3" s="43"/>
      <c r="AO3" s="43"/>
      <c r="AP3" s="44"/>
      <c r="AQ3" s="43"/>
      <c r="AR3" s="43"/>
      <c r="AS3" s="44"/>
      <c r="AT3" s="43">
        <f>IFERROR(AVERAGE(AH3:AS3),0)</f>
        <v>0</v>
      </c>
      <c r="AU3" s="42"/>
      <c r="AV3" s="43"/>
      <c r="AW3" s="44"/>
      <c r="AX3" s="43"/>
      <c r="AY3" s="43"/>
      <c r="AZ3" s="44"/>
      <c r="BA3" s="43"/>
      <c r="BB3" s="43"/>
      <c r="BC3" s="44"/>
      <c r="BD3" s="43"/>
      <c r="BE3" s="43"/>
      <c r="BF3" s="44"/>
      <c r="BG3" s="45">
        <f>+SUM(AU3:BF3)</f>
        <v>0</v>
      </c>
      <c r="BH3" s="42"/>
      <c r="BI3" s="46">
        <f>+IFERROR(BH3/C3,0)</f>
        <v>0</v>
      </c>
      <c r="BJ3" s="47"/>
      <c r="BK3" s="43"/>
      <c r="BL3" s="44"/>
      <c r="BM3" s="43"/>
      <c r="BN3" s="43"/>
      <c r="BO3" s="44"/>
      <c r="BP3" s="43"/>
      <c r="BQ3" s="43"/>
      <c r="BR3" s="44"/>
      <c r="BS3" s="43"/>
      <c r="BT3" s="43"/>
      <c r="BU3" s="44"/>
      <c r="BV3" s="46">
        <f>+SUM(BJ3:BU3)</f>
        <v>0</v>
      </c>
      <c r="BW3" s="43">
        <f>+BH3-BV3</f>
        <v>0</v>
      </c>
      <c r="BX3" s="45">
        <f>+IFERROR(BV3/C3,0)</f>
        <v>0</v>
      </c>
      <c r="BY3" s="42"/>
      <c r="BZ3" s="43"/>
      <c r="CA3" s="44"/>
      <c r="CB3" s="43"/>
      <c r="CC3" s="43"/>
      <c r="CD3" s="44"/>
      <c r="CE3" s="43"/>
      <c r="CF3" s="43"/>
      <c r="CG3" s="44"/>
      <c r="CH3" s="43"/>
      <c r="CI3" s="43"/>
      <c r="CJ3" s="44"/>
      <c r="CK3" s="45">
        <f>+SUM(BY3:CJ3)</f>
        <v>0</v>
      </c>
      <c r="CL3" s="42"/>
      <c r="CM3" s="43"/>
      <c r="CN3" s="44"/>
      <c r="CO3" s="43"/>
      <c r="CP3" s="43"/>
      <c r="CQ3" s="44"/>
      <c r="CR3" s="43"/>
      <c r="CS3" s="43"/>
      <c r="CT3" s="44"/>
      <c r="CU3" s="43"/>
      <c r="CV3" s="43"/>
      <c r="CW3" s="44"/>
      <c r="CX3" s="45">
        <f>+SUM(CL3:CW3)</f>
        <v>0</v>
      </c>
      <c r="CY3" s="42"/>
      <c r="CZ3" s="43"/>
      <c r="DA3" s="44"/>
      <c r="DB3" s="43"/>
      <c r="DC3" s="43"/>
      <c r="DD3" s="44"/>
      <c r="DE3" s="43"/>
      <c r="DF3" s="43"/>
      <c r="DG3" s="44"/>
      <c r="DH3" s="43"/>
      <c r="DI3" s="43"/>
      <c r="DJ3" s="44"/>
      <c r="DK3" s="45">
        <f>+SUM(CY3:DJ3)</f>
        <v>0</v>
      </c>
      <c r="DL3" s="48"/>
      <c r="DM3" s="36"/>
      <c r="DN3" s="49"/>
      <c r="DO3" s="36"/>
      <c r="DP3" s="36"/>
      <c r="DQ3" s="49"/>
      <c r="DR3" s="36"/>
      <c r="DS3" s="36"/>
      <c r="DT3" s="49"/>
      <c r="DU3" s="36"/>
      <c r="DV3" s="36"/>
      <c r="DW3" s="50"/>
      <c r="DX3" s="43"/>
      <c r="DY3" s="43"/>
      <c r="DZ3" s="44"/>
      <c r="EA3" s="43"/>
      <c r="EB3" s="43"/>
      <c r="EC3" s="44"/>
      <c r="ED3" s="43"/>
      <c r="EE3" s="43"/>
      <c r="EF3" s="44"/>
      <c r="EG3" s="43"/>
      <c r="EH3" s="43"/>
      <c r="EI3" s="44"/>
      <c r="EJ3" s="45">
        <f>+SUM(DX3:EI3)</f>
        <v>0</v>
      </c>
      <c r="EK3" s="43"/>
      <c r="EL3" s="43"/>
      <c r="EM3" s="44"/>
      <c r="EN3" s="43"/>
      <c r="EO3" s="43"/>
      <c r="EP3" s="44"/>
      <c r="EQ3" s="43"/>
      <c r="ER3" s="43"/>
      <c r="ES3" s="44"/>
      <c r="ET3" s="43"/>
      <c r="EU3" s="43"/>
      <c r="EV3" s="44"/>
      <c r="EW3" s="45">
        <f t="shared" ref="EW3" si="0">+SUM(EK3:EV3)</f>
        <v>0</v>
      </c>
    </row>
    <row r="4" spans="1:153" ht="20.100000000000001" customHeight="1" x14ac:dyDescent="0.25">
      <c r="A4" s="70" t="s">
        <v>68</v>
      </c>
      <c r="B4" s="71">
        <v>1</v>
      </c>
      <c r="C4" s="72">
        <v>25</v>
      </c>
      <c r="D4" s="77"/>
      <c r="E4" s="78"/>
      <c r="F4" s="79"/>
      <c r="G4" s="78"/>
      <c r="H4" s="78"/>
      <c r="I4" s="79"/>
      <c r="J4" s="78"/>
      <c r="K4" s="78"/>
      <c r="L4" s="79"/>
      <c r="M4" s="78"/>
      <c r="N4" s="78"/>
      <c r="O4" s="79"/>
      <c r="P4" s="80">
        <f t="shared" ref="P4:P47" si="1">+SUM(D4:O4)</f>
        <v>0</v>
      </c>
      <c r="Q4" s="77"/>
      <c r="R4" s="78"/>
      <c r="S4" s="81"/>
      <c r="T4" s="82"/>
      <c r="U4" s="78"/>
      <c r="V4" s="79"/>
      <c r="W4" s="78"/>
      <c r="X4" s="78"/>
      <c r="Y4" s="79"/>
      <c r="Z4" s="78"/>
      <c r="AA4" s="78"/>
      <c r="AB4" s="79"/>
      <c r="AC4" s="78"/>
      <c r="AD4" s="78"/>
      <c r="AE4" s="79"/>
      <c r="AF4" s="81">
        <f t="shared" ref="AF4:AF47" si="2">+SUM(T4:AE4)</f>
        <v>0</v>
      </c>
      <c r="AG4" s="80">
        <f t="shared" ref="AG4:AG47" si="3">+S4-AF4</f>
        <v>0</v>
      </c>
      <c r="AH4" s="77"/>
      <c r="AI4" s="78"/>
      <c r="AJ4" s="79"/>
      <c r="AK4" s="78"/>
      <c r="AL4" s="78"/>
      <c r="AM4" s="79"/>
      <c r="AN4" s="78"/>
      <c r="AO4" s="78"/>
      <c r="AP4" s="79"/>
      <c r="AQ4" s="78"/>
      <c r="AR4" s="78"/>
      <c r="AS4" s="79"/>
      <c r="AT4" s="78">
        <f t="shared" ref="AT4:AT47" si="4">IFERROR(AVERAGE(AH4:AS4),0)</f>
        <v>0</v>
      </c>
      <c r="AU4" s="77"/>
      <c r="AV4" s="78"/>
      <c r="AW4" s="79"/>
      <c r="AX4" s="78"/>
      <c r="AY4" s="78"/>
      <c r="AZ4" s="79"/>
      <c r="BA4" s="78"/>
      <c r="BB4" s="78"/>
      <c r="BC4" s="79"/>
      <c r="BD4" s="78"/>
      <c r="BE4" s="78"/>
      <c r="BF4" s="79"/>
      <c r="BG4" s="80">
        <f t="shared" ref="BG4:BG47" si="5">+SUM(AU4:BF4)</f>
        <v>0</v>
      </c>
      <c r="BH4" s="77"/>
      <c r="BI4" s="81">
        <f t="shared" ref="BI4:BI47" si="6">+IFERROR(BH4/C4,0)</f>
        <v>0</v>
      </c>
      <c r="BJ4" s="82"/>
      <c r="BK4" s="78"/>
      <c r="BL4" s="79"/>
      <c r="BM4" s="78"/>
      <c r="BN4" s="78"/>
      <c r="BO4" s="79"/>
      <c r="BP4" s="78"/>
      <c r="BQ4" s="78"/>
      <c r="BR4" s="79"/>
      <c r="BS4" s="78"/>
      <c r="BT4" s="78"/>
      <c r="BU4" s="79"/>
      <c r="BV4" s="81">
        <f t="shared" ref="BV4:BV47" si="7">+SUM(BJ4:BU4)</f>
        <v>0</v>
      </c>
      <c r="BW4" s="78">
        <f t="shared" ref="BW4:BW47" si="8">+BH4-BV4</f>
        <v>0</v>
      </c>
      <c r="BX4" s="80">
        <f t="shared" ref="BX4:BX47" si="9">+IFERROR(BV4/C4,0)</f>
        <v>0</v>
      </c>
      <c r="BY4" s="77"/>
      <c r="BZ4" s="78"/>
      <c r="CA4" s="79"/>
      <c r="CB4" s="78"/>
      <c r="CC4" s="78"/>
      <c r="CD4" s="79"/>
      <c r="CE4" s="78"/>
      <c r="CF4" s="78"/>
      <c r="CG4" s="79"/>
      <c r="CH4" s="78"/>
      <c r="CI4" s="78"/>
      <c r="CJ4" s="79"/>
      <c r="CK4" s="80">
        <f t="shared" ref="CK4:CK47" si="10">+SUM(BY4:CJ4)</f>
        <v>0</v>
      </c>
      <c r="CL4" s="77"/>
      <c r="CM4" s="78"/>
      <c r="CN4" s="79"/>
      <c r="CO4" s="78"/>
      <c r="CP4" s="78"/>
      <c r="CQ4" s="79"/>
      <c r="CR4" s="78"/>
      <c r="CS4" s="78"/>
      <c r="CT4" s="79"/>
      <c r="CU4" s="78"/>
      <c r="CV4" s="78"/>
      <c r="CW4" s="79"/>
      <c r="CX4" s="80">
        <f t="shared" ref="CX4:CX47" si="11">+SUM(CL4:CW4)</f>
        <v>0</v>
      </c>
      <c r="CY4" s="77"/>
      <c r="CZ4" s="78"/>
      <c r="DA4" s="79"/>
      <c r="DB4" s="78"/>
      <c r="DC4" s="78"/>
      <c r="DD4" s="79"/>
      <c r="DE4" s="78"/>
      <c r="DF4" s="78"/>
      <c r="DG4" s="79"/>
      <c r="DH4" s="78"/>
      <c r="DI4" s="78"/>
      <c r="DJ4" s="79"/>
      <c r="DK4" s="80">
        <f t="shared" ref="DK4:DK47" si="12">+SUM(CY4:DJ4)</f>
        <v>0</v>
      </c>
      <c r="DL4" s="83"/>
      <c r="DM4" s="71"/>
      <c r="DN4" s="84"/>
      <c r="DO4" s="71"/>
      <c r="DP4" s="71"/>
      <c r="DQ4" s="84"/>
      <c r="DR4" s="71"/>
      <c r="DS4" s="71"/>
      <c r="DT4" s="84"/>
      <c r="DU4" s="71"/>
      <c r="DV4" s="71"/>
      <c r="DW4" s="85"/>
      <c r="DX4" s="78"/>
      <c r="DY4" s="78"/>
      <c r="DZ4" s="79"/>
      <c r="EA4" s="78"/>
      <c r="EB4" s="78"/>
      <c r="EC4" s="79"/>
      <c r="ED4" s="78"/>
      <c r="EE4" s="78"/>
      <c r="EF4" s="79"/>
      <c r="EG4" s="78"/>
      <c r="EH4" s="78"/>
      <c r="EI4" s="79"/>
      <c r="EJ4" s="80">
        <f t="shared" ref="EJ4:EJ47" si="13">+SUM(DX4:EI4)</f>
        <v>0</v>
      </c>
      <c r="EK4" s="78"/>
      <c r="EL4" s="78"/>
      <c r="EM4" s="79"/>
      <c r="EN4" s="78"/>
      <c r="EO4" s="78"/>
      <c r="EP4" s="79"/>
      <c r="EQ4" s="78"/>
      <c r="ER4" s="78"/>
      <c r="ES4" s="79"/>
      <c r="ET4" s="78"/>
      <c r="EU4" s="78"/>
      <c r="EV4" s="79"/>
      <c r="EW4" s="80">
        <f t="shared" ref="EW4:EW47" si="14">+SUM(EK4:EV4)</f>
        <v>0</v>
      </c>
    </row>
    <row r="5" spans="1:153" ht="20.100000000000001" customHeight="1" x14ac:dyDescent="0.25">
      <c r="A5" s="70" t="s">
        <v>69</v>
      </c>
      <c r="B5" s="71">
        <v>1</v>
      </c>
      <c r="C5" s="72">
        <v>31</v>
      </c>
      <c r="D5" s="77"/>
      <c r="E5" s="78"/>
      <c r="F5" s="79"/>
      <c r="G5" s="78"/>
      <c r="H5" s="78"/>
      <c r="I5" s="79"/>
      <c r="J5" s="78"/>
      <c r="K5" s="78"/>
      <c r="L5" s="79"/>
      <c r="M5" s="78"/>
      <c r="N5" s="78"/>
      <c r="O5" s="79"/>
      <c r="P5" s="80">
        <f t="shared" si="1"/>
        <v>0</v>
      </c>
      <c r="Q5" s="77"/>
      <c r="R5" s="78"/>
      <c r="S5" s="81"/>
      <c r="T5" s="82"/>
      <c r="U5" s="78"/>
      <c r="V5" s="79"/>
      <c r="W5" s="78"/>
      <c r="X5" s="78"/>
      <c r="Y5" s="79"/>
      <c r="Z5" s="78"/>
      <c r="AA5" s="78"/>
      <c r="AB5" s="79"/>
      <c r="AC5" s="78"/>
      <c r="AD5" s="78"/>
      <c r="AE5" s="79"/>
      <c r="AF5" s="81">
        <f t="shared" si="2"/>
        <v>0</v>
      </c>
      <c r="AG5" s="80">
        <f t="shared" si="3"/>
        <v>0</v>
      </c>
      <c r="AH5" s="77"/>
      <c r="AI5" s="78"/>
      <c r="AJ5" s="79"/>
      <c r="AK5" s="78"/>
      <c r="AL5" s="78"/>
      <c r="AM5" s="79"/>
      <c r="AN5" s="78"/>
      <c r="AO5" s="78"/>
      <c r="AP5" s="79"/>
      <c r="AQ5" s="78"/>
      <c r="AR5" s="78"/>
      <c r="AS5" s="79"/>
      <c r="AT5" s="78">
        <f t="shared" si="4"/>
        <v>0</v>
      </c>
      <c r="AU5" s="77"/>
      <c r="AV5" s="78"/>
      <c r="AW5" s="79"/>
      <c r="AX5" s="78"/>
      <c r="AY5" s="78"/>
      <c r="AZ5" s="79"/>
      <c r="BA5" s="78"/>
      <c r="BB5" s="78"/>
      <c r="BC5" s="79"/>
      <c r="BD5" s="78"/>
      <c r="BE5" s="78"/>
      <c r="BF5" s="79"/>
      <c r="BG5" s="80">
        <f t="shared" si="5"/>
        <v>0</v>
      </c>
      <c r="BH5" s="77"/>
      <c r="BI5" s="81">
        <f t="shared" si="6"/>
        <v>0</v>
      </c>
      <c r="BJ5" s="82"/>
      <c r="BK5" s="78"/>
      <c r="BL5" s="79"/>
      <c r="BM5" s="78"/>
      <c r="BN5" s="78"/>
      <c r="BO5" s="79"/>
      <c r="BP5" s="78"/>
      <c r="BQ5" s="78"/>
      <c r="BR5" s="79"/>
      <c r="BS5" s="78"/>
      <c r="BT5" s="78"/>
      <c r="BU5" s="79"/>
      <c r="BV5" s="81">
        <f t="shared" si="7"/>
        <v>0</v>
      </c>
      <c r="BW5" s="78">
        <f t="shared" si="8"/>
        <v>0</v>
      </c>
      <c r="BX5" s="80">
        <f t="shared" si="9"/>
        <v>0</v>
      </c>
      <c r="BY5" s="77"/>
      <c r="BZ5" s="78"/>
      <c r="CA5" s="79"/>
      <c r="CB5" s="78"/>
      <c r="CC5" s="78"/>
      <c r="CD5" s="79"/>
      <c r="CE5" s="78"/>
      <c r="CF5" s="78"/>
      <c r="CG5" s="79"/>
      <c r="CH5" s="78"/>
      <c r="CI5" s="78"/>
      <c r="CJ5" s="79"/>
      <c r="CK5" s="80">
        <f t="shared" si="10"/>
        <v>0</v>
      </c>
      <c r="CL5" s="77"/>
      <c r="CM5" s="78"/>
      <c r="CN5" s="79"/>
      <c r="CO5" s="78"/>
      <c r="CP5" s="78"/>
      <c r="CQ5" s="79"/>
      <c r="CR5" s="78"/>
      <c r="CS5" s="78"/>
      <c r="CT5" s="79"/>
      <c r="CU5" s="78"/>
      <c r="CV5" s="78"/>
      <c r="CW5" s="79"/>
      <c r="CX5" s="80">
        <f t="shared" si="11"/>
        <v>0</v>
      </c>
      <c r="CY5" s="77"/>
      <c r="CZ5" s="78"/>
      <c r="DA5" s="79"/>
      <c r="DB5" s="78"/>
      <c r="DC5" s="78"/>
      <c r="DD5" s="79"/>
      <c r="DE5" s="78"/>
      <c r="DF5" s="78"/>
      <c r="DG5" s="79"/>
      <c r="DH5" s="78"/>
      <c r="DI5" s="78"/>
      <c r="DJ5" s="79"/>
      <c r="DK5" s="80">
        <f t="shared" si="12"/>
        <v>0</v>
      </c>
      <c r="DL5" s="83"/>
      <c r="DM5" s="71"/>
      <c r="DN5" s="84"/>
      <c r="DO5" s="71"/>
      <c r="DP5" s="71"/>
      <c r="DQ5" s="84"/>
      <c r="DR5" s="71"/>
      <c r="DS5" s="71"/>
      <c r="DT5" s="84"/>
      <c r="DU5" s="71"/>
      <c r="DV5" s="71"/>
      <c r="DW5" s="85"/>
      <c r="DX5" s="78"/>
      <c r="DY5" s="78"/>
      <c r="DZ5" s="79"/>
      <c r="EA5" s="78"/>
      <c r="EB5" s="78"/>
      <c r="EC5" s="79"/>
      <c r="ED5" s="78"/>
      <c r="EE5" s="78"/>
      <c r="EF5" s="79"/>
      <c r="EG5" s="78"/>
      <c r="EH5" s="78"/>
      <c r="EI5" s="79"/>
      <c r="EJ5" s="80">
        <f t="shared" si="13"/>
        <v>0</v>
      </c>
      <c r="EK5" s="78"/>
      <c r="EL5" s="78"/>
      <c r="EM5" s="79"/>
      <c r="EN5" s="78"/>
      <c r="EO5" s="78"/>
      <c r="EP5" s="79"/>
      <c r="EQ5" s="78"/>
      <c r="ER5" s="78"/>
      <c r="ES5" s="79"/>
      <c r="ET5" s="78"/>
      <c r="EU5" s="78"/>
      <c r="EV5" s="79"/>
      <c r="EW5" s="80">
        <f t="shared" si="14"/>
        <v>0</v>
      </c>
    </row>
    <row r="6" spans="1:153" ht="20.100000000000001" customHeight="1" x14ac:dyDescent="0.25">
      <c r="A6" s="70" t="s">
        <v>70</v>
      </c>
      <c r="B6" s="71">
        <v>1</v>
      </c>
      <c r="C6" s="72">
        <v>46</v>
      </c>
      <c r="D6" s="77"/>
      <c r="E6" s="78"/>
      <c r="F6" s="79"/>
      <c r="G6" s="78"/>
      <c r="H6" s="78"/>
      <c r="I6" s="79"/>
      <c r="J6" s="78"/>
      <c r="K6" s="78"/>
      <c r="L6" s="79"/>
      <c r="M6" s="78"/>
      <c r="N6" s="78"/>
      <c r="O6" s="79"/>
      <c r="P6" s="80">
        <f t="shared" si="1"/>
        <v>0</v>
      </c>
      <c r="Q6" s="77"/>
      <c r="R6" s="78"/>
      <c r="S6" s="81"/>
      <c r="T6" s="82"/>
      <c r="U6" s="78"/>
      <c r="V6" s="79"/>
      <c r="W6" s="78"/>
      <c r="X6" s="78"/>
      <c r="Y6" s="79"/>
      <c r="Z6" s="78"/>
      <c r="AA6" s="78"/>
      <c r="AB6" s="79"/>
      <c r="AC6" s="78"/>
      <c r="AD6" s="78"/>
      <c r="AE6" s="79"/>
      <c r="AF6" s="81">
        <f t="shared" si="2"/>
        <v>0</v>
      </c>
      <c r="AG6" s="80">
        <f t="shared" si="3"/>
        <v>0</v>
      </c>
      <c r="AH6" s="77"/>
      <c r="AI6" s="78"/>
      <c r="AJ6" s="79"/>
      <c r="AK6" s="78"/>
      <c r="AL6" s="78"/>
      <c r="AM6" s="79"/>
      <c r="AN6" s="78"/>
      <c r="AO6" s="78"/>
      <c r="AP6" s="79"/>
      <c r="AQ6" s="78"/>
      <c r="AR6" s="78"/>
      <c r="AS6" s="79"/>
      <c r="AT6" s="78">
        <f t="shared" si="4"/>
        <v>0</v>
      </c>
      <c r="AU6" s="77"/>
      <c r="AV6" s="78"/>
      <c r="AW6" s="79"/>
      <c r="AX6" s="78"/>
      <c r="AY6" s="78"/>
      <c r="AZ6" s="79"/>
      <c r="BA6" s="78"/>
      <c r="BB6" s="78"/>
      <c r="BC6" s="79"/>
      <c r="BD6" s="78"/>
      <c r="BE6" s="78"/>
      <c r="BF6" s="79"/>
      <c r="BG6" s="80">
        <f t="shared" si="5"/>
        <v>0</v>
      </c>
      <c r="BH6" s="77"/>
      <c r="BI6" s="81">
        <f t="shared" si="6"/>
        <v>0</v>
      </c>
      <c r="BJ6" s="82"/>
      <c r="BK6" s="78"/>
      <c r="BL6" s="79"/>
      <c r="BM6" s="78"/>
      <c r="BN6" s="78"/>
      <c r="BO6" s="79"/>
      <c r="BP6" s="78"/>
      <c r="BQ6" s="78"/>
      <c r="BR6" s="79"/>
      <c r="BS6" s="78"/>
      <c r="BT6" s="78"/>
      <c r="BU6" s="79"/>
      <c r="BV6" s="81">
        <f t="shared" si="7"/>
        <v>0</v>
      </c>
      <c r="BW6" s="78">
        <f t="shared" si="8"/>
        <v>0</v>
      </c>
      <c r="BX6" s="80">
        <f t="shared" si="9"/>
        <v>0</v>
      </c>
      <c r="BY6" s="77"/>
      <c r="BZ6" s="78"/>
      <c r="CA6" s="79"/>
      <c r="CB6" s="78"/>
      <c r="CC6" s="78"/>
      <c r="CD6" s="79"/>
      <c r="CE6" s="78"/>
      <c r="CF6" s="78"/>
      <c r="CG6" s="79"/>
      <c r="CH6" s="78"/>
      <c r="CI6" s="78"/>
      <c r="CJ6" s="79"/>
      <c r="CK6" s="80">
        <f t="shared" si="10"/>
        <v>0</v>
      </c>
      <c r="CL6" s="77"/>
      <c r="CM6" s="78"/>
      <c r="CN6" s="79"/>
      <c r="CO6" s="78"/>
      <c r="CP6" s="78"/>
      <c r="CQ6" s="79"/>
      <c r="CR6" s="78"/>
      <c r="CS6" s="78"/>
      <c r="CT6" s="79"/>
      <c r="CU6" s="78"/>
      <c r="CV6" s="78"/>
      <c r="CW6" s="79"/>
      <c r="CX6" s="80">
        <f t="shared" si="11"/>
        <v>0</v>
      </c>
      <c r="CY6" s="77"/>
      <c r="CZ6" s="78"/>
      <c r="DA6" s="79"/>
      <c r="DB6" s="78"/>
      <c r="DC6" s="78"/>
      <c r="DD6" s="79"/>
      <c r="DE6" s="78"/>
      <c r="DF6" s="78"/>
      <c r="DG6" s="79"/>
      <c r="DH6" s="78"/>
      <c r="DI6" s="78"/>
      <c r="DJ6" s="79"/>
      <c r="DK6" s="80">
        <f t="shared" si="12"/>
        <v>0</v>
      </c>
      <c r="DL6" s="83"/>
      <c r="DM6" s="71"/>
      <c r="DN6" s="84"/>
      <c r="DO6" s="71"/>
      <c r="DP6" s="71"/>
      <c r="DQ6" s="84"/>
      <c r="DR6" s="71"/>
      <c r="DS6" s="71"/>
      <c r="DT6" s="84"/>
      <c r="DU6" s="71"/>
      <c r="DV6" s="71"/>
      <c r="DW6" s="85"/>
      <c r="DX6" s="78"/>
      <c r="DY6" s="78"/>
      <c r="DZ6" s="79"/>
      <c r="EA6" s="78"/>
      <c r="EB6" s="78"/>
      <c r="EC6" s="79"/>
      <c r="ED6" s="78"/>
      <c r="EE6" s="78"/>
      <c r="EF6" s="79"/>
      <c r="EG6" s="78"/>
      <c r="EH6" s="78"/>
      <c r="EI6" s="79"/>
      <c r="EJ6" s="80">
        <f t="shared" si="13"/>
        <v>0</v>
      </c>
      <c r="EK6" s="78"/>
      <c r="EL6" s="78"/>
      <c r="EM6" s="79"/>
      <c r="EN6" s="78"/>
      <c r="EO6" s="78"/>
      <c r="EP6" s="79"/>
      <c r="EQ6" s="78"/>
      <c r="ER6" s="78"/>
      <c r="ES6" s="79"/>
      <c r="ET6" s="78"/>
      <c r="EU6" s="78"/>
      <c r="EV6" s="79"/>
      <c r="EW6" s="80">
        <f t="shared" si="14"/>
        <v>0</v>
      </c>
    </row>
    <row r="7" spans="1:153" ht="20.100000000000001" customHeight="1" x14ac:dyDescent="0.25">
      <c r="A7" s="70" t="s">
        <v>71</v>
      </c>
      <c r="B7" s="71">
        <v>1</v>
      </c>
      <c r="C7" s="72">
        <v>62</v>
      </c>
      <c r="D7" s="77"/>
      <c r="E7" s="78"/>
      <c r="F7" s="79"/>
      <c r="G7" s="78"/>
      <c r="H7" s="78"/>
      <c r="I7" s="79"/>
      <c r="J7" s="78"/>
      <c r="K7" s="78"/>
      <c r="L7" s="79"/>
      <c r="M7" s="78"/>
      <c r="N7" s="78"/>
      <c r="O7" s="79"/>
      <c r="P7" s="80">
        <f t="shared" si="1"/>
        <v>0</v>
      </c>
      <c r="Q7" s="77"/>
      <c r="R7" s="78"/>
      <c r="S7" s="81"/>
      <c r="T7" s="82"/>
      <c r="U7" s="78"/>
      <c r="V7" s="79"/>
      <c r="W7" s="78"/>
      <c r="X7" s="78"/>
      <c r="Y7" s="79"/>
      <c r="Z7" s="78"/>
      <c r="AA7" s="78"/>
      <c r="AB7" s="79"/>
      <c r="AC7" s="78"/>
      <c r="AD7" s="78"/>
      <c r="AE7" s="79"/>
      <c r="AF7" s="81">
        <f t="shared" si="2"/>
        <v>0</v>
      </c>
      <c r="AG7" s="80">
        <f t="shared" si="3"/>
        <v>0</v>
      </c>
      <c r="AH7" s="77"/>
      <c r="AI7" s="78"/>
      <c r="AJ7" s="79"/>
      <c r="AK7" s="78"/>
      <c r="AL7" s="78"/>
      <c r="AM7" s="79"/>
      <c r="AN7" s="78"/>
      <c r="AO7" s="78"/>
      <c r="AP7" s="79"/>
      <c r="AQ7" s="78"/>
      <c r="AR7" s="78"/>
      <c r="AS7" s="79"/>
      <c r="AT7" s="78">
        <f t="shared" si="4"/>
        <v>0</v>
      </c>
      <c r="AU7" s="77"/>
      <c r="AV7" s="78"/>
      <c r="AW7" s="79"/>
      <c r="AX7" s="78"/>
      <c r="AY7" s="78"/>
      <c r="AZ7" s="79"/>
      <c r="BA7" s="78"/>
      <c r="BB7" s="78"/>
      <c r="BC7" s="79"/>
      <c r="BD7" s="78"/>
      <c r="BE7" s="78"/>
      <c r="BF7" s="79"/>
      <c r="BG7" s="80">
        <f t="shared" si="5"/>
        <v>0</v>
      </c>
      <c r="BH7" s="77"/>
      <c r="BI7" s="81">
        <f t="shared" si="6"/>
        <v>0</v>
      </c>
      <c r="BJ7" s="82"/>
      <c r="BK7" s="78"/>
      <c r="BL7" s="79"/>
      <c r="BM7" s="78"/>
      <c r="BN7" s="78"/>
      <c r="BO7" s="79"/>
      <c r="BP7" s="78"/>
      <c r="BQ7" s="78"/>
      <c r="BR7" s="79"/>
      <c r="BS7" s="78"/>
      <c r="BT7" s="78"/>
      <c r="BU7" s="79"/>
      <c r="BV7" s="81">
        <f t="shared" si="7"/>
        <v>0</v>
      </c>
      <c r="BW7" s="78">
        <f t="shared" si="8"/>
        <v>0</v>
      </c>
      <c r="BX7" s="80">
        <f t="shared" si="9"/>
        <v>0</v>
      </c>
      <c r="BY7" s="77"/>
      <c r="BZ7" s="78"/>
      <c r="CA7" s="79"/>
      <c r="CB7" s="78"/>
      <c r="CC7" s="78"/>
      <c r="CD7" s="79"/>
      <c r="CE7" s="78"/>
      <c r="CF7" s="78"/>
      <c r="CG7" s="79"/>
      <c r="CH7" s="78"/>
      <c r="CI7" s="78"/>
      <c r="CJ7" s="79"/>
      <c r="CK7" s="80">
        <f t="shared" si="10"/>
        <v>0</v>
      </c>
      <c r="CL7" s="77"/>
      <c r="CM7" s="78"/>
      <c r="CN7" s="79"/>
      <c r="CO7" s="78"/>
      <c r="CP7" s="78"/>
      <c r="CQ7" s="79"/>
      <c r="CR7" s="78"/>
      <c r="CS7" s="78"/>
      <c r="CT7" s="79"/>
      <c r="CU7" s="78"/>
      <c r="CV7" s="78"/>
      <c r="CW7" s="79"/>
      <c r="CX7" s="80">
        <f t="shared" si="11"/>
        <v>0</v>
      </c>
      <c r="CY7" s="77"/>
      <c r="CZ7" s="78"/>
      <c r="DA7" s="79"/>
      <c r="DB7" s="78"/>
      <c r="DC7" s="78"/>
      <c r="DD7" s="79"/>
      <c r="DE7" s="78"/>
      <c r="DF7" s="78"/>
      <c r="DG7" s="79"/>
      <c r="DH7" s="78"/>
      <c r="DI7" s="78"/>
      <c r="DJ7" s="79"/>
      <c r="DK7" s="80">
        <f t="shared" si="12"/>
        <v>0</v>
      </c>
      <c r="DL7" s="83"/>
      <c r="DM7" s="71"/>
      <c r="DN7" s="84"/>
      <c r="DO7" s="71"/>
      <c r="DP7" s="71"/>
      <c r="DQ7" s="84"/>
      <c r="DR7" s="71"/>
      <c r="DS7" s="71"/>
      <c r="DT7" s="84"/>
      <c r="DU7" s="71"/>
      <c r="DV7" s="71"/>
      <c r="DW7" s="85"/>
      <c r="DX7" s="78"/>
      <c r="DY7" s="78"/>
      <c r="DZ7" s="79"/>
      <c r="EA7" s="78"/>
      <c r="EB7" s="78"/>
      <c r="EC7" s="79"/>
      <c r="ED7" s="78"/>
      <c r="EE7" s="78"/>
      <c r="EF7" s="79"/>
      <c r="EG7" s="78"/>
      <c r="EH7" s="78"/>
      <c r="EI7" s="79"/>
      <c r="EJ7" s="80">
        <f t="shared" si="13"/>
        <v>0</v>
      </c>
      <c r="EK7" s="78"/>
      <c r="EL7" s="78"/>
      <c r="EM7" s="79"/>
      <c r="EN7" s="78"/>
      <c r="EO7" s="78"/>
      <c r="EP7" s="79"/>
      <c r="EQ7" s="78"/>
      <c r="ER7" s="78"/>
      <c r="ES7" s="79"/>
      <c r="ET7" s="78"/>
      <c r="EU7" s="78"/>
      <c r="EV7" s="79"/>
      <c r="EW7" s="80">
        <f t="shared" si="14"/>
        <v>0</v>
      </c>
    </row>
    <row r="8" spans="1:153" ht="20.100000000000001" customHeight="1" x14ac:dyDescent="0.25">
      <c r="A8" s="70" t="s">
        <v>72</v>
      </c>
      <c r="B8" s="71">
        <v>1</v>
      </c>
      <c r="C8" s="72">
        <v>37</v>
      </c>
      <c r="D8" s="77"/>
      <c r="E8" s="78"/>
      <c r="F8" s="79"/>
      <c r="G8" s="78"/>
      <c r="H8" s="78"/>
      <c r="I8" s="79"/>
      <c r="J8" s="78"/>
      <c r="K8" s="78"/>
      <c r="L8" s="79"/>
      <c r="M8" s="78"/>
      <c r="N8" s="78"/>
      <c r="O8" s="79"/>
      <c r="P8" s="80">
        <f t="shared" si="1"/>
        <v>0</v>
      </c>
      <c r="Q8" s="77"/>
      <c r="R8" s="78"/>
      <c r="S8" s="81"/>
      <c r="T8" s="82"/>
      <c r="U8" s="78"/>
      <c r="V8" s="79"/>
      <c r="W8" s="78"/>
      <c r="X8" s="78"/>
      <c r="Y8" s="79"/>
      <c r="Z8" s="78"/>
      <c r="AA8" s="78"/>
      <c r="AB8" s="79"/>
      <c r="AC8" s="78"/>
      <c r="AD8" s="78"/>
      <c r="AE8" s="79"/>
      <c r="AF8" s="81">
        <f t="shared" si="2"/>
        <v>0</v>
      </c>
      <c r="AG8" s="80">
        <f t="shared" si="3"/>
        <v>0</v>
      </c>
      <c r="AH8" s="77"/>
      <c r="AI8" s="78"/>
      <c r="AJ8" s="79"/>
      <c r="AK8" s="78"/>
      <c r="AL8" s="78"/>
      <c r="AM8" s="79"/>
      <c r="AN8" s="78"/>
      <c r="AO8" s="78"/>
      <c r="AP8" s="79"/>
      <c r="AQ8" s="78"/>
      <c r="AR8" s="78"/>
      <c r="AS8" s="79"/>
      <c r="AT8" s="78">
        <f t="shared" si="4"/>
        <v>0</v>
      </c>
      <c r="AU8" s="77"/>
      <c r="AV8" s="78"/>
      <c r="AW8" s="79"/>
      <c r="AX8" s="78"/>
      <c r="AY8" s="78"/>
      <c r="AZ8" s="79"/>
      <c r="BA8" s="78"/>
      <c r="BB8" s="78"/>
      <c r="BC8" s="79"/>
      <c r="BD8" s="78"/>
      <c r="BE8" s="78"/>
      <c r="BF8" s="79"/>
      <c r="BG8" s="80">
        <f t="shared" si="5"/>
        <v>0</v>
      </c>
      <c r="BH8" s="77"/>
      <c r="BI8" s="81">
        <f t="shared" si="6"/>
        <v>0</v>
      </c>
      <c r="BJ8" s="82"/>
      <c r="BK8" s="78"/>
      <c r="BL8" s="79"/>
      <c r="BM8" s="78"/>
      <c r="BN8" s="78"/>
      <c r="BO8" s="79"/>
      <c r="BP8" s="78"/>
      <c r="BQ8" s="78"/>
      <c r="BR8" s="79"/>
      <c r="BS8" s="78"/>
      <c r="BT8" s="78"/>
      <c r="BU8" s="79"/>
      <c r="BV8" s="81">
        <f t="shared" si="7"/>
        <v>0</v>
      </c>
      <c r="BW8" s="78">
        <f t="shared" si="8"/>
        <v>0</v>
      </c>
      <c r="BX8" s="80">
        <f t="shared" si="9"/>
        <v>0</v>
      </c>
      <c r="BY8" s="77"/>
      <c r="BZ8" s="78"/>
      <c r="CA8" s="79"/>
      <c r="CB8" s="78"/>
      <c r="CC8" s="78"/>
      <c r="CD8" s="79"/>
      <c r="CE8" s="78"/>
      <c r="CF8" s="78"/>
      <c r="CG8" s="79"/>
      <c r="CH8" s="78"/>
      <c r="CI8" s="78"/>
      <c r="CJ8" s="79"/>
      <c r="CK8" s="80">
        <f t="shared" si="10"/>
        <v>0</v>
      </c>
      <c r="CL8" s="77"/>
      <c r="CM8" s="78"/>
      <c r="CN8" s="79"/>
      <c r="CO8" s="78"/>
      <c r="CP8" s="78"/>
      <c r="CQ8" s="79"/>
      <c r="CR8" s="78"/>
      <c r="CS8" s="78"/>
      <c r="CT8" s="79"/>
      <c r="CU8" s="78"/>
      <c r="CV8" s="78"/>
      <c r="CW8" s="79"/>
      <c r="CX8" s="80">
        <f t="shared" si="11"/>
        <v>0</v>
      </c>
      <c r="CY8" s="77"/>
      <c r="CZ8" s="78"/>
      <c r="DA8" s="79"/>
      <c r="DB8" s="78"/>
      <c r="DC8" s="78"/>
      <c r="DD8" s="79"/>
      <c r="DE8" s="78"/>
      <c r="DF8" s="78"/>
      <c r="DG8" s="79"/>
      <c r="DH8" s="78"/>
      <c r="DI8" s="78"/>
      <c r="DJ8" s="79"/>
      <c r="DK8" s="80">
        <f t="shared" si="12"/>
        <v>0</v>
      </c>
      <c r="DL8" s="83"/>
      <c r="DM8" s="71"/>
      <c r="DN8" s="84"/>
      <c r="DO8" s="71"/>
      <c r="DP8" s="71"/>
      <c r="DQ8" s="84"/>
      <c r="DR8" s="71"/>
      <c r="DS8" s="71"/>
      <c r="DT8" s="84"/>
      <c r="DU8" s="71"/>
      <c r="DV8" s="71"/>
      <c r="DW8" s="85"/>
      <c r="DX8" s="78"/>
      <c r="DY8" s="78"/>
      <c r="DZ8" s="79"/>
      <c r="EA8" s="78"/>
      <c r="EB8" s="78"/>
      <c r="EC8" s="79"/>
      <c r="ED8" s="78"/>
      <c r="EE8" s="78"/>
      <c r="EF8" s="79"/>
      <c r="EG8" s="78"/>
      <c r="EH8" s="78"/>
      <c r="EI8" s="79"/>
      <c r="EJ8" s="80">
        <f t="shared" si="13"/>
        <v>0</v>
      </c>
      <c r="EK8" s="78"/>
      <c r="EL8" s="78"/>
      <c r="EM8" s="79"/>
      <c r="EN8" s="78"/>
      <c r="EO8" s="78"/>
      <c r="EP8" s="79"/>
      <c r="EQ8" s="78"/>
      <c r="ER8" s="78"/>
      <c r="ES8" s="79"/>
      <c r="ET8" s="78"/>
      <c r="EU8" s="78"/>
      <c r="EV8" s="79"/>
      <c r="EW8" s="80">
        <f t="shared" si="14"/>
        <v>0</v>
      </c>
    </row>
    <row r="9" spans="1:153" ht="20.100000000000001" customHeight="1" x14ac:dyDescent="0.25">
      <c r="A9" s="70" t="s">
        <v>73</v>
      </c>
      <c r="B9" s="71">
        <v>1</v>
      </c>
      <c r="C9" s="72">
        <v>24</v>
      </c>
      <c r="D9" s="77"/>
      <c r="E9" s="78"/>
      <c r="F9" s="79"/>
      <c r="G9" s="78"/>
      <c r="H9" s="78"/>
      <c r="I9" s="79"/>
      <c r="J9" s="78"/>
      <c r="K9" s="78"/>
      <c r="L9" s="79"/>
      <c r="M9" s="78"/>
      <c r="N9" s="78"/>
      <c r="O9" s="79"/>
      <c r="P9" s="80">
        <f t="shared" si="1"/>
        <v>0</v>
      </c>
      <c r="Q9" s="77"/>
      <c r="R9" s="78"/>
      <c r="S9" s="81"/>
      <c r="T9" s="82"/>
      <c r="U9" s="78"/>
      <c r="V9" s="79"/>
      <c r="W9" s="78"/>
      <c r="X9" s="78"/>
      <c r="Y9" s="79"/>
      <c r="Z9" s="78"/>
      <c r="AA9" s="78"/>
      <c r="AB9" s="79"/>
      <c r="AC9" s="78"/>
      <c r="AD9" s="78"/>
      <c r="AE9" s="79"/>
      <c r="AF9" s="81">
        <f t="shared" si="2"/>
        <v>0</v>
      </c>
      <c r="AG9" s="80">
        <f t="shared" si="3"/>
        <v>0</v>
      </c>
      <c r="AH9" s="77"/>
      <c r="AI9" s="78"/>
      <c r="AJ9" s="79"/>
      <c r="AK9" s="78"/>
      <c r="AL9" s="78"/>
      <c r="AM9" s="79"/>
      <c r="AN9" s="78"/>
      <c r="AO9" s="78"/>
      <c r="AP9" s="79"/>
      <c r="AQ9" s="78"/>
      <c r="AR9" s="78"/>
      <c r="AS9" s="79"/>
      <c r="AT9" s="78">
        <f t="shared" si="4"/>
        <v>0</v>
      </c>
      <c r="AU9" s="77"/>
      <c r="AV9" s="78"/>
      <c r="AW9" s="79"/>
      <c r="AX9" s="78"/>
      <c r="AY9" s="78"/>
      <c r="AZ9" s="79"/>
      <c r="BA9" s="78"/>
      <c r="BB9" s="78"/>
      <c r="BC9" s="79"/>
      <c r="BD9" s="78"/>
      <c r="BE9" s="78"/>
      <c r="BF9" s="79"/>
      <c r="BG9" s="80">
        <f t="shared" si="5"/>
        <v>0</v>
      </c>
      <c r="BH9" s="77"/>
      <c r="BI9" s="81">
        <f t="shared" si="6"/>
        <v>0</v>
      </c>
      <c r="BJ9" s="82"/>
      <c r="BK9" s="78"/>
      <c r="BL9" s="79"/>
      <c r="BM9" s="78"/>
      <c r="BN9" s="78"/>
      <c r="BO9" s="79"/>
      <c r="BP9" s="78"/>
      <c r="BQ9" s="78"/>
      <c r="BR9" s="79"/>
      <c r="BS9" s="78"/>
      <c r="BT9" s="78"/>
      <c r="BU9" s="79"/>
      <c r="BV9" s="81">
        <f t="shared" si="7"/>
        <v>0</v>
      </c>
      <c r="BW9" s="78">
        <f t="shared" si="8"/>
        <v>0</v>
      </c>
      <c r="BX9" s="80">
        <f t="shared" si="9"/>
        <v>0</v>
      </c>
      <c r="BY9" s="77"/>
      <c r="BZ9" s="78"/>
      <c r="CA9" s="79"/>
      <c r="CB9" s="78"/>
      <c r="CC9" s="78"/>
      <c r="CD9" s="79"/>
      <c r="CE9" s="78"/>
      <c r="CF9" s="78"/>
      <c r="CG9" s="79"/>
      <c r="CH9" s="78"/>
      <c r="CI9" s="78"/>
      <c r="CJ9" s="79"/>
      <c r="CK9" s="80">
        <f t="shared" si="10"/>
        <v>0</v>
      </c>
      <c r="CL9" s="77"/>
      <c r="CM9" s="78"/>
      <c r="CN9" s="79"/>
      <c r="CO9" s="78"/>
      <c r="CP9" s="78"/>
      <c r="CQ9" s="79"/>
      <c r="CR9" s="78"/>
      <c r="CS9" s="78"/>
      <c r="CT9" s="79"/>
      <c r="CU9" s="78"/>
      <c r="CV9" s="78"/>
      <c r="CW9" s="79"/>
      <c r="CX9" s="80">
        <f t="shared" si="11"/>
        <v>0</v>
      </c>
      <c r="CY9" s="77"/>
      <c r="CZ9" s="78"/>
      <c r="DA9" s="79"/>
      <c r="DB9" s="78"/>
      <c r="DC9" s="78"/>
      <c r="DD9" s="79"/>
      <c r="DE9" s="78"/>
      <c r="DF9" s="78"/>
      <c r="DG9" s="79"/>
      <c r="DH9" s="78"/>
      <c r="DI9" s="78"/>
      <c r="DJ9" s="79"/>
      <c r="DK9" s="80">
        <f t="shared" si="12"/>
        <v>0</v>
      </c>
      <c r="DL9" s="83"/>
      <c r="DM9" s="71"/>
      <c r="DN9" s="84"/>
      <c r="DO9" s="71"/>
      <c r="DP9" s="71"/>
      <c r="DQ9" s="84"/>
      <c r="DR9" s="71"/>
      <c r="DS9" s="71"/>
      <c r="DT9" s="84"/>
      <c r="DU9" s="71"/>
      <c r="DV9" s="71"/>
      <c r="DW9" s="85"/>
      <c r="DX9" s="78"/>
      <c r="DY9" s="78"/>
      <c r="DZ9" s="79"/>
      <c r="EA9" s="78"/>
      <c r="EB9" s="78"/>
      <c r="EC9" s="79"/>
      <c r="ED9" s="78"/>
      <c r="EE9" s="78"/>
      <c r="EF9" s="79"/>
      <c r="EG9" s="78"/>
      <c r="EH9" s="78"/>
      <c r="EI9" s="79"/>
      <c r="EJ9" s="80">
        <f t="shared" si="13"/>
        <v>0</v>
      </c>
      <c r="EK9" s="78"/>
      <c r="EL9" s="78"/>
      <c r="EM9" s="79"/>
      <c r="EN9" s="78"/>
      <c r="EO9" s="78"/>
      <c r="EP9" s="79"/>
      <c r="EQ9" s="78"/>
      <c r="ER9" s="78"/>
      <c r="ES9" s="79"/>
      <c r="ET9" s="78"/>
      <c r="EU9" s="78"/>
      <c r="EV9" s="79"/>
      <c r="EW9" s="80">
        <f t="shared" si="14"/>
        <v>0</v>
      </c>
    </row>
    <row r="10" spans="1:153" ht="20.100000000000001" customHeight="1" x14ac:dyDescent="0.25">
      <c r="A10" s="70" t="s">
        <v>19</v>
      </c>
      <c r="B10" s="71">
        <v>1</v>
      </c>
      <c r="C10" s="72">
        <v>77</v>
      </c>
      <c r="D10" s="77"/>
      <c r="E10" s="78"/>
      <c r="F10" s="79"/>
      <c r="G10" s="78"/>
      <c r="H10" s="78"/>
      <c r="I10" s="79"/>
      <c r="J10" s="78"/>
      <c r="K10" s="78"/>
      <c r="L10" s="79"/>
      <c r="M10" s="78"/>
      <c r="N10" s="78"/>
      <c r="O10" s="79"/>
      <c r="P10" s="80">
        <f t="shared" si="1"/>
        <v>0</v>
      </c>
      <c r="Q10" s="77"/>
      <c r="R10" s="78"/>
      <c r="S10" s="81"/>
      <c r="T10" s="82"/>
      <c r="U10" s="78"/>
      <c r="V10" s="79"/>
      <c r="W10" s="78"/>
      <c r="X10" s="78"/>
      <c r="Y10" s="79"/>
      <c r="Z10" s="78"/>
      <c r="AA10" s="78"/>
      <c r="AB10" s="79"/>
      <c r="AC10" s="78"/>
      <c r="AD10" s="78"/>
      <c r="AE10" s="79"/>
      <c r="AF10" s="81">
        <f t="shared" si="2"/>
        <v>0</v>
      </c>
      <c r="AG10" s="80">
        <f t="shared" si="3"/>
        <v>0</v>
      </c>
      <c r="AH10" s="77"/>
      <c r="AI10" s="78"/>
      <c r="AJ10" s="79"/>
      <c r="AK10" s="78"/>
      <c r="AL10" s="78"/>
      <c r="AM10" s="79"/>
      <c r="AN10" s="78"/>
      <c r="AO10" s="78"/>
      <c r="AP10" s="79"/>
      <c r="AQ10" s="78"/>
      <c r="AR10" s="78"/>
      <c r="AS10" s="79"/>
      <c r="AT10" s="78">
        <f t="shared" si="4"/>
        <v>0</v>
      </c>
      <c r="AU10" s="77"/>
      <c r="AV10" s="78"/>
      <c r="AW10" s="79"/>
      <c r="AX10" s="78"/>
      <c r="AY10" s="78"/>
      <c r="AZ10" s="79"/>
      <c r="BA10" s="78"/>
      <c r="BB10" s="78"/>
      <c r="BC10" s="79"/>
      <c r="BD10" s="78"/>
      <c r="BE10" s="78"/>
      <c r="BF10" s="79"/>
      <c r="BG10" s="80">
        <f t="shared" si="5"/>
        <v>0</v>
      </c>
      <c r="BH10" s="77"/>
      <c r="BI10" s="81">
        <f t="shared" si="6"/>
        <v>0</v>
      </c>
      <c r="BJ10" s="82"/>
      <c r="BK10" s="78"/>
      <c r="BL10" s="79"/>
      <c r="BM10" s="78"/>
      <c r="BN10" s="78"/>
      <c r="BO10" s="79"/>
      <c r="BP10" s="78"/>
      <c r="BQ10" s="78"/>
      <c r="BR10" s="79"/>
      <c r="BS10" s="78"/>
      <c r="BT10" s="78"/>
      <c r="BU10" s="79"/>
      <c r="BV10" s="81">
        <f t="shared" si="7"/>
        <v>0</v>
      </c>
      <c r="BW10" s="78">
        <f t="shared" si="8"/>
        <v>0</v>
      </c>
      <c r="BX10" s="80">
        <f t="shared" si="9"/>
        <v>0</v>
      </c>
      <c r="BY10" s="77"/>
      <c r="BZ10" s="78"/>
      <c r="CA10" s="79"/>
      <c r="CB10" s="78"/>
      <c r="CC10" s="78"/>
      <c r="CD10" s="79"/>
      <c r="CE10" s="78"/>
      <c r="CF10" s="78"/>
      <c r="CG10" s="79"/>
      <c r="CH10" s="78"/>
      <c r="CI10" s="78"/>
      <c r="CJ10" s="79"/>
      <c r="CK10" s="80">
        <f t="shared" si="10"/>
        <v>0</v>
      </c>
      <c r="CL10" s="77"/>
      <c r="CM10" s="78"/>
      <c r="CN10" s="79"/>
      <c r="CO10" s="78"/>
      <c r="CP10" s="78"/>
      <c r="CQ10" s="79"/>
      <c r="CR10" s="78"/>
      <c r="CS10" s="78"/>
      <c r="CT10" s="79"/>
      <c r="CU10" s="78"/>
      <c r="CV10" s="78"/>
      <c r="CW10" s="79"/>
      <c r="CX10" s="80">
        <f t="shared" si="11"/>
        <v>0</v>
      </c>
      <c r="CY10" s="77"/>
      <c r="CZ10" s="78"/>
      <c r="DA10" s="79"/>
      <c r="DB10" s="78"/>
      <c r="DC10" s="78"/>
      <c r="DD10" s="79"/>
      <c r="DE10" s="78"/>
      <c r="DF10" s="78"/>
      <c r="DG10" s="79"/>
      <c r="DH10" s="78"/>
      <c r="DI10" s="78"/>
      <c r="DJ10" s="79"/>
      <c r="DK10" s="80">
        <f t="shared" si="12"/>
        <v>0</v>
      </c>
      <c r="DL10" s="83"/>
      <c r="DM10" s="71"/>
      <c r="DN10" s="84"/>
      <c r="DO10" s="71"/>
      <c r="DP10" s="71"/>
      <c r="DQ10" s="84"/>
      <c r="DR10" s="71"/>
      <c r="DS10" s="71"/>
      <c r="DT10" s="84"/>
      <c r="DU10" s="71"/>
      <c r="DV10" s="71"/>
      <c r="DW10" s="85"/>
      <c r="DX10" s="78"/>
      <c r="DY10" s="78"/>
      <c r="DZ10" s="79"/>
      <c r="EA10" s="78"/>
      <c r="EB10" s="78"/>
      <c r="EC10" s="79"/>
      <c r="ED10" s="78"/>
      <c r="EE10" s="78"/>
      <c r="EF10" s="79"/>
      <c r="EG10" s="78"/>
      <c r="EH10" s="78"/>
      <c r="EI10" s="79"/>
      <c r="EJ10" s="80">
        <f t="shared" si="13"/>
        <v>0</v>
      </c>
      <c r="EK10" s="78"/>
      <c r="EL10" s="78"/>
      <c r="EM10" s="79"/>
      <c r="EN10" s="78"/>
      <c r="EO10" s="78"/>
      <c r="EP10" s="79"/>
      <c r="EQ10" s="78"/>
      <c r="ER10" s="78"/>
      <c r="ES10" s="79"/>
      <c r="ET10" s="78"/>
      <c r="EU10" s="78"/>
      <c r="EV10" s="79"/>
      <c r="EW10" s="80">
        <f t="shared" si="14"/>
        <v>0</v>
      </c>
    </row>
    <row r="11" spans="1:153" ht="20.100000000000001" customHeight="1" x14ac:dyDescent="0.25">
      <c r="A11" s="70" t="s">
        <v>74</v>
      </c>
      <c r="B11" s="71">
        <v>1</v>
      </c>
      <c r="C11" s="72">
        <v>64</v>
      </c>
      <c r="D11" s="77"/>
      <c r="E11" s="78"/>
      <c r="F11" s="79"/>
      <c r="G11" s="78"/>
      <c r="H11" s="78"/>
      <c r="I11" s="79"/>
      <c r="J11" s="78"/>
      <c r="K11" s="78"/>
      <c r="L11" s="79"/>
      <c r="M11" s="78"/>
      <c r="N11" s="78"/>
      <c r="O11" s="79"/>
      <c r="P11" s="80">
        <f t="shared" si="1"/>
        <v>0</v>
      </c>
      <c r="Q11" s="77"/>
      <c r="R11" s="78"/>
      <c r="S11" s="81"/>
      <c r="T11" s="82"/>
      <c r="U11" s="78"/>
      <c r="V11" s="79"/>
      <c r="W11" s="78"/>
      <c r="X11" s="78"/>
      <c r="Y11" s="79"/>
      <c r="Z11" s="78"/>
      <c r="AA11" s="78"/>
      <c r="AB11" s="79"/>
      <c r="AC11" s="78"/>
      <c r="AD11" s="78"/>
      <c r="AE11" s="79"/>
      <c r="AF11" s="81">
        <f t="shared" si="2"/>
        <v>0</v>
      </c>
      <c r="AG11" s="80">
        <f t="shared" si="3"/>
        <v>0</v>
      </c>
      <c r="AH11" s="77"/>
      <c r="AI11" s="78"/>
      <c r="AJ11" s="79"/>
      <c r="AK11" s="78"/>
      <c r="AL11" s="78"/>
      <c r="AM11" s="79"/>
      <c r="AN11" s="78"/>
      <c r="AO11" s="78"/>
      <c r="AP11" s="79"/>
      <c r="AQ11" s="78"/>
      <c r="AR11" s="78"/>
      <c r="AS11" s="79"/>
      <c r="AT11" s="78">
        <f t="shared" si="4"/>
        <v>0</v>
      </c>
      <c r="AU11" s="77"/>
      <c r="AV11" s="78"/>
      <c r="AW11" s="79"/>
      <c r="AX11" s="78"/>
      <c r="AY11" s="78"/>
      <c r="AZ11" s="79"/>
      <c r="BA11" s="78"/>
      <c r="BB11" s="78"/>
      <c r="BC11" s="79"/>
      <c r="BD11" s="78"/>
      <c r="BE11" s="78"/>
      <c r="BF11" s="79"/>
      <c r="BG11" s="80">
        <f t="shared" si="5"/>
        <v>0</v>
      </c>
      <c r="BH11" s="77"/>
      <c r="BI11" s="81">
        <f t="shared" si="6"/>
        <v>0</v>
      </c>
      <c r="BJ11" s="82"/>
      <c r="BK11" s="78"/>
      <c r="BL11" s="79"/>
      <c r="BM11" s="78"/>
      <c r="BN11" s="78"/>
      <c r="BO11" s="79"/>
      <c r="BP11" s="78"/>
      <c r="BQ11" s="78"/>
      <c r="BR11" s="79"/>
      <c r="BS11" s="78"/>
      <c r="BT11" s="78"/>
      <c r="BU11" s="79"/>
      <c r="BV11" s="81">
        <f t="shared" si="7"/>
        <v>0</v>
      </c>
      <c r="BW11" s="78">
        <f t="shared" si="8"/>
        <v>0</v>
      </c>
      <c r="BX11" s="80">
        <f t="shared" si="9"/>
        <v>0</v>
      </c>
      <c r="BY11" s="77"/>
      <c r="BZ11" s="78"/>
      <c r="CA11" s="79"/>
      <c r="CB11" s="78"/>
      <c r="CC11" s="78"/>
      <c r="CD11" s="79"/>
      <c r="CE11" s="78"/>
      <c r="CF11" s="78"/>
      <c r="CG11" s="79"/>
      <c r="CH11" s="78"/>
      <c r="CI11" s="78"/>
      <c r="CJ11" s="79"/>
      <c r="CK11" s="80">
        <f t="shared" si="10"/>
        <v>0</v>
      </c>
      <c r="CL11" s="77"/>
      <c r="CM11" s="78"/>
      <c r="CN11" s="79"/>
      <c r="CO11" s="78"/>
      <c r="CP11" s="78"/>
      <c r="CQ11" s="79"/>
      <c r="CR11" s="78"/>
      <c r="CS11" s="78"/>
      <c r="CT11" s="79"/>
      <c r="CU11" s="78"/>
      <c r="CV11" s="78"/>
      <c r="CW11" s="79"/>
      <c r="CX11" s="80">
        <f t="shared" si="11"/>
        <v>0</v>
      </c>
      <c r="CY11" s="77"/>
      <c r="CZ11" s="78"/>
      <c r="DA11" s="79"/>
      <c r="DB11" s="78"/>
      <c r="DC11" s="78"/>
      <c r="DD11" s="79"/>
      <c r="DE11" s="78"/>
      <c r="DF11" s="78"/>
      <c r="DG11" s="79"/>
      <c r="DH11" s="78"/>
      <c r="DI11" s="78"/>
      <c r="DJ11" s="79"/>
      <c r="DK11" s="80">
        <f t="shared" si="12"/>
        <v>0</v>
      </c>
      <c r="DL11" s="83"/>
      <c r="DM11" s="71"/>
      <c r="DN11" s="84"/>
      <c r="DO11" s="71"/>
      <c r="DP11" s="71"/>
      <c r="DQ11" s="84"/>
      <c r="DR11" s="71"/>
      <c r="DS11" s="71"/>
      <c r="DT11" s="84"/>
      <c r="DU11" s="71"/>
      <c r="DV11" s="71"/>
      <c r="DW11" s="85"/>
      <c r="DX11" s="78"/>
      <c r="DY11" s="78"/>
      <c r="DZ11" s="79"/>
      <c r="EA11" s="78"/>
      <c r="EB11" s="78"/>
      <c r="EC11" s="79"/>
      <c r="ED11" s="78"/>
      <c r="EE11" s="78"/>
      <c r="EF11" s="79"/>
      <c r="EG11" s="78"/>
      <c r="EH11" s="78"/>
      <c r="EI11" s="79"/>
      <c r="EJ11" s="80">
        <f t="shared" si="13"/>
        <v>0</v>
      </c>
      <c r="EK11" s="78"/>
      <c r="EL11" s="78"/>
      <c r="EM11" s="79"/>
      <c r="EN11" s="78"/>
      <c r="EO11" s="78"/>
      <c r="EP11" s="79"/>
      <c r="EQ11" s="78"/>
      <c r="ER11" s="78"/>
      <c r="ES11" s="79"/>
      <c r="ET11" s="78"/>
      <c r="EU11" s="78"/>
      <c r="EV11" s="79"/>
      <c r="EW11" s="80">
        <f t="shared" si="14"/>
        <v>0</v>
      </c>
    </row>
    <row r="12" spans="1:153" ht="20.100000000000001" customHeight="1" x14ac:dyDescent="0.25">
      <c r="A12" s="70" t="s">
        <v>89</v>
      </c>
      <c r="B12" s="71">
        <v>1</v>
      </c>
      <c r="C12" s="72">
        <v>54</v>
      </c>
      <c r="D12" s="77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80">
        <f t="shared" si="1"/>
        <v>0</v>
      </c>
      <c r="Q12" s="77"/>
      <c r="R12" s="78"/>
      <c r="S12" s="81"/>
      <c r="T12" s="82"/>
      <c r="U12" s="78"/>
      <c r="V12" s="79"/>
      <c r="W12" s="78"/>
      <c r="X12" s="78"/>
      <c r="Y12" s="79"/>
      <c r="Z12" s="78"/>
      <c r="AA12" s="78"/>
      <c r="AB12" s="79"/>
      <c r="AC12" s="78"/>
      <c r="AD12" s="78"/>
      <c r="AE12" s="79"/>
      <c r="AF12" s="81">
        <f t="shared" si="2"/>
        <v>0</v>
      </c>
      <c r="AG12" s="80">
        <f t="shared" si="3"/>
        <v>0</v>
      </c>
      <c r="AH12" s="77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>
        <f t="shared" si="4"/>
        <v>0</v>
      </c>
      <c r="AU12" s="77"/>
      <c r="AV12" s="78"/>
      <c r="AW12" s="79"/>
      <c r="AX12" s="78"/>
      <c r="AY12" s="78"/>
      <c r="AZ12" s="79"/>
      <c r="BA12" s="78"/>
      <c r="BB12" s="78"/>
      <c r="BC12" s="79"/>
      <c r="BD12" s="78"/>
      <c r="BE12" s="78"/>
      <c r="BF12" s="79"/>
      <c r="BG12" s="80">
        <f t="shared" si="5"/>
        <v>0</v>
      </c>
      <c r="BH12" s="77"/>
      <c r="BI12" s="81">
        <f t="shared" si="6"/>
        <v>0</v>
      </c>
      <c r="BJ12" s="82"/>
      <c r="BK12" s="78"/>
      <c r="BL12" s="79"/>
      <c r="BM12" s="78"/>
      <c r="BN12" s="78"/>
      <c r="BO12" s="79"/>
      <c r="BP12" s="78"/>
      <c r="BQ12" s="78"/>
      <c r="BR12" s="79"/>
      <c r="BS12" s="78"/>
      <c r="BT12" s="78"/>
      <c r="BU12" s="79"/>
      <c r="BV12" s="81">
        <f t="shared" si="7"/>
        <v>0</v>
      </c>
      <c r="BW12" s="78">
        <f t="shared" si="8"/>
        <v>0</v>
      </c>
      <c r="BX12" s="80">
        <f t="shared" si="9"/>
        <v>0</v>
      </c>
      <c r="BY12" s="77"/>
      <c r="BZ12" s="78"/>
      <c r="CA12" s="79"/>
      <c r="CB12" s="78"/>
      <c r="CC12" s="78"/>
      <c r="CD12" s="79"/>
      <c r="CE12" s="78"/>
      <c r="CF12" s="78"/>
      <c r="CG12" s="79"/>
      <c r="CH12" s="78"/>
      <c r="CI12" s="78"/>
      <c r="CJ12" s="79"/>
      <c r="CK12" s="80">
        <f t="shared" si="10"/>
        <v>0</v>
      </c>
      <c r="CL12" s="77"/>
      <c r="CM12" s="78"/>
      <c r="CN12" s="79"/>
      <c r="CO12" s="78"/>
      <c r="CP12" s="78"/>
      <c r="CQ12" s="79"/>
      <c r="CR12" s="78"/>
      <c r="CS12" s="78"/>
      <c r="CT12" s="79"/>
      <c r="CU12" s="78"/>
      <c r="CV12" s="78"/>
      <c r="CW12" s="79"/>
      <c r="CX12" s="80">
        <f t="shared" si="11"/>
        <v>0</v>
      </c>
      <c r="CY12" s="77"/>
      <c r="CZ12" s="78"/>
      <c r="DA12" s="79"/>
      <c r="DB12" s="78"/>
      <c r="DC12" s="78"/>
      <c r="DD12" s="79"/>
      <c r="DE12" s="78"/>
      <c r="DF12" s="78"/>
      <c r="DG12" s="79"/>
      <c r="DH12" s="78"/>
      <c r="DI12" s="78"/>
      <c r="DJ12" s="79"/>
      <c r="DK12" s="80">
        <f t="shared" si="12"/>
        <v>0</v>
      </c>
      <c r="DL12" s="83"/>
      <c r="DM12" s="71"/>
      <c r="DN12" s="84"/>
      <c r="DO12" s="71"/>
      <c r="DP12" s="71"/>
      <c r="DQ12" s="84"/>
      <c r="DR12" s="71"/>
      <c r="DS12" s="71"/>
      <c r="DT12" s="84"/>
      <c r="DU12" s="71"/>
      <c r="DV12" s="71"/>
      <c r="DW12" s="85"/>
      <c r="DX12" s="78"/>
      <c r="DY12" s="78"/>
      <c r="DZ12" s="79"/>
      <c r="EA12" s="78"/>
      <c r="EB12" s="78"/>
      <c r="EC12" s="79"/>
      <c r="ED12" s="78"/>
      <c r="EE12" s="78"/>
      <c r="EF12" s="79"/>
      <c r="EG12" s="78"/>
      <c r="EH12" s="78"/>
      <c r="EI12" s="79"/>
      <c r="EJ12" s="80">
        <f t="shared" si="13"/>
        <v>0</v>
      </c>
      <c r="EK12" s="78"/>
      <c r="EL12" s="78"/>
      <c r="EM12" s="79"/>
      <c r="EN12" s="78"/>
      <c r="EO12" s="78"/>
      <c r="EP12" s="79"/>
      <c r="EQ12" s="78"/>
      <c r="ER12" s="78"/>
      <c r="ES12" s="79"/>
      <c r="ET12" s="78"/>
      <c r="EU12" s="78"/>
      <c r="EV12" s="79"/>
      <c r="EW12" s="80">
        <f t="shared" si="14"/>
        <v>0</v>
      </c>
    </row>
    <row r="13" spans="1:153" ht="20.100000000000001" customHeight="1" x14ac:dyDescent="0.25">
      <c r="A13" s="70" t="s">
        <v>90</v>
      </c>
      <c r="B13" s="71">
        <v>1</v>
      </c>
      <c r="C13" s="72">
        <v>56</v>
      </c>
      <c r="D13" s="77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80">
        <f t="shared" si="1"/>
        <v>0</v>
      </c>
      <c r="Q13" s="77"/>
      <c r="R13" s="78"/>
      <c r="S13" s="81"/>
      <c r="T13" s="82"/>
      <c r="U13" s="78"/>
      <c r="V13" s="79"/>
      <c r="W13" s="78"/>
      <c r="X13" s="78"/>
      <c r="Y13" s="79"/>
      <c r="Z13" s="78"/>
      <c r="AA13" s="78"/>
      <c r="AB13" s="79"/>
      <c r="AC13" s="78"/>
      <c r="AD13" s="78"/>
      <c r="AE13" s="79"/>
      <c r="AF13" s="81">
        <f t="shared" si="2"/>
        <v>0</v>
      </c>
      <c r="AG13" s="80">
        <f t="shared" si="3"/>
        <v>0</v>
      </c>
      <c r="AH13" s="77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>
        <f t="shared" si="4"/>
        <v>0</v>
      </c>
      <c r="AU13" s="77"/>
      <c r="AV13" s="78"/>
      <c r="AW13" s="79"/>
      <c r="AX13" s="78"/>
      <c r="AY13" s="78"/>
      <c r="AZ13" s="79"/>
      <c r="BA13" s="78"/>
      <c r="BB13" s="78"/>
      <c r="BC13" s="79"/>
      <c r="BD13" s="78"/>
      <c r="BE13" s="78"/>
      <c r="BF13" s="79"/>
      <c r="BG13" s="80">
        <f t="shared" si="5"/>
        <v>0</v>
      </c>
      <c r="BH13" s="77"/>
      <c r="BI13" s="81">
        <f t="shared" si="6"/>
        <v>0</v>
      </c>
      <c r="BJ13" s="82"/>
      <c r="BK13" s="78"/>
      <c r="BL13" s="79"/>
      <c r="BM13" s="78"/>
      <c r="BN13" s="78"/>
      <c r="BO13" s="79"/>
      <c r="BP13" s="78"/>
      <c r="BQ13" s="78"/>
      <c r="BR13" s="79"/>
      <c r="BS13" s="78"/>
      <c r="BT13" s="78"/>
      <c r="BU13" s="79"/>
      <c r="BV13" s="81">
        <f t="shared" si="7"/>
        <v>0</v>
      </c>
      <c r="BW13" s="78">
        <f t="shared" si="8"/>
        <v>0</v>
      </c>
      <c r="BX13" s="80">
        <f t="shared" si="9"/>
        <v>0</v>
      </c>
      <c r="BY13" s="77"/>
      <c r="BZ13" s="78"/>
      <c r="CA13" s="79"/>
      <c r="CB13" s="78"/>
      <c r="CC13" s="78"/>
      <c r="CD13" s="79"/>
      <c r="CE13" s="78"/>
      <c r="CF13" s="78"/>
      <c r="CG13" s="79"/>
      <c r="CH13" s="78"/>
      <c r="CI13" s="78"/>
      <c r="CJ13" s="79"/>
      <c r="CK13" s="80">
        <f t="shared" si="10"/>
        <v>0</v>
      </c>
      <c r="CL13" s="77"/>
      <c r="CM13" s="78"/>
      <c r="CN13" s="79"/>
      <c r="CO13" s="78"/>
      <c r="CP13" s="78"/>
      <c r="CQ13" s="79"/>
      <c r="CR13" s="78"/>
      <c r="CS13" s="78"/>
      <c r="CT13" s="79"/>
      <c r="CU13" s="78"/>
      <c r="CV13" s="78"/>
      <c r="CW13" s="79"/>
      <c r="CX13" s="80">
        <f t="shared" si="11"/>
        <v>0</v>
      </c>
      <c r="CY13" s="77"/>
      <c r="CZ13" s="78"/>
      <c r="DA13" s="79"/>
      <c r="DB13" s="78"/>
      <c r="DC13" s="78"/>
      <c r="DD13" s="79"/>
      <c r="DE13" s="78"/>
      <c r="DF13" s="78"/>
      <c r="DG13" s="79"/>
      <c r="DH13" s="78"/>
      <c r="DI13" s="78"/>
      <c r="DJ13" s="79"/>
      <c r="DK13" s="80">
        <f t="shared" si="12"/>
        <v>0</v>
      </c>
      <c r="DL13" s="83"/>
      <c r="DM13" s="71"/>
      <c r="DN13" s="84"/>
      <c r="DO13" s="71"/>
      <c r="DP13" s="71"/>
      <c r="DQ13" s="84"/>
      <c r="DR13" s="71"/>
      <c r="DS13" s="71"/>
      <c r="DT13" s="84"/>
      <c r="DU13" s="71"/>
      <c r="DV13" s="71"/>
      <c r="DW13" s="85"/>
      <c r="DX13" s="78"/>
      <c r="DY13" s="78"/>
      <c r="DZ13" s="79"/>
      <c r="EA13" s="78"/>
      <c r="EB13" s="78"/>
      <c r="EC13" s="79"/>
      <c r="ED13" s="78"/>
      <c r="EE13" s="78"/>
      <c r="EF13" s="79"/>
      <c r="EG13" s="78"/>
      <c r="EH13" s="78"/>
      <c r="EI13" s="79"/>
      <c r="EJ13" s="80">
        <f t="shared" si="13"/>
        <v>0</v>
      </c>
      <c r="EK13" s="78"/>
      <c r="EL13" s="78"/>
      <c r="EM13" s="79"/>
      <c r="EN13" s="78"/>
      <c r="EO13" s="78"/>
      <c r="EP13" s="79"/>
      <c r="EQ13" s="78"/>
      <c r="ER13" s="78"/>
      <c r="ES13" s="79"/>
      <c r="ET13" s="78"/>
      <c r="EU13" s="78"/>
      <c r="EV13" s="79"/>
      <c r="EW13" s="80">
        <f t="shared" si="14"/>
        <v>0</v>
      </c>
    </row>
    <row r="14" spans="1:153" ht="20.100000000000001" customHeight="1" x14ac:dyDescent="0.25">
      <c r="A14" s="70" t="s">
        <v>91</v>
      </c>
      <c r="B14" s="71">
        <v>1</v>
      </c>
      <c r="C14" s="72">
        <v>80</v>
      </c>
      <c r="D14" s="77"/>
      <c r="E14" s="78"/>
      <c r="F14" s="79"/>
      <c r="G14" s="78"/>
      <c r="H14" s="78"/>
      <c r="I14" s="79"/>
      <c r="J14" s="78"/>
      <c r="K14" s="78"/>
      <c r="L14" s="79"/>
      <c r="M14" s="78"/>
      <c r="N14" s="78"/>
      <c r="O14" s="79"/>
      <c r="P14" s="80">
        <f t="shared" si="1"/>
        <v>0</v>
      </c>
      <c r="Q14" s="77"/>
      <c r="R14" s="78"/>
      <c r="S14" s="81"/>
      <c r="T14" s="82"/>
      <c r="U14" s="78"/>
      <c r="V14" s="79"/>
      <c r="W14" s="78"/>
      <c r="X14" s="78"/>
      <c r="Y14" s="79"/>
      <c r="Z14" s="78"/>
      <c r="AA14" s="78"/>
      <c r="AB14" s="79"/>
      <c r="AC14" s="78"/>
      <c r="AD14" s="78"/>
      <c r="AE14" s="79"/>
      <c r="AF14" s="81">
        <f t="shared" si="2"/>
        <v>0</v>
      </c>
      <c r="AG14" s="80">
        <f t="shared" si="3"/>
        <v>0</v>
      </c>
      <c r="AH14" s="77"/>
      <c r="AI14" s="78"/>
      <c r="AJ14" s="79"/>
      <c r="AK14" s="78"/>
      <c r="AL14" s="78"/>
      <c r="AM14" s="79"/>
      <c r="AN14" s="78"/>
      <c r="AO14" s="78"/>
      <c r="AP14" s="79"/>
      <c r="AQ14" s="78"/>
      <c r="AR14" s="78"/>
      <c r="AS14" s="79"/>
      <c r="AT14" s="78">
        <f t="shared" si="4"/>
        <v>0</v>
      </c>
      <c r="AU14" s="77"/>
      <c r="AV14" s="78"/>
      <c r="AW14" s="79"/>
      <c r="AX14" s="78"/>
      <c r="AY14" s="78"/>
      <c r="AZ14" s="79"/>
      <c r="BA14" s="78"/>
      <c r="BB14" s="78"/>
      <c r="BC14" s="79"/>
      <c r="BD14" s="78"/>
      <c r="BE14" s="78"/>
      <c r="BF14" s="79"/>
      <c r="BG14" s="80">
        <f t="shared" si="5"/>
        <v>0</v>
      </c>
      <c r="BH14" s="77"/>
      <c r="BI14" s="81">
        <f t="shared" si="6"/>
        <v>0</v>
      </c>
      <c r="BJ14" s="82"/>
      <c r="BK14" s="78"/>
      <c r="BL14" s="79"/>
      <c r="BM14" s="78"/>
      <c r="BN14" s="78"/>
      <c r="BO14" s="79"/>
      <c r="BP14" s="78"/>
      <c r="BQ14" s="78"/>
      <c r="BR14" s="79"/>
      <c r="BS14" s="78"/>
      <c r="BT14" s="78"/>
      <c r="BU14" s="79"/>
      <c r="BV14" s="81">
        <f t="shared" si="7"/>
        <v>0</v>
      </c>
      <c r="BW14" s="78">
        <f t="shared" si="8"/>
        <v>0</v>
      </c>
      <c r="BX14" s="80">
        <f t="shared" si="9"/>
        <v>0</v>
      </c>
      <c r="BY14" s="77"/>
      <c r="BZ14" s="78"/>
      <c r="CA14" s="79"/>
      <c r="CB14" s="78"/>
      <c r="CC14" s="78"/>
      <c r="CD14" s="79"/>
      <c r="CE14" s="78"/>
      <c r="CF14" s="78"/>
      <c r="CG14" s="79"/>
      <c r="CH14" s="78"/>
      <c r="CI14" s="78"/>
      <c r="CJ14" s="79"/>
      <c r="CK14" s="80">
        <f t="shared" si="10"/>
        <v>0</v>
      </c>
      <c r="CL14" s="77"/>
      <c r="CM14" s="78"/>
      <c r="CN14" s="79"/>
      <c r="CO14" s="78"/>
      <c r="CP14" s="78"/>
      <c r="CQ14" s="79"/>
      <c r="CR14" s="78"/>
      <c r="CS14" s="78"/>
      <c r="CT14" s="79"/>
      <c r="CU14" s="78"/>
      <c r="CV14" s="78"/>
      <c r="CW14" s="79"/>
      <c r="CX14" s="80">
        <f t="shared" si="11"/>
        <v>0</v>
      </c>
      <c r="CY14" s="77"/>
      <c r="CZ14" s="78"/>
      <c r="DA14" s="79"/>
      <c r="DB14" s="78"/>
      <c r="DC14" s="78"/>
      <c r="DD14" s="79"/>
      <c r="DE14" s="78"/>
      <c r="DF14" s="78"/>
      <c r="DG14" s="79"/>
      <c r="DH14" s="78"/>
      <c r="DI14" s="78"/>
      <c r="DJ14" s="79"/>
      <c r="DK14" s="80">
        <f t="shared" si="12"/>
        <v>0</v>
      </c>
      <c r="DL14" s="83"/>
      <c r="DM14" s="71"/>
      <c r="DN14" s="84"/>
      <c r="DO14" s="71"/>
      <c r="DP14" s="71"/>
      <c r="DQ14" s="84"/>
      <c r="DR14" s="71"/>
      <c r="DS14" s="71"/>
      <c r="DT14" s="84"/>
      <c r="DU14" s="71"/>
      <c r="DV14" s="71"/>
      <c r="DW14" s="85"/>
      <c r="DX14" s="78"/>
      <c r="DY14" s="78"/>
      <c r="DZ14" s="79"/>
      <c r="EA14" s="78"/>
      <c r="EB14" s="78"/>
      <c r="EC14" s="79"/>
      <c r="ED14" s="78"/>
      <c r="EE14" s="78"/>
      <c r="EF14" s="79"/>
      <c r="EG14" s="78"/>
      <c r="EH14" s="78"/>
      <c r="EI14" s="79"/>
      <c r="EJ14" s="80">
        <f t="shared" si="13"/>
        <v>0</v>
      </c>
      <c r="EK14" s="78"/>
      <c r="EL14" s="78"/>
      <c r="EM14" s="79"/>
      <c r="EN14" s="78"/>
      <c r="EO14" s="78"/>
      <c r="EP14" s="79"/>
      <c r="EQ14" s="78"/>
      <c r="ER14" s="78"/>
      <c r="ES14" s="79"/>
      <c r="ET14" s="78"/>
      <c r="EU14" s="78"/>
      <c r="EV14" s="79"/>
      <c r="EW14" s="80">
        <f t="shared" si="14"/>
        <v>0</v>
      </c>
    </row>
    <row r="15" spans="1:153" ht="20.100000000000001" customHeight="1" x14ac:dyDescent="0.25">
      <c r="A15" s="70" t="s">
        <v>92</v>
      </c>
      <c r="B15" s="71">
        <v>1</v>
      </c>
      <c r="C15" s="72">
        <v>2</v>
      </c>
      <c r="D15" s="77"/>
      <c r="E15" s="78"/>
      <c r="F15" s="79"/>
      <c r="G15" s="78"/>
      <c r="H15" s="78"/>
      <c r="I15" s="79"/>
      <c r="J15" s="78"/>
      <c r="K15" s="78"/>
      <c r="L15" s="79"/>
      <c r="M15" s="78"/>
      <c r="N15" s="78"/>
      <c r="O15" s="79"/>
      <c r="P15" s="80">
        <f t="shared" si="1"/>
        <v>0</v>
      </c>
      <c r="Q15" s="77"/>
      <c r="R15" s="78"/>
      <c r="S15" s="81"/>
      <c r="T15" s="82"/>
      <c r="U15" s="78"/>
      <c r="V15" s="79"/>
      <c r="W15" s="78"/>
      <c r="X15" s="78"/>
      <c r="Y15" s="79"/>
      <c r="Z15" s="78"/>
      <c r="AA15" s="78"/>
      <c r="AB15" s="79"/>
      <c r="AC15" s="78"/>
      <c r="AD15" s="78"/>
      <c r="AE15" s="79"/>
      <c r="AF15" s="81">
        <f t="shared" si="2"/>
        <v>0</v>
      </c>
      <c r="AG15" s="80">
        <f t="shared" si="3"/>
        <v>0</v>
      </c>
      <c r="AH15" s="77"/>
      <c r="AI15" s="78"/>
      <c r="AJ15" s="79"/>
      <c r="AK15" s="78"/>
      <c r="AL15" s="78"/>
      <c r="AM15" s="79"/>
      <c r="AN15" s="78"/>
      <c r="AO15" s="78"/>
      <c r="AP15" s="79"/>
      <c r="AQ15" s="78"/>
      <c r="AR15" s="78"/>
      <c r="AS15" s="79"/>
      <c r="AT15" s="78">
        <f t="shared" si="4"/>
        <v>0</v>
      </c>
      <c r="AU15" s="77"/>
      <c r="AV15" s="78"/>
      <c r="AW15" s="79"/>
      <c r="AX15" s="78"/>
      <c r="AY15" s="78"/>
      <c r="AZ15" s="79"/>
      <c r="BA15" s="78"/>
      <c r="BB15" s="78"/>
      <c r="BC15" s="79"/>
      <c r="BD15" s="78"/>
      <c r="BE15" s="78"/>
      <c r="BF15" s="79"/>
      <c r="BG15" s="80">
        <f t="shared" si="5"/>
        <v>0</v>
      </c>
      <c r="BH15" s="77"/>
      <c r="BI15" s="81">
        <f t="shared" si="6"/>
        <v>0</v>
      </c>
      <c r="BJ15" s="82"/>
      <c r="BK15" s="78"/>
      <c r="BL15" s="79"/>
      <c r="BM15" s="78"/>
      <c r="BN15" s="78"/>
      <c r="BO15" s="79"/>
      <c r="BP15" s="78"/>
      <c r="BQ15" s="78"/>
      <c r="BR15" s="79"/>
      <c r="BS15" s="78"/>
      <c r="BT15" s="78"/>
      <c r="BU15" s="79"/>
      <c r="BV15" s="81">
        <f t="shared" si="7"/>
        <v>0</v>
      </c>
      <c r="BW15" s="78">
        <f t="shared" si="8"/>
        <v>0</v>
      </c>
      <c r="BX15" s="80">
        <f t="shared" si="9"/>
        <v>0</v>
      </c>
      <c r="BY15" s="77"/>
      <c r="BZ15" s="78"/>
      <c r="CA15" s="79"/>
      <c r="CB15" s="78"/>
      <c r="CC15" s="78"/>
      <c r="CD15" s="79"/>
      <c r="CE15" s="78"/>
      <c r="CF15" s="78"/>
      <c r="CG15" s="79"/>
      <c r="CH15" s="78"/>
      <c r="CI15" s="78"/>
      <c r="CJ15" s="79"/>
      <c r="CK15" s="80">
        <f t="shared" si="10"/>
        <v>0</v>
      </c>
      <c r="CL15" s="77"/>
      <c r="CM15" s="78"/>
      <c r="CN15" s="79"/>
      <c r="CO15" s="78"/>
      <c r="CP15" s="78"/>
      <c r="CQ15" s="79"/>
      <c r="CR15" s="78"/>
      <c r="CS15" s="78"/>
      <c r="CT15" s="79"/>
      <c r="CU15" s="78"/>
      <c r="CV15" s="78"/>
      <c r="CW15" s="79"/>
      <c r="CX15" s="80">
        <f t="shared" si="11"/>
        <v>0</v>
      </c>
      <c r="CY15" s="77"/>
      <c r="CZ15" s="78"/>
      <c r="DA15" s="79"/>
      <c r="DB15" s="78"/>
      <c r="DC15" s="78"/>
      <c r="DD15" s="79"/>
      <c r="DE15" s="78"/>
      <c r="DF15" s="78"/>
      <c r="DG15" s="79"/>
      <c r="DH15" s="78"/>
      <c r="DI15" s="78"/>
      <c r="DJ15" s="79"/>
      <c r="DK15" s="80">
        <f t="shared" si="12"/>
        <v>0</v>
      </c>
      <c r="DL15" s="83"/>
      <c r="DM15" s="71"/>
      <c r="DN15" s="84"/>
      <c r="DO15" s="71"/>
      <c r="DP15" s="71"/>
      <c r="DQ15" s="84"/>
      <c r="DR15" s="71"/>
      <c r="DS15" s="71"/>
      <c r="DT15" s="84"/>
      <c r="DU15" s="71"/>
      <c r="DV15" s="71"/>
      <c r="DW15" s="85"/>
      <c r="DX15" s="78"/>
      <c r="DY15" s="78"/>
      <c r="DZ15" s="79"/>
      <c r="EA15" s="78"/>
      <c r="EB15" s="78"/>
      <c r="EC15" s="79"/>
      <c r="ED15" s="78"/>
      <c r="EE15" s="78"/>
      <c r="EF15" s="79"/>
      <c r="EG15" s="78"/>
      <c r="EH15" s="78"/>
      <c r="EI15" s="79"/>
      <c r="EJ15" s="80">
        <f t="shared" si="13"/>
        <v>0</v>
      </c>
      <c r="EK15" s="78"/>
      <c r="EL15" s="78"/>
      <c r="EM15" s="79"/>
      <c r="EN15" s="78"/>
      <c r="EO15" s="78"/>
      <c r="EP15" s="79"/>
      <c r="EQ15" s="78"/>
      <c r="ER15" s="78"/>
      <c r="ES15" s="79"/>
      <c r="ET15" s="78"/>
      <c r="EU15" s="78"/>
      <c r="EV15" s="79"/>
      <c r="EW15" s="80">
        <f t="shared" si="14"/>
        <v>0</v>
      </c>
    </row>
    <row r="16" spans="1:153" ht="20.100000000000001" customHeight="1" x14ac:dyDescent="0.25">
      <c r="A16" s="70" t="s">
        <v>20</v>
      </c>
      <c r="B16" s="71">
        <v>1</v>
      </c>
      <c r="C16" s="72">
        <v>71</v>
      </c>
      <c r="D16" s="77"/>
      <c r="E16" s="78"/>
      <c r="F16" s="79"/>
      <c r="G16" s="78"/>
      <c r="H16" s="78"/>
      <c r="I16" s="79"/>
      <c r="J16" s="78"/>
      <c r="K16" s="78"/>
      <c r="L16" s="79"/>
      <c r="M16" s="78"/>
      <c r="N16" s="78"/>
      <c r="O16" s="79"/>
      <c r="P16" s="80">
        <f t="shared" si="1"/>
        <v>0</v>
      </c>
      <c r="Q16" s="77"/>
      <c r="R16" s="78"/>
      <c r="S16" s="81"/>
      <c r="T16" s="82"/>
      <c r="U16" s="78"/>
      <c r="V16" s="79"/>
      <c r="W16" s="78"/>
      <c r="X16" s="78"/>
      <c r="Y16" s="79"/>
      <c r="Z16" s="78"/>
      <c r="AA16" s="78"/>
      <c r="AB16" s="79"/>
      <c r="AC16" s="78"/>
      <c r="AD16" s="78"/>
      <c r="AE16" s="79"/>
      <c r="AF16" s="81">
        <f t="shared" si="2"/>
        <v>0</v>
      </c>
      <c r="AG16" s="80">
        <f t="shared" si="3"/>
        <v>0</v>
      </c>
      <c r="AH16" s="77"/>
      <c r="AI16" s="78"/>
      <c r="AJ16" s="79"/>
      <c r="AK16" s="78"/>
      <c r="AL16" s="78"/>
      <c r="AM16" s="79"/>
      <c r="AN16" s="78"/>
      <c r="AO16" s="78"/>
      <c r="AP16" s="79"/>
      <c r="AQ16" s="78"/>
      <c r="AR16" s="78"/>
      <c r="AS16" s="79"/>
      <c r="AT16" s="78">
        <f t="shared" si="4"/>
        <v>0</v>
      </c>
      <c r="AU16" s="77"/>
      <c r="AV16" s="78"/>
      <c r="AW16" s="79"/>
      <c r="AX16" s="78"/>
      <c r="AY16" s="78"/>
      <c r="AZ16" s="79"/>
      <c r="BA16" s="78"/>
      <c r="BB16" s="78"/>
      <c r="BC16" s="79"/>
      <c r="BD16" s="78"/>
      <c r="BE16" s="78"/>
      <c r="BF16" s="79"/>
      <c r="BG16" s="80">
        <f t="shared" si="5"/>
        <v>0</v>
      </c>
      <c r="BH16" s="77"/>
      <c r="BI16" s="81">
        <f t="shared" si="6"/>
        <v>0</v>
      </c>
      <c r="BJ16" s="82"/>
      <c r="BK16" s="78"/>
      <c r="BL16" s="79"/>
      <c r="BM16" s="78"/>
      <c r="BN16" s="78"/>
      <c r="BO16" s="79"/>
      <c r="BP16" s="78"/>
      <c r="BQ16" s="78"/>
      <c r="BR16" s="79"/>
      <c r="BS16" s="78"/>
      <c r="BT16" s="78"/>
      <c r="BU16" s="79"/>
      <c r="BV16" s="81">
        <f t="shared" si="7"/>
        <v>0</v>
      </c>
      <c r="BW16" s="78">
        <f t="shared" si="8"/>
        <v>0</v>
      </c>
      <c r="BX16" s="80">
        <f t="shared" si="9"/>
        <v>0</v>
      </c>
      <c r="BY16" s="77"/>
      <c r="BZ16" s="78"/>
      <c r="CA16" s="79"/>
      <c r="CB16" s="78"/>
      <c r="CC16" s="78"/>
      <c r="CD16" s="79"/>
      <c r="CE16" s="78"/>
      <c r="CF16" s="78"/>
      <c r="CG16" s="79"/>
      <c r="CH16" s="78"/>
      <c r="CI16" s="78"/>
      <c r="CJ16" s="79"/>
      <c r="CK16" s="80">
        <f t="shared" si="10"/>
        <v>0</v>
      </c>
      <c r="CL16" s="77"/>
      <c r="CM16" s="78"/>
      <c r="CN16" s="79"/>
      <c r="CO16" s="78"/>
      <c r="CP16" s="78"/>
      <c r="CQ16" s="79"/>
      <c r="CR16" s="78"/>
      <c r="CS16" s="78"/>
      <c r="CT16" s="79"/>
      <c r="CU16" s="78"/>
      <c r="CV16" s="78"/>
      <c r="CW16" s="79"/>
      <c r="CX16" s="80">
        <f t="shared" si="11"/>
        <v>0</v>
      </c>
      <c r="CY16" s="77"/>
      <c r="CZ16" s="78"/>
      <c r="DA16" s="79"/>
      <c r="DB16" s="78"/>
      <c r="DC16" s="78"/>
      <c r="DD16" s="79"/>
      <c r="DE16" s="78"/>
      <c r="DF16" s="78"/>
      <c r="DG16" s="79"/>
      <c r="DH16" s="78"/>
      <c r="DI16" s="78"/>
      <c r="DJ16" s="79"/>
      <c r="DK16" s="80">
        <f t="shared" si="12"/>
        <v>0</v>
      </c>
      <c r="DL16" s="83"/>
      <c r="DM16" s="71"/>
      <c r="DN16" s="84"/>
      <c r="DO16" s="71"/>
      <c r="DP16" s="71"/>
      <c r="DQ16" s="84"/>
      <c r="DR16" s="71"/>
      <c r="DS16" s="71"/>
      <c r="DT16" s="84"/>
      <c r="DU16" s="71"/>
      <c r="DV16" s="71"/>
      <c r="DW16" s="85"/>
      <c r="DX16" s="78"/>
      <c r="DY16" s="78"/>
      <c r="DZ16" s="79"/>
      <c r="EA16" s="78"/>
      <c r="EB16" s="78"/>
      <c r="EC16" s="79"/>
      <c r="ED16" s="78"/>
      <c r="EE16" s="78"/>
      <c r="EF16" s="79"/>
      <c r="EG16" s="78"/>
      <c r="EH16" s="78"/>
      <c r="EI16" s="79"/>
      <c r="EJ16" s="80">
        <f t="shared" si="13"/>
        <v>0</v>
      </c>
      <c r="EK16" s="78"/>
      <c r="EL16" s="78"/>
      <c r="EM16" s="79"/>
      <c r="EN16" s="78"/>
      <c r="EO16" s="78"/>
      <c r="EP16" s="79"/>
      <c r="EQ16" s="78"/>
      <c r="ER16" s="78"/>
      <c r="ES16" s="79"/>
      <c r="ET16" s="78"/>
      <c r="EU16" s="78"/>
      <c r="EV16" s="79"/>
      <c r="EW16" s="80">
        <f t="shared" si="14"/>
        <v>0</v>
      </c>
    </row>
    <row r="17" spans="1:153" ht="20.100000000000001" customHeight="1" x14ac:dyDescent="0.25">
      <c r="A17" s="70" t="s">
        <v>75</v>
      </c>
      <c r="B17" s="71">
        <v>1</v>
      </c>
      <c r="C17" s="72">
        <v>28</v>
      </c>
      <c r="D17" s="77"/>
      <c r="E17" s="78"/>
      <c r="F17" s="79"/>
      <c r="G17" s="78"/>
      <c r="H17" s="78"/>
      <c r="I17" s="79"/>
      <c r="J17" s="78"/>
      <c r="K17" s="78"/>
      <c r="L17" s="79"/>
      <c r="M17" s="78"/>
      <c r="N17" s="78"/>
      <c r="O17" s="79"/>
      <c r="P17" s="80">
        <f t="shared" si="1"/>
        <v>0</v>
      </c>
      <c r="Q17" s="77"/>
      <c r="R17" s="78"/>
      <c r="S17" s="81"/>
      <c r="T17" s="82"/>
      <c r="U17" s="78"/>
      <c r="V17" s="79"/>
      <c r="W17" s="78"/>
      <c r="X17" s="78"/>
      <c r="Y17" s="79"/>
      <c r="Z17" s="78"/>
      <c r="AA17" s="78"/>
      <c r="AB17" s="79"/>
      <c r="AC17" s="78"/>
      <c r="AD17" s="78"/>
      <c r="AE17" s="79"/>
      <c r="AF17" s="81">
        <f t="shared" si="2"/>
        <v>0</v>
      </c>
      <c r="AG17" s="80">
        <f t="shared" si="3"/>
        <v>0</v>
      </c>
      <c r="AH17" s="77"/>
      <c r="AI17" s="78"/>
      <c r="AJ17" s="79"/>
      <c r="AK17" s="78"/>
      <c r="AL17" s="78"/>
      <c r="AM17" s="79"/>
      <c r="AN17" s="78"/>
      <c r="AO17" s="78"/>
      <c r="AP17" s="79"/>
      <c r="AQ17" s="78"/>
      <c r="AR17" s="78"/>
      <c r="AS17" s="79"/>
      <c r="AT17" s="78">
        <f t="shared" si="4"/>
        <v>0</v>
      </c>
      <c r="AU17" s="77"/>
      <c r="AV17" s="78"/>
      <c r="AW17" s="79"/>
      <c r="AX17" s="78"/>
      <c r="AY17" s="78"/>
      <c r="AZ17" s="79"/>
      <c r="BA17" s="78"/>
      <c r="BB17" s="78"/>
      <c r="BC17" s="79"/>
      <c r="BD17" s="78"/>
      <c r="BE17" s="78"/>
      <c r="BF17" s="79"/>
      <c r="BG17" s="80">
        <f t="shared" si="5"/>
        <v>0</v>
      </c>
      <c r="BH17" s="77"/>
      <c r="BI17" s="81">
        <f t="shared" si="6"/>
        <v>0</v>
      </c>
      <c r="BJ17" s="82"/>
      <c r="BK17" s="78"/>
      <c r="BL17" s="79"/>
      <c r="BM17" s="78"/>
      <c r="BN17" s="78"/>
      <c r="BO17" s="79"/>
      <c r="BP17" s="78"/>
      <c r="BQ17" s="78"/>
      <c r="BR17" s="79"/>
      <c r="BS17" s="78"/>
      <c r="BT17" s="78"/>
      <c r="BU17" s="79"/>
      <c r="BV17" s="81">
        <f t="shared" si="7"/>
        <v>0</v>
      </c>
      <c r="BW17" s="78">
        <f t="shared" si="8"/>
        <v>0</v>
      </c>
      <c r="BX17" s="80">
        <f t="shared" si="9"/>
        <v>0</v>
      </c>
      <c r="BY17" s="77"/>
      <c r="BZ17" s="78"/>
      <c r="CA17" s="79"/>
      <c r="CB17" s="78"/>
      <c r="CC17" s="78"/>
      <c r="CD17" s="79"/>
      <c r="CE17" s="78"/>
      <c r="CF17" s="78"/>
      <c r="CG17" s="79"/>
      <c r="CH17" s="78"/>
      <c r="CI17" s="78"/>
      <c r="CJ17" s="79"/>
      <c r="CK17" s="80">
        <f t="shared" si="10"/>
        <v>0</v>
      </c>
      <c r="CL17" s="77"/>
      <c r="CM17" s="78"/>
      <c r="CN17" s="79"/>
      <c r="CO17" s="78"/>
      <c r="CP17" s="78"/>
      <c r="CQ17" s="79"/>
      <c r="CR17" s="78"/>
      <c r="CS17" s="78"/>
      <c r="CT17" s="79"/>
      <c r="CU17" s="78"/>
      <c r="CV17" s="78"/>
      <c r="CW17" s="79"/>
      <c r="CX17" s="80">
        <f t="shared" si="11"/>
        <v>0</v>
      </c>
      <c r="CY17" s="77"/>
      <c r="CZ17" s="78"/>
      <c r="DA17" s="79"/>
      <c r="DB17" s="78"/>
      <c r="DC17" s="78"/>
      <c r="DD17" s="79"/>
      <c r="DE17" s="78"/>
      <c r="DF17" s="78"/>
      <c r="DG17" s="79"/>
      <c r="DH17" s="78"/>
      <c r="DI17" s="78"/>
      <c r="DJ17" s="79"/>
      <c r="DK17" s="80">
        <f t="shared" si="12"/>
        <v>0</v>
      </c>
      <c r="DL17" s="83"/>
      <c r="DM17" s="71"/>
      <c r="DN17" s="84"/>
      <c r="DO17" s="71"/>
      <c r="DP17" s="71"/>
      <c r="DQ17" s="84"/>
      <c r="DR17" s="71"/>
      <c r="DS17" s="71"/>
      <c r="DT17" s="84"/>
      <c r="DU17" s="71"/>
      <c r="DV17" s="71"/>
      <c r="DW17" s="85"/>
      <c r="DX17" s="78"/>
      <c r="DY17" s="78"/>
      <c r="DZ17" s="79"/>
      <c r="EA17" s="78"/>
      <c r="EB17" s="78"/>
      <c r="EC17" s="79"/>
      <c r="ED17" s="78"/>
      <c r="EE17" s="78"/>
      <c r="EF17" s="79"/>
      <c r="EG17" s="78"/>
      <c r="EH17" s="78"/>
      <c r="EI17" s="79"/>
      <c r="EJ17" s="80">
        <f t="shared" si="13"/>
        <v>0</v>
      </c>
      <c r="EK17" s="78"/>
      <c r="EL17" s="78"/>
      <c r="EM17" s="79"/>
      <c r="EN17" s="78"/>
      <c r="EO17" s="78"/>
      <c r="EP17" s="79"/>
      <c r="EQ17" s="78"/>
      <c r="ER17" s="78"/>
      <c r="ES17" s="79"/>
      <c r="ET17" s="78"/>
      <c r="EU17" s="78"/>
      <c r="EV17" s="79"/>
      <c r="EW17" s="80">
        <f t="shared" si="14"/>
        <v>0</v>
      </c>
    </row>
    <row r="18" spans="1:153" ht="20.100000000000001" customHeight="1" x14ac:dyDescent="0.25">
      <c r="A18" s="70" t="s">
        <v>76</v>
      </c>
      <c r="B18" s="71">
        <v>1</v>
      </c>
      <c r="C18" s="72">
        <v>28</v>
      </c>
      <c r="D18" s="77"/>
      <c r="E18" s="78"/>
      <c r="F18" s="79"/>
      <c r="G18" s="78"/>
      <c r="H18" s="78"/>
      <c r="I18" s="79"/>
      <c r="J18" s="78"/>
      <c r="K18" s="78"/>
      <c r="L18" s="79"/>
      <c r="M18" s="78"/>
      <c r="N18" s="78"/>
      <c r="O18" s="79"/>
      <c r="P18" s="80">
        <f t="shared" si="1"/>
        <v>0</v>
      </c>
      <c r="Q18" s="77"/>
      <c r="R18" s="78"/>
      <c r="S18" s="81"/>
      <c r="T18" s="82"/>
      <c r="U18" s="78"/>
      <c r="V18" s="79"/>
      <c r="W18" s="78"/>
      <c r="X18" s="78"/>
      <c r="Y18" s="79"/>
      <c r="Z18" s="78"/>
      <c r="AA18" s="78"/>
      <c r="AB18" s="79"/>
      <c r="AC18" s="78"/>
      <c r="AD18" s="78"/>
      <c r="AE18" s="79"/>
      <c r="AF18" s="81">
        <f t="shared" si="2"/>
        <v>0</v>
      </c>
      <c r="AG18" s="80">
        <f t="shared" si="3"/>
        <v>0</v>
      </c>
      <c r="AH18" s="77"/>
      <c r="AI18" s="78"/>
      <c r="AJ18" s="79"/>
      <c r="AK18" s="78"/>
      <c r="AL18" s="78"/>
      <c r="AM18" s="79"/>
      <c r="AN18" s="78"/>
      <c r="AO18" s="78"/>
      <c r="AP18" s="79"/>
      <c r="AQ18" s="78"/>
      <c r="AR18" s="78"/>
      <c r="AS18" s="79"/>
      <c r="AT18" s="78">
        <f t="shared" si="4"/>
        <v>0</v>
      </c>
      <c r="AU18" s="77"/>
      <c r="AV18" s="78"/>
      <c r="AW18" s="79"/>
      <c r="AX18" s="78"/>
      <c r="AY18" s="78"/>
      <c r="AZ18" s="79"/>
      <c r="BA18" s="78"/>
      <c r="BB18" s="78"/>
      <c r="BC18" s="79"/>
      <c r="BD18" s="78"/>
      <c r="BE18" s="78"/>
      <c r="BF18" s="79"/>
      <c r="BG18" s="80">
        <f t="shared" si="5"/>
        <v>0</v>
      </c>
      <c r="BH18" s="77"/>
      <c r="BI18" s="81">
        <f t="shared" si="6"/>
        <v>0</v>
      </c>
      <c r="BJ18" s="82"/>
      <c r="BK18" s="78"/>
      <c r="BL18" s="79"/>
      <c r="BM18" s="78"/>
      <c r="BN18" s="78"/>
      <c r="BO18" s="79"/>
      <c r="BP18" s="78"/>
      <c r="BQ18" s="78"/>
      <c r="BR18" s="79"/>
      <c r="BS18" s="78"/>
      <c r="BT18" s="78"/>
      <c r="BU18" s="79"/>
      <c r="BV18" s="81">
        <f t="shared" si="7"/>
        <v>0</v>
      </c>
      <c r="BW18" s="78">
        <f t="shared" si="8"/>
        <v>0</v>
      </c>
      <c r="BX18" s="80">
        <f t="shared" si="9"/>
        <v>0</v>
      </c>
      <c r="BY18" s="77"/>
      <c r="BZ18" s="78"/>
      <c r="CA18" s="79"/>
      <c r="CB18" s="78"/>
      <c r="CC18" s="78"/>
      <c r="CD18" s="79"/>
      <c r="CE18" s="78"/>
      <c r="CF18" s="78"/>
      <c r="CG18" s="79"/>
      <c r="CH18" s="78"/>
      <c r="CI18" s="78"/>
      <c r="CJ18" s="79"/>
      <c r="CK18" s="80">
        <f t="shared" si="10"/>
        <v>0</v>
      </c>
      <c r="CL18" s="77"/>
      <c r="CM18" s="78"/>
      <c r="CN18" s="79"/>
      <c r="CO18" s="78"/>
      <c r="CP18" s="78"/>
      <c r="CQ18" s="79"/>
      <c r="CR18" s="78"/>
      <c r="CS18" s="78"/>
      <c r="CT18" s="79"/>
      <c r="CU18" s="78"/>
      <c r="CV18" s="78"/>
      <c r="CW18" s="79"/>
      <c r="CX18" s="80">
        <f t="shared" si="11"/>
        <v>0</v>
      </c>
      <c r="CY18" s="77"/>
      <c r="CZ18" s="78"/>
      <c r="DA18" s="79"/>
      <c r="DB18" s="78"/>
      <c r="DC18" s="78"/>
      <c r="DD18" s="79"/>
      <c r="DE18" s="78"/>
      <c r="DF18" s="78"/>
      <c r="DG18" s="79"/>
      <c r="DH18" s="78"/>
      <c r="DI18" s="78"/>
      <c r="DJ18" s="79"/>
      <c r="DK18" s="80">
        <f t="shared" si="12"/>
        <v>0</v>
      </c>
      <c r="DL18" s="83"/>
      <c r="DM18" s="71"/>
      <c r="DN18" s="84"/>
      <c r="DO18" s="71"/>
      <c r="DP18" s="71"/>
      <c r="DQ18" s="84"/>
      <c r="DR18" s="71"/>
      <c r="DS18" s="71"/>
      <c r="DT18" s="84"/>
      <c r="DU18" s="71"/>
      <c r="DV18" s="71"/>
      <c r="DW18" s="85"/>
      <c r="DX18" s="78"/>
      <c r="DY18" s="78"/>
      <c r="DZ18" s="79"/>
      <c r="EA18" s="78"/>
      <c r="EB18" s="78"/>
      <c r="EC18" s="79"/>
      <c r="ED18" s="78"/>
      <c r="EE18" s="78"/>
      <c r="EF18" s="79"/>
      <c r="EG18" s="78"/>
      <c r="EH18" s="78"/>
      <c r="EI18" s="79"/>
      <c r="EJ18" s="80">
        <f t="shared" si="13"/>
        <v>0</v>
      </c>
      <c r="EK18" s="78"/>
      <c r="EL18" s="78"/>
      <c r="EM18" s="79"/>
      <c r="EN18" s="78"/>
      <c r="EO18" s="78"/>
      <c r="EP18" s="79"/>
      <c r="EQ18" s="78"/>
      <c r="ER18" s="78"/>
      <c r="ES18" s="79"/>
      <c r="ET18" s="78"/>
      <c r="EU18" s="78"/>
      <c r="EV18" s="79"/>
      <c r="EW18" s="80">
        <f t="shared" si="14"/>
        <v>0</v>
      </c>
    </row>
    <row r="19" spans="1:153" ht="20.100000000000001" customHeight="1" x14ac:dyDescent="0.25">
      <c r="A19" s="70" t="s">
        <v>77</v>
      </c>
      <c r="B19" s="71">
        <v>1</v>
      </c>
      <c r="C19" s="72">
        <v>14</v>
      </c>
      <c r="D19" s="77"/>
      <c r="E19" s="78"/>
      <c r="F19" s="79"/>
      <c r="G19" s="78"/>
      <c r="H19" s="78"/>
      <c r="I19" s="79"/>
      <c r="J19" s="78"/>
      <c r="K19" s="78"/>
      <c r="L19" s="79"/>
      <c r="M19" s="78"/>
      <c r="N19" s="78"/>
      <c r="O19" s="79"/>
      <c r="P19" s="80">
        <f t="shared" si="1"/>
        <v>0</v>
      </c>
      <c r="Q19" s="77"/>
      <c r="R19" s="78"/>
      <c r="S19" s="81"/>
      <c r="T19" s="82"/>
      <c r="U19" s="78"/>
      <c r="V19" s="79"/>
      <c r="W19" s="78"/>
      <c r="X19" s="78"/>
      <c r="Y19" s="79"/>
      <c r="Z19" s="78"/>
      <c r="AA19" s="78"/>
      <c r="AB19" s="79"/>
      <c r="AC19" s="78"/>
      <c r="AD19" s="78"/>
      <c r="AE19" s="79"/>
      <c r="AF19" s="81">
        <f t="shared" si="2"/>
        <v>0</v>
      </c>
      <c r="AG19" s="80">
        <f t="shared" si="3"/>
        <v>0</v>
      </c>
      <c r="AH19" s="77"/>
      <c r="AI19" s="78"/>
      <c r="AJ19" s="79"/>
      <c r="AK19" s="78"/>
      <c r="AL19" s="78"/>
      <c r="AM19" s="79"/>
      <c r="AN19" s="78"/>
      <c r="AO19" s="78"/>
      <c r="AP19" s="79"/>
      <c r="AQ19" s="78"/>
      <c r="AR19" s="78"/>
      <c r="AS19" s="79"/>
      <c r="AT19" s="78">
        <f t="shared" si="4"/>
        <v>0</v>
      </c>
      <c r="AU19" s="77"/>
      <c r="AV19" s="78"/>
      <c r="AW19" s="79"/>
      <c r="AX19" s="78"/>
      <c r="AY19" s="78"/>
      <c r="AZ19" s="79"/>
      <c r="BA19" s="78"/>
      <c r="BB19" s="78"/>
      <c r="BC19" s="79"/>
      <c r="BD19" s="78"/>
      <c r="BE19" s="78"/>
      <c r="BF19" s="79"/>
      <c r="BG19" s="80">
        <f t="shared" si="5"/>
        <v>0</v>
      </c>
      <c r="BH19" s="77"/>
      <c r="BI19" s="81">
        <f t="shared" si="6"/>
        <v>0</v>
      </c>
      <c r="BJ19" s="82"/>
      <c r="BK19" s="78"/>
      <c r="BL19" s="79"/>
      <c r="BM19" s="78"/>
      <c r="BN19" s="78"/>
      <c r="BO19" s="79"/>
      <c r="BP19" s="78"/>
      <c r="BQ19" s="78"/>
      <c r="BR19" s="79"/>
      <c r="BS19" s="78"/>
      <c r="BT19" s="78"/>
      <c r="BU19" s="79"/>
      <c r="BV19" s="81">
        <f t="shared" si="7"/>
        <v>0</v>
      </c>
      <c r="BW19" s="78">
        <f t="shared" si="8"/>
        <v>0</v>
      </c>
      <c r="BX19" s="80">
        <f t="shared" si="9"/>
        <v>0</v>
      </c>
      <c r="BY19" s="77"/>
      <c r="BZ19" s="78"/>
      <c r="CA19" s="79"/>
      <c r="CB19" s="78"/>
      <c r="CC19" s="78"/>
      <c r="CD19" s="79"/>
      <c r="CE19" s="78"/>
      <c r="CF19" s="78"/>
      <c r="CG19" s="79"/>
      <c r="CH19" s="78"/>
      <c r="CI19" s="78"/>
      <c r="CJ19" s="79"/>
      <c r="CK19" s="80">
        <f t="shared" si="10"/>
        <v>0</v>
      </c>
      <c r="CL19" s="77"/>
      <c r="CM19" s="78"/>
      <c r="CN19" s="79"/>
      <c r="CO19" s="78"/>
      <c r="CP19" s="78"/>
      <c r="CQ19" s="79"/>
      <c r="CR19" s="78"/>
      <c r="CS19" s="78"/>
      <c r="CT19" s="79"/>
      <c r="CU19" s="78"/>
      <c r="CV19" s="78"/>
      <c r="CW19" s="79"/>
      <c r="CX19" s="80">
        <f t="shared" si="11"/>
        <v>0</v>
      </c>
      <c r="CY19" s="77"/>
      <c r="CZ19" s="78"/>
      <c r="DA19" s="79"/>
      <c r="DB19" s="78"/>
      <c r="DC19" s="78"/>
      <c r="DD19" s="79"/>
      <c r="DE19" s="78"/>
      <c r="DF19" s="78"/>
      <c r="DG19" s="79"/>
      <c r="DH19" s="78"/>
      <c r="DI19" s="78"/>
      <c r="DJ19" s="79"/>
      <c r="DK19" s="80">
        <f t="shared" si="12"/>
        <v>0</v>
      </c>
      <c r="DL19" s="83"/>
      <c r="DM19" s="71"/>
      <c r="DN19" s="84"/>
      <c r="DO19" s="71"/>
      <c r="DP19" s="71"/>
      <c r="DQ19" s="84"/>
      <c r="DR19" s="71"/>
      <c r="DS19" s="71"/>
      <c r="DT19" s="84"/>
      <c r="DU19" s="71"/>
      <c r="DV19" s="71"/>
      <c r="DW19" s="85"/>
      <c r="DX19" s="78"/>
      <c r="DY19" s="78"/>
      <c r="DZ19" s="79"/>
      <c r="EA19" s="78"/>
      <c r="EB19" s="78"/>
      <c r="EC19" s="79"/>
      <c r="ED19" s="78"/>
      <c r="EE19" s="78"/>
      <c r="EF19" s="79"/>
      <c r="EG19" s="78"/>
      <c r="EH19" s="78"/>
      <c r="EI19" s="79"/>
      <c r="EJ19" s="80">
        <f t="shared" si="13"/>
        <v>0</v>
      </c>
      <c r="EK19" s="78"/>
      <c r="EL19" s="78"/>
      <c r="EM19" s="79"/>
      <c r="EN19" s="78"/>
      <c r="EO19" s="78"/>
      <c r="EP19" s="79"/>
      <c r="EQ19" s="78"/>
      <c r="ER19" s="78"/>
      <c r="ES19" s="79"/>
      <c r="ET19" s="78"/>
      <c r="EU19" s="78"/>
      <c r="EV19" s="79"/>
      <c r="EW19" s="80">
        <f t="shared" si="14"/>
        <v>0</v>
      </c>
    </row>
    <row r="20" spans="1:153" ht="20.100000000000001" customHeight="1" x14ac:dyDescent="0.25">
      <c r="A20" s="70" t="s">
        <v>78</v>
      </c>
      <c r="B20" s="71">
        <v>1</v>
      </c>
      <c r="C20" s="72">
        <v>14</v>
      </c>
      <c r="D20" s="77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80">
        <f t="shared" si="1"/>
        <v>0</v>
      </c>
      <c r="Q20" s="77"/>
      <c r="R20" s="78"/>
      <c r="S20" s="81"/>
      <c r="T20" s="82"/>
      <c r="U20" s="78"/>
      <c r="V20" s="79"/>
      <c r="W20" s="78"/>
      <c r="X20" s="78"/>
      <c r="Y20" s="79"/>
      <c r="Z20" s="78"/>
      <c r="AA20" s="78"/>
      <c r="AB20" s="79"/>
      <c r="AC20" s="78"/>
      <c r="AD20" s="78"/>
      <c r="AE20" s="79"/>
      <c r="AF20" s="81">
        <f t="shared" si="2"/>
        <v>0</v>
      </c>
      <c r="AG20" s="80">
        <f t="shared" si="3"/>
        <v>0</v>
      </c>
      <c r="AH20" s="77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>
        <f t="shared" si="4"/>
        <v>0</v>
      </c>
      <c r="AU20" s="77"/>
      <c r="AV20" s="78"/>
      <c r="AW20" s="79"/>
      <c r="AX20" s="78"/>
      <c r="AY20" s="78"/>
      <c r="AZ20" s="79"/>
      <c r="BA20" s="78"/>
      <c r="BB20" s="78"/>
      <c r="BC20" s="79"/>
      <c r="BD20" s="78"/>
      <c r="BE20" s="78"/>
      <c r="BF20" s="79"/>
      <c r="BG20" s="80">
        <f t="shared" si="5"/>
        <v>0</v>
      </c>
      <c r="BH20" s="77"/>
      <c r="BI20" s="81">
        <f t="shared" si="6"/>
        <v>0</v>
      </c>
      <c r="BJ20" s="82"/>
      <c r="BK20" s="78"/>
      <c r="BL20" s="79"/>
      <c r="BM20" s="78"/>
      <c r="BN20" s="78"/>
      <c r="BO20" s="79"/>
      <c r="BP20" s="78"/>
      <c r="BQ20" s="78"/>
      <c r="BR20" s="79"/>
      <c r="BS20" s="78"/>
      <c r="BT20" s="78"/>
      <c r="BU20" s="79"/>
      <c r="BV20" s="81">
        <f t="shared" si="7"/>
        <v>0</v>
      </c>
      <c r="BW20" s="78">
        <f t="shared" si="8"/>
        <v>0</v>
      </c>
      <c r="BX20" s="80">
        <f t="shared" si="9"/>
        <v>0</v>
      </c>
      <c r="BY20" s="77"/>
      <c r="BZ20" s="78"/>
      <c r="CA20" s="79"/>
      <c r="CB20" s="78"/>
      <c r="CC20" s="78"/>
      <c r="CD20" s="79"/>
      <c r="CE20" s="78"/>
      <c r="CF20" s="78"/>
      <c r="CG20" s="79"/>
      <c r="CH20" s="78"/>
      <c r="CI20" s="78"/>
      <c r="CJ20" s="79"/>
      <c r="CK20" s="80">
        <f t="shared" si="10"/>
        <v>0</v>
      </c>
      <c r="CL20" s="77"/>
      <c r="CM20" s="78"/>
      <c r="CN20" s="79"/>
      <c r="CO20" s="78"/>
      <c r="CP20" s="78"/>
      <c r="CQ20" s="79"/>
      <c r="CR20" s="78"/>
      <c r="CS20" s="78"/>
      <c r="CT20" s="79"/>
      <c r="CU20" s="78"/>
      <c r="CV20" s="78"/>
      <c r="CW20" s="79"/>
      <c r="CX20" s="80">
        <f t="shared" si="11"/>
        <v>0</v>
      </c>
      <c r="CY20" s="77"/>
      <c r="CZ20" s="78"/>
      <c r="DA20" s="79"/>
      <c r="DB20" s="78"/>
      <c r="DC20" s="78"/>
      <c r="DD20" s="79"/>
      <c r="DE20" s="78"/>
      <c r="DF20" s="78"/>
      <c r="DG20" s="79"/>
      <c r="DH20" s="78"/>
      <c r="DI20" s="78"/>
      <c r="DJ20" s="79"/>
      <c r="DK20" s="80">
        <f t="shared" si="12"/>
        <v>0</v>
      </c>
      <c r="DL20" s="83"/>
      <c r="DM20" s="71"/>
      <c r="DN20" s="84"/>
      <c r="DO20" s="71"/>
      <c r="DP20" s="71"/>
      <c r="DQ20" s="84"/>
      <c r="DR20" s="71"/>
      <c r="DS20" s="71"/>
      <c r="DT20" s="84"/>
      <c r="DU20" s="71"/>
      <c r="DV20" s="71"/>
      <c r="DW20" s="85"/>
      <c r="DX20" s="78"/>
      <c r="DY20" s="78"/>
      <c r="DZ20" s="79"/>
      <c r="EA20" s="78"/>
      <c r="EB20" s="78"/>
      <c r="EC20" s="79"/>
      <c r="ED20" s="78"/>
      <c r="EE20" s="78"/>
      <c r="EF20" s="79"/>
      <c r="EG20" s="78"/>
      <c r="EH20" s="78"/>
      <c r="EI20" s="79"/>
      <c r="EJ20" s="80">
        <f t="shared" si="13"/>
        <v>0</v>
      </c>
      <c r="EK20" s="78"/>
      <c r="EL20" s="78"/>
      <c r="EM20" s="79"/>
      <c r="EN20" s="78"/>
      <c r="EO20" s="78"/>
      <c r="EP20" s="79"/>
      <c r="EQ20" s="78"/>
      <c r="ER20" s="78"/>
      <c r="ES20" s="79"/>
      <c r="ET20" s="78"/>
      <c r="EU20" s="78"/>
      <c r="EV20" s="79"/>
      <c r="EW20" s="80">
        <f t="shared" si="14"/>
        <v>0</v>
      </c>
    </row>
    <row r="21" spans="1:153" ht="20.100000000000001" customHeight="1" x14ac:dyDescent="0.25">
      <c r="A21" s="70" t="s">
        <v>79</v>
      </c>
      <c r="B21" s="71">
        <v>1</v>
      </c>
      <c r="C21" s="72">
        <v>14</v>
      </c>
      <c r="D21" s="77"/>
      <c r="E21" s="78"/>
      <c r="F21" s="79"/>
      <c r="G21" s="78"/>
      <c r="H21" s="78"/>
      <c r="I21" s="79"/>
      <c r="J21" s="78"/>
      <c r="K21" s="78"/>
      <c r="L21" s="79"/>
      <c r="M21" s="78"/>
      <c r="N21" s="78"/>
      <c r="O21" s="79"/>
      <c r="P21" s="80">
        <f t="shared" si="1"/>
        <v>0</v>
      </c>
      <c r="Q21" s="77"/>
      <c r="R21" s="78"/>
      <c r="S21" s="81"/>
      <c r="T21" s="82"/>
      <c r="U21" s="78"/>
      <c r="V21" s="79"/>
      <c r="W21" s="78"/>
      <c r="X21" s="78"/>
      <c r="Y21" s="79"/>
      <c r="Z21" s="78"/>
      <c r="AA21" s="78"/>
      <c r="AB21" s="79"/>
      <c r="AC21" s="78"/>
      <c r="AD21" s="78"/>
      <c r="AE21" s="79"/>
      <c r="AF21" s="81">
        <f t="shared" si="2"/>
        <v>0</v>
      </c>
      <c r="AG21" s="80">
        <f t="shared" si="3"/>
        <v>0</v>
      </c>
      <c r="AH21" s="77"/>
      <c r="AI21" s="78"/>
      <c r="AJ21" s="79"/>
      <c r="AK21" s="78"/>
      <c r="AL21" s="78"/>
      <c r="AM21" s="79"/>
      <c r="AN21" s="78"/>
      <c r="AO21" s="78"/>
      <c r="AP21" s="79"/>
      <c r="AQ21" s="78"/>
      <c r="AR21" s="78"/>
      <c r="AS21" s="79"/>
      <c r="AT21" s="78">
        <f t="shared" si="4"/>
        <v>0</v>
      </c>
      <c r="AU21" s="77"/>
      <c r="AV21" s="78"/>
      <c r="AW21" s="79"/>
      <c r="AX21" s="78"/>
      <c r="AY21" s="78"/>
      <c r="AZ21" s="79"/>
      <c r="BA21" s="78"/>
      <c r="BB21" s="78"/>
      <c r="BC21" s="79"/>
      <c r="BD21" s="78"/>
      <c r="BE21" s="78"/>
      <c r="BF21" s="79"/>
      <c r="BG21" s="80">
        <f t="shared" si="5"/>
        <v>0</v>
      </c>
      <c r="BH21" s="77"/>
      <c r="BI21" s="81">
        <f t="shared" si="6"/>
        <v>0</v>
      </c>
      <c r="BJ21" s="82"/>
      <c r="BK21" s="78"/>
      <c r="BL21" s="79"/>
      <c r="BM21" s="78"/>
      <c r="BN21" s="78"/>
      <c r="BO21" s="79"/>
      <c r="BP21" s="78"/>
      <c r="BQ21" s="78"/>
      <c r="BR21" s="79"/>
      <c r="BS21" s="78"/>
      <c r="BT21" s="78"/>
      <c r="BU21" s="79"/>
      <c r="BV21" s="81">
        <f t="shared" si="7"/>
        <v>0</v>
      </c>
      <c r="BW21" s="78">
        <f t="shared" si="8"/>
        <v>0</v>
      </c>
      <c r="BX21" s="80">
        <f t="shared" si="9"/>
        <v>0</v>
      </c>
      <c r="BY21" s="77"/>
      <c r="BZ21" s="78"/>
      <c r="CA21" s="79"/>
      <c r="CB21" s="78"/>
      <c r="CC21" s="78"/>
      <c r="CD21" s="79"/>
      <c r="CE21" s="78"/>
      <c r="CF21" s="78"/>
      <c r="CG21" s="79"/>
      <c r="CH21" s="78"/>
      <c r="CI21" s="78"/>
      <c r="CJ21" s="79"/>
      <c r="CK21" s="80">
        <f t="shared" si="10"/>
        <v>0</v>
      </c>
      <c r="CL21" s="77"/>
      <c r="CM21" s="78"/>
      <c r="CN21" s="79"/>
      <c r="CO21" s="78"/>
      <c r="CP21" s="78"/>
      <c r="CQ21" s="79"/>
      <c r="CR21" s="78"/>
      <c r="CS21" s="78"/>
      <c r="CT21" s="79"/>
      <c r="CU21" s="78"/>
      <c r="CV21" s="78"/>
      <c r="CW21" s="79"/>
      <c r="CX21" s="80">
        <f t="shared" si="11"/>
        <v>0</v>
      </c>
      <c r="CY21" s="77"/>
      <c r="CZ21" s="78"/>
      <c r="DA21" s="79"/>
      <c r="DB21" s="78"/>
      <c r="DC21" s="78"/>
      <c r="DD21" s="79"/>
      <c r="DE21" s="78"/>
      <c r="DF21" s="78"/>
      <c r="DG21" s="79"/>
      <c r="DH21" s="78"/>
      <c r="DI21" s="78"/>
      <c r="DJ21" s="79"/>
      <c r="DK21" s="80">
        <f t="shared" si="12"/>
        <v>0</v>
      </c>
      <c r="DL21" s="83"/>
      <c r="DM21" s="71"/>
      <c r="DN21" s="84"/>
      <c r="DO21" s="71"/>
      <c r="DP21" s="71"/>
      <c r="DQ21" s="84"/>
      <c r="DR21" s="71"/>
      <c r="DS21" s="71"/>
      <c r="DT21" s="84"/>
      <c r="DU21" s="71"/>
      <c r="DV21" s="71"/>
      <c r="DW21" s="85"/>
      <c r="DX21" s="78"/>
      <c r="DY21" s="78"/>
      <c r="DZ21" s="79"/>
      <c r="EA21" s="78"/>
      <c r="EB21" s="78"/>
      <c r="EC21" s="79"/>
      <c r="ED21" s="78"/>
      <c r="EE21" s="78"/>
      <c r="EF21" s="79"/>
      <c r="EG21" s="78"/>
      <c r="EH21" s="78"/>
      <c r="EI21" s="79"/>
      <c r="EJ21" s="80">
        <f t="shared" si="13"/>
        <v>0</v>
      </c>
      <c r="EK21" s="78"/>
      <c r="EL21" s="78"/>
      <c r="EM21" s="79"/>
      <c r="EN21" s="78"/>
      <c r="EO21" s="78"/>
      <c r="EP21" s="79"/>
      <c r="EQ21" s="78"/>
      <c r="ER21" s="78"/>
      <c r="ES21" s="79"/>
      <c r="ET21" s="78"/>
      <c r="EU21" s="78"/>
      <c r="EV21" s="79"/>
      <c r="EW21" s="80">
        <f t="shared" si="14"/>
        <v>0</v>
      </c>
    </row>
    <row r="22" spans="1:153" ht="20.100000000000001" customHeight="1" x14ac:dyDescent="0.25">
      <c r="A22" s="70" t="s">
        <v>80</v>
      </c>
      <c r="B22" s="71">
        <v>1</v>
      </c>
      <c r="C22" s="72">
        <v>14</v>
      </c>
      <c r="D22" s="77"/>
      <c r="E22" s="78"/>
      <c r="F22" s="79"/>
      <c r="G22" s="78"/>
      <c r="H22" s="78"/>
      <c r="I22" s="79"/>
      <c r="J22" s="78"/>
      <c r="K22" s="78"/>
      <c r="L22" s="79"/>
      <c r="M22" s="78"/>
      <c r="N22" s="78"/>
      <c r="O22" s="79"/>
      <c r="P22" s="80">
        <f t="shared" si="1"/>
        <v>0</v>
      </c>
      <c r="Q22" s="77"/>
      <c r="R22" s="78"/>
      <c r="S22" s="81"/>
      <c r="T22" s="82"/>
      <c r="U22" s="78"/>
      <c r="V22" s="79"/>
      <c r="W22" s="78"/>
      <c r="X22" s="78"/>
      <c r="Y22" s="79"/>
      <c r="Z22" s="78"/>
      <c r="AA22" s="78"/>
      <c r="AB22" s="79"/>
      <c r="AC22" s="78"/>
      <c r="AD22" s="78"/>
      <c r="AE22" s="79"/>
      <c r="AF22" s="81">
        <f t="shared" si="2"/>
        <v>0</v>
      </c>
      <c r="AG22" s="80">
        <f t="shared" si="3"/>
        <v>0</v>
      </c>
      <c r="AH22" s="77"/>
      <c r="AI22" s="78"/>
      <c r="AJ22" s="79"/>
      <c r="AK22" s="78"/>
      <c r="AL22" s="78"/>
      <c r="AM22" s="79"/>
      <c r="AN22" s="78"/>
      <c r="AO22" s="78"/>
      <c r="AP22" s="79"/>
      <c r="AQ22" s="78"/>
      <c r="AR22" s="78"/>
      <c r="AS22" s="79"/>
      <c r="AT22" s="78">
        <f t="shared" si="4"/>
        <v>0</v>
      </c>
      <c r="AU22" s="77"/>
      <c r="AV22" s="78"/>
      <c r="AW22" s="79"/>
      <c r="AX22" s="78"/>
      <c r="AY22" s="78"/>
      <c r="AZ22" s="79"/>
      <c r="BA22" s="78"/>
      <c r="BB22" s="78"/>
      <c r="BC22" s="79"/>
      <c r="BD22" s="78"/>
      <c r="BE22" s="78"/>
      <c r="BF22" s="79"/>
      <c r="BG22" s="80">
        <f t="shared" si="5"/>
        <v>0</v>
      </c>
      <c r="BH22" s="77"/>
      <c r="BI22" s="81">
        <f t="shared" si="6"/>
        <v>0</v>
      </c>
      <c r="BJ22" s="82"/>
      <c r="BK22" s="78"/>
      <c r="BL22" s="79"/>
      <c r="BM22" s="78"/>
      <c r="BN22" s="78"/>
      <c r="BO22" s="79"/>
      <c r="BP22" s="78"/>
      <c r="BQ22" s="78"/>
      <c r="BR22" s="79"/>
      <c r="BS22" s="78"/>
      <c r="BT22" s="78"/>
      <c r="BU22" s="79"/>
      <c r="BV22" s="81">
        <f t="shared" si="7"/>
        <v>0</v>
      </c>
      <c r="BW22" s="78">
        <f t="shared" si="8"/>
        <v>0</v>
      </c>
      <c r="BX22" s="80">
        <f t="shared" si="9"/>
        <v>0</v>
      </c>
      <c r="BY22" s="77"/>
      <c r="BZ22" s="78"/>
      <c r="CA22" s="79"/>
      <c r="CB22" s="78"/>
      <c r="CC22" s="78"/>
      <c r="CD22" s="79"/>
      <c r="CE22" s="78"/>
      <c r="CF22" s="78"/>
      <c r="CG22" s="79"/>
      <c r="CH22" s="78"/>
      <c r="CI22" s="78"/>
      <c r="CJ22" s="79"/>
      <c r="CK22" s="80">
        <f t="shared" si="10"/>
        <v>0</v>
      </c>
      <c r="CL22" s="77"/>
      <c r="CM22" s="78"/>
      <c r="CN22" s="79"/>
      <c r="CO22" s="78"/>
      <c r="CP22" s="78"/>
      <c r="CQ22" s="79"/>
      <c r="CR22" s="78"/>
      <c r="CS22" s="78"/>
      <c r="CT22" s="79"/>
      <c r="CU22" s="78"/>
      <c r="CV22" s="78"/>
      <c r="CW22" s="79"/>
      <c r="CX22" s="80">
        <f t="shared" si="11"/>
        <v>0</v>
      </c>
      <c r="CY22" s="77"/>
      <c r="CZ22" s="78"/>
      <c r="DA22" s="79"/>
      <c r="DB22" s="78"/>
      <c r="DC22" s="78"/>
      <c r="DD22" s="79"/>
      <c r="DE22" s="78"/>
      <c r="DF22" s="78"/>
      <c r="DG22" s="79"/>
      <c r="DH22" s="78"/>
      <c r="DI22" s="78"/>
      <c r="DJ22" s="79"/>
      <c r="DK22" s="80">
        <f t="shared" si="12"/>
        <v>0</v>
      </c>
      <c r="DL22" s="83"/>
      <c r="DM22" s="71"/>
      <c r="DN22" s="84"/>
      <c r="DO22" s="71"/>
      <c r="DP22" s="71"/>
      <c r="DQ22" s="84"/>
      <c r="DR22" s="71"/>
      <c r="DS22" s="71"/>
      <c r="DT22" s="84"/>
      <c r="DU22" s="71"/>
      <c r="DV22" s="71"/>
      <c r="DW22" s="85"/>
      <c r="DX22" s="78"/>
      <c r="DY22" s="78"/>
      <c r="DZ22" s="79"/>
      <c r="EA22" s="78"/>
      <c r="EB22" s="78"/>
      <c r="EC22" s="79"/>
      <c r="ED22" s="78"/>
      <c r="EE22" s="78"/>
      <c r="EF22" s="79"/>
      <c r="EG22" s="78"/>
      <c r="EH22" s="78"/>
      <c r="EI22" s="79"/>
      <c r="EJ22" s="80">
        <f t="shared" si="13"/>
        <v>0</v>
      </c>
      <c r="EK22" s="78"/>
      <c r="EL22" s="78"/>
      <c r="EM22" s="79"/>
      <c r="EN22" s="78"/>
      <c r="EO22" s="78"/>
      <c r="EP22" s="79"/>
      <c r="EQ22" s="78"/>
      <c r="ER22" s="78"/>
      <c r="ES22" s="79"/>
      <c r="ET22" s="78"/>
      <c r="EU22" s="78"/>
      <c r="EV22" s="79"/>
      <c r="EW22" s="80">
        <f t="shared" si="14"/>
        <v>0</v>
      </c>
    </row>
    <row r="23" spans="1:153" ht="20.100000000000001" customHeight="1" x14ac:dyDescent="0.25">
      <c r="A23" s="70" t="s">
        <v>21</v>
      </c>
      <c r="B23" s="71">
        <v>1</v>
      </c>
      <c r="C23" s="72">
        <v>30</v>
      </c>
      <c r="D23" s="77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80">
        <f t="shared" si="1"/>
        <v>0</v>
      </c>
      <c r="Q23" s="77"/>
      <c r="R23" s="78"/>
      <c r="S23" s="81"/>
      <c r="T23" s="82"/>
      <c r="U23" s="78"/>
      <c r="V23" s="79"/>
      <c r="W23" s="78"/>
      <c r="X23" s="78"/>
      <c r="Y23" s="79"/>
      <c r="Z23" s="78"/>
      <c r="AA23" s="78"/>
      <c r="AB23" s="79"/>
      <c r="AC23" s="78"/>
      <c r="AD23" s="78"/>
      <c r="AE23" s="79"/>
      <c r="AF23" s="81">
        <f t="shared" si="2"/>
        <v>0</v>
      </c>
      <c r="AG23" s="80">
        <f t="shared" si="3"/>
        <v>0</v>
      </c>
      <c r="AH23" s="77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>
        <f t="shared" si="4"/>
        <v>0</v>
      </c>
      <c r="AU23" s="77"/>
      <c r="AV23" s="78"/>
      <c r="AW23" s="79"/>
      <c r="AX23" s="78"/>
      <c r="AY23" s="78"/>
      <c r="AZ23" s="79"/>
      <c r="BA23" s="78"/>
      <c r="BB23" s="78"/>
      <c r="BC23" s="79"/>
      <c r="BD23" s="78"/>
      <c r="BE23" s="78"/>
      <c r="BF23" s="79"/>
      <c r="BG23" s="80">
        <f t="shared" si="5"/>
        <v>0</v>
      </c>
      <c r="BH23" s="77"/>
      <c r="BI23" s="81">
        <f t="shared" si="6"/>
        <v>0</v>
      </c>
      <c r="BJ23" s="82"/>
      <c r="BK23" s="78"/>
      <c r="BL23" s="79"/>
      <c r="BM23" s="78"/>
      <c r="BN23" s="78"/>
      <c r="BO23" s="79"/>
      <c r="BP23" s="78"/>
      <c r="BQ23" s="78"/>
      <c r="BR23" s="79"/>
      <c r="BS23" s="78"/>
      <c r="BT23" s="78"/>
      <c r="BU23" s="79"/>
      <c r="BV23" s="81">
        <f t="shared" si="7"/>
        <v>0</v>
      </c>
      <c r="BW23" s="78">
        <f t="shared" si="8"/>
        <v>0</v>
      </c>
      <c r="BX23" s="80">
        <f t="shared" si="9"/>
        <v>0</v>
      </c>
      <c r="BY23" s="77"/>
      <c r="BZ23" s="78"/>
      <c r="CA23" s="79"/>
      <c r="CB23" s="78"/>
      <c r="CC23" s="78"/>
      <c r="CD23" s="79"/>
      <c r="CE23" s="78"/>
      <c r="CF23" s="78"/>
      <c r="CG23" s="79"/>
      <c r="CH23" s="78"/>
      <c r="CI23" s="78"/>
      <c r="CJ23" s="79"/>
      <c r="CK23" s="80">
        <f t="shared" si="10"/>
        <v>0</v>
      </c>
      <c r="CL23" s="77"/>
      <c r="CM23" s="78"/>
      <c r="CN23" s="79"/>
      <c r="CO23" s="78"/>
      <c r="CP23" s="78"/>
      <c r="CQ23" s="79"/>
      <c r="CR23" s="78"/>
      <c r="CS23" s="78"/>
      <c r="CT23" s="79"/>
      <c r="CU23" s="78"/>
      <c r="CV23" s="78"/>
      <c r="CW23" s="79"/>
      <c r="CX23" s="80">
        <f t="shared" si="11"/>
        <v>0</v>
      </c>
      <c r="CY23" s="77"/>
      <c r="CZ23" s="78"/>
      <c r="DA23" s="79"/>
      <c r="DB23" s="78"/>
      <c r="DC23" s="78"/>
      <c r="DD23" s="79"/>
      <c r="DE23" s="78"/>
      <c r="DF23" s="78"/>
      <c r="DG23" s="79"/>
      <c r="DH23" s="78"/>
      <c r="DI23" s="78"/>
      <c r="DJ23" s="79"/>
      <c r="DK23" s="80">
        <f t="shared" si="12"/>
        <v>0</v>
      </c>
      <c r="DL23" s="83"/>
      <c r="DM23" s="71"/>
      <c r="DN23" s="84"/>
      <c r="DO23" s="71"/>
      <c r="DP23" s="71"/>
      <c r="DQ23" s="84"/>
      <c r="DR23" s="71"/>
      <c r="DS23" s="71"/>
      <c r="DT23" s="84"/>
      <c r="DU23" s="71"/>
      <c r="DV23" s="71"/>
      <c r="DW23" s="85"/>
      <c r="DX23" s="78"/>
      <c r="DY23" s="78"/>
      <c r="DZ23" s="79"/>
      <c r="EA23" s="78"/>
      <c r="EB23" s="78"/>
      <c r="EC23" s="79"/>
      <c r="ED23" s="78"/>
      <c r="EE23" s="78"/>
      <c r="EF23" s="79"/>
      <c r="EG23" s="78"/>
      <c r="EH23" s="78"/>
      <c r="EI23" s="79"/>
      <c r="EJ23" s="80">
        <f t="shared" si="13"/>
        <v>0</v>
      </c>
      <c r="EK23" s="78"/>
      <c r="EL23" s="78"/>
      <c r="EM23" s="79"/>
      <c r="EN23" s="78"/>
      <c r="EO23" s="78"/>
      <c r="EP23" s="79"/>
      <c r="EQ23" s="78"/>
      <c r="ER23" s="78"/>
      <c r="ES23" s="79"/>
      <c r="ET23" s="78"/>
      <c r="EU23" s="78"/>
      <c r="EV23" s="79"/>
      <c r="EW23" s="80">
        <f t="shared" si="14"/>
        <v>0</v>
      </c>
    </row>
    <row r="24" spans="1:153" ht="20.100000000000001" customHeight="1" x14ac:dyDescent="0.25">
      <c r="A24" s="70" t="s">
        <v>81</v>
      </c>
      <c r="B24" s="71">
        <v>0.5</v>
      </c>
      <c r="C24" s="72">
        <v>58</v>
      </c>
      <c r="D24" s="77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80">
        <f t="shared" si="1"/>
        <v>0</v>
      </c>
      <c r="Q24" s="77"/>
      <c r="R24" s="78"/>
      <c r="S24" s="81"/>
      <c r="T24" s="82"/>
      <c r="U24" s="78"/>
      <c r="V24" s="79"/>
      <c r="W24" s="78"/>
      <c r="X24" s="78"/>
      <c r="Y24" s="79"/>
      <c r="Z24" s="78"/>
      <c r="AA24" s="78"/>
      <c r="AB24" s="79"/>
      <c r="AC24" s="78"/>
      <c r="AD24" s="78"/>
      <c r="AE24" s="79"/>
      <c r="AF24" s="81">
        <f t="shared" si="2"/>
        <v>0</v>
      </c>
      <c r="AG24" s="80">
        <f t="shared" si="3"/>
        <v>0</v>
      </c>
      <c r="AH24" s="77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>
        <f t="shared" si="4"/>
        <v>0</v>
      </c>
      <c r="AU24" s="77"/>
      <c r="AV24" s="78"/>
      <c r="AW24" s="79"/>
      <c r="AX24" s="78"/>
      <c r="AY24" s="78"/>
      <c r="AZ24" s="79"/>
      <c r="BA24" s="78"/>
      <c r="BB24" s="78"/>
      <c r="BC24" s="79"/>
      <c r="BD24" s="78"/>
      <c r="BE24" s="78"/>
      <c r="BF24" s="79"/>
      <c r="BG24" s="80">
        <f t="shared" si="5"/>
        <v>0</v>
      </c>
      <c r="BH24" s="77"/>
      <c r="BI24" s="81">
        <f t="shared" si="6"/>
        <v>0</v>
      </c>
      <c r="BJ24" s="82"/>
      <c r="BK24" s="78"/>
      <c r="BL24" s="79"/>
      <c r="BM24" s="78"/>
      <c r="BN24" s="78"/>
      <c r="BO24" s="79"/>
      <c r="BP24" s="78"/>
      <c r="BQ24" s="78"/>
      <c r="BR24" s="79"/>
      <c r="BS24" s="78"/>
      <c r="BT24" s="78"/>
      <c r="BU24" s="79"/>
      <c r="BV24" s="81">
        <f t="shared" si="7"/>
        <v>0</v>
      </c>
      <c r="BW24" s="78">
        <f t="shared" si="8"/>
        <v>0</v>
      </c>
      <c r="BX24" s="80">
        <f t="shared" si="9"/>
        <v>0</v>
      </c>
      <c r="BY24" s="77"/>
      <c r="BZ24" s="78"/>
      <c r="CA24" s="79"/>
      <c r="CB24" s="78"/>
      <c r="CC24" s="78"/>
      <c r="CD24" s="79"/>
      <c r="CE24" s="78"/>
      <c r="CF24" s="78"/>
      <c r="CG24" s="79"/>
      <c r="CH24" s="78"/>
      <c r="CI24" s="78"/>
      <c r="CJ24" s="79"/>
      <c r="CK24" s="80">
        <f t="shared" si="10"/>
        <v>0</v>
      </c>
      <c r="CL24" s="77"/>
      <c r="CM24" s="78"/>
      <c r="CN24" s="79"/>
      <c r="CO24" s="78"/>
      <c r="CP24" s="78"/>
      <c r="CQ24" s="79"/>
      <c r="CR24" s="78"/>
      <c r="CS24" s="78"/>
      <c r="CT24" s="79"/>
      <c r="CU24" s="78"/>
      <c r="CV24" s="78"/>
      <c r="CW24" s="79"/>
      <c r="CX24" s="80">
        <f t="shared" si="11"/>
        <v>0</v>
      </c>
      <c r="CY24" s="77"/>
      <c r="CZ24" s="78"/>
      <c r="DA24" s="79"/>
      <c r="DB24" s="78"/>
      <c r="DC24" s="78"/>
      <c r="DD24" s="79"/>
      <c r="DE24" s="78"/>
      <c r="DF24" s="78"/>
      <c r="DG24" s="79"/>
      <c r="DH24" s="78"/>
      <c r="DI24" s="78"/>
      <c r="DJ24" s="79"/>
      <c r="DK24" s="80">
        <f t="shared" si="12"/>
        <v>0</v>
      </c>
      <c r="DL24" s="83"/>
      <c r="DM24" s="71"/>
      <c r="DN24" s="84"/>
      <c r="DO24" s="71"/>
      <c r="DP24" s="71"/>
      <c r="DQ24" s="84"/>
      <c r="DR24" s="71"/>
      <c r="DS24" s="71"/>
      <c r="DT24" s="84"/>
      <c r="DU24" s="71"/>
      <c r="DV24" s="71"/>
      <c r="DW24" s="85"/>
      <c r="DX24" s="78"/>
      <c r="DY24" s="78"/>
      <c r="DZ24" s="79"/>
      <c r="EA24" s="78"/>
      <c r="EB24" s="78"/>
      <c r="EC24" s="79"/>
      <c r="ED24" s="78"/>
      <c r="EE24" s="78"/>
      <c r="EF24" s="79"/>
      <c r="EG24" s="78"/>
      <c r="EH24" s="78"/>
      <c r="EI24" s="79"/>
      <c r="EJ24" s="80">
        <f t="shared" si="13"/>
        <v>0</v>
      </c>
      <c r="EK24" s="78"/>
      <c r="EL24" s="78"/>
      <c r="EM24" s="79"/>
      <c r="EN24" s="78"/>
      <c r="EO24" s="78"/>
      <c r="EP24" s="79"/>
      <c r="EQ24" s="78"/>
      <c r="ER24" s="78"/>
      <c r="ES24" s="79"/>
      <c r="ET24" s="78"/>
      <c r="EU24" s="78"/>
      <c r="EV24" s="79"/>
      <c r="EW24" s="80">
        <f t="shared" si="14"/>
        <v>0</v>
      </c>
    </row>
    <row r="25" spans="1:153" ht="20.100000000000001" customHeight="1" x14ac:dyDescent="0.25">
      <c r="A25" s="70" t="s">
        <v>82</v>
      </c>
      <c r="B25" s="71">
        <v>0.5</v>
      </c>
      <c r="C25" s="72">
        <v>58</v>
      </c>
      <c r="D25" s="77"/>
      <c r="E25" s="78"/>
      <c r="F25" s="79"/>
      <c r="G25" s="78"/>
      <c r="H25" s="78"/>
      <c r="I25" s="79"/>
      <c r="J25" s="78"/>
      <c r="K25" s="78"/>
      <c r="L25" s="79"/>
      <c r="M25" s="78"/>
      <c r="N25" s="78"/>
      <c r="O25" s="79"/>
      <c r="P25" s="80">
        <f t="shared" si="1"/>
        <v>0</v>
      </c>
      <c r="Q25" s="77"/>
      <c r="R25" s="78"/>
      <c r="S25" s="81"/>
      <c r="T25" s="82"/>
      <c r="U25" s="78"/>
      <c r="V25" s="79"/>
      <c r="W25" s="78"/>
      <c r="X25" s="78"/>
      <c r="Y25" s="79"/>
      <c r="Z25" s="78"/>
      <c r="AA25" s="78"/>
      <c r="AB25" s="79"/>
      <c r="AC25" s="78"/>
      <c r="AD25" s="78"/>
      <c r="AE25" s="79"/>
      <c r="AF25" s="81">
        <f t="shared" si="2"/>
        <v>0</v>
      </c>
      <c r="AG25" s="80">
        <f t="shared" si="3"/>
        <v>0</v>
      </c>
      <c r="AH25" s="77"/>
      <c r="AI25" s="78"/>
      <c r="AJ25" s="79"/>
      <c r="AK25" s="78"/>
      <c r="AL25" s="78"/>
      <c r="AM25" s="79"/>
      <c r="AN25" s="78"/>
      <c r="AO25" s="78"/>
      <c r="AP25" s="79"/>
      <c r="AQ25" s="78"/>
      <c r="AR25" s="78"/>
      <c r="AS25" s="79"/>
      <c r="AT25" s="78">
        <f t="shared" si="4"/>
        <v>0</v>
      </c>
      <c r="AU25" s="77"/>
      <c r="AV25" s="78"/>
      <c r="AW25" s="79"/>
      <c r="AX25" s="78"/>
      <c r="AY25" s="78"/>
      <c r="AZ25" s="79"/>
      <c r="BA25" s="78"/>
      <c r="BB25" s="78"/>
      <c r="BC25" s="79"/>
      <c r="BD25" s="78"/>
      <c r="BE25" s="78"/>
      <c r="BF25" s="79"/>
      <c r="BG25" s="80">
        <f t="shared" si="5"/>
        <v>0</v>
      </c>
      <c r="BH25" s="77"/>
      <c r="BI25" s="81">
        <f t="shared" si="6"/>
        <v>0</v>
      </c>
      <c r="BJ25" s="82"/>
      <c r="BK25" s="78"/>
      <c r="BL25" s="79"/>
      <c r="BM25" s="78"/>
      <c r="BN25" s="78"/>
      <c r="BO25" s="79"/>
      <c r="BP25" s="78"/>
      <c r="BQ25" s="78"/>
      <c r="BR25" s="79"/>
      <c r="BS25" s="78"/>
      <c r="BT25" s="78"/>
      <c r="BU25" s="79"/>
      <c r="BV25" s="81">
        <f t="shared" si="7"/>
        <v>0</v>
      </c>
      <c r="BW25" s="78">
        <f t="shared" si="8"/>
        <v>0</v>
      </c>
      <c r="BX25" s="80">
        <f t="shared" si="9"/>
        <v>0</v>
      </c>
      <c r="BY25" s="77"/>
      <c r="BZ25" s="78"/>
      <c r="CA25" s="79"/>
      <c r="CB25" s="78"/>
      <c r="CC25" s="78"/>
      <c r="CD25" s="79"/>
      <c r="CE25" s="78"/>
      <c r="CF25" s="78"/>
      <c r="CG25" s="79"/>
      <c r="CH25" s="78"/>
      <c r="CI25" s="78"/>
      <c r="CJ25" s="79"/>
      <c r="CK25" s="80">
        <f t="shared" si="10"/>
        <v>0</v>
      </c>
      <c r="CL25" s="77"/>
      <c r="CM25" s="78"/>
      <c r="CN25" s="79"/>
      <c r="CO25" s="78"/>
      <c r="CP25" s="78"/>
      <c r="CQ25" s="79"/>
      <c r="CR25" s="78"/>
      <c r="CS25" s="78"/>
      <c r="CT25" s="79"/>
      <c r="CU25" s="78"/>
      <c r="CV25" s="78"/>
      <c r="CW25" s="79"/>
      <c r="CX25" s="80">
        <f t="shared" si="11"/>
        <v>0</v>
      </c>
      <c r="CY25" s="77"/>
      <c r="CZ25" s="78"/>
      <c r="DA25" s="79"/>
      <c r="DB25" s="78"/>
      <c r="DC25" s="78"/>
      <c r="DD25" s="79"/>
      <c r="DE25" s="78"/>
      <c r="DF25" s="78"/>
      <c r="DG25" s="79"/>
      <c r="DH25" s="78"/>
      <c r="DI25" s="78"/>
      <c r="DJ25" s="79"/>
      <c r="DK25" s="80">
        <f t="shared" si="12"/>
        <v>0</v>
      </c>
      <c r="DL25" s="83"/>
      <c r="DM25" s="71"/>
      <c r="DN25" s="84"/>
      <c r="DO25" s="71"/>
      <c r="DP25" s="71"/>
      <c r="DQ25" s="84"/>
      <c r="DR25" s="71"/>
      <c r="DS25" s="71"/>
      <c r="DT25" s="84"/>
      <c r="DU25" s="71"/>
      <c r="DV25" s="71"/>
      <c r="DW25" s="85"/>
      <c r="DX25" s="78"/>
      <c r="DY25" s="78"/>
      <c r="DZ25" s="79"/>
      <c r="EA25" s="78"/>
      <c r="EB25" s="78"/>
      <c r="EC25" s="79"/>
      <c r="ED25" s="78"/>
      <c r="EE25" s="78"/>
      <c r="EF25" s="79"/>
      <c r="EG25" s="78"/>
      <c r="EH25" s="78"/>
      <c r="EI25" s="79"/>
      <c r="EJ25" s="80">
        <f t="shared" si="13"/>
        <v>0</v>
      </c>
      <c r="EK25" s="78"/>
      <c r="EL25" s="78"/>
      <c r="EM25" s="79"/>
      <c r="EN25" s="78"/>
      <c r="EO25" s="78"/>
      <c r="EP25" s="79"/>
      <c r="EQ25" s="78"/>
      <c r="ER25" s="78"/>
      <c r="ES25" s="79"/>
      <c r="ET25" s="78"/>
      <c r="EU25" s="78"/>
      <c r="EV25" s="79"/>
      <c r="EW25" s="80">
        <f t="shared" si="14"/>
        <v>0</v>
      </c>
    </row>
    <row r="26" spans="1:153" ht="20.100000000000001" customHeight="1" x14ac:dyDescent="0.25">
      <c r="A26" s="70" t="s">
        <v>83</v>
      </c>
      <c r="B26" s="71">
        <v>0.5</v>
      </c>
      <c r="C26" s="72">
        <v>58</v>
      </c>
      <c r="D26" s="77"/>
      <c r="E26" s="78"/>
      <c r="F26" s="79"/>
      <c r="G26" s="78"/>
      <c r="H26" s="78"/>
      <c r="I26" s="79"/>
      <c r="J26" s="78"/>
      <c r="K26" s="78"/>
      <c r="L26" s="79"/>
      <c r="M26" s="78"/>
      <c r="N26" s="78"/>
      <c r="O26" s="79"/>
      <c r="P26" s="80">
        <f t="shared" si="1"/>
        <v>0</v>
      </c>
      <c r="Q26" s="77"/>
      <c r="R26" s="78"/>
      <c r="S26" s="81"/>
      <c r="T26" s="82"/>
      <c r="U26" s="78"/>
      <c r="V26" s="79"/>
      <c r="W26" s="78"/>
      <c r="X26" s="78"/>
      <c r="Y26" s="79"/>
      <c r="Z26" s="78"/>
      <c r="AA26" s="78"/>
      <c r="AB26" s="79"/>
      <c r="AC26" s="78"/>
      <c r="AD26" s="78"/>
      <c r="AE26" s="79"/>
      <c r="AF26" s="81">
        <f t="shared" si="2"/>
        <v>0</v>
      </c>
      <c r="AG26" s="80">
        <f t="shared" si="3"/>
        <v>0</v>
      </c>
      <c r="AH26" s="77"/>
      <c r="AI26" s="78"/>
      <c r="AJ26" s="79"/>
      <c r="AK26" s="78"/>
      <c r="AL26" s="78"/>
      <c r="AM26" s="79"/>
      <c r="AN26" s="78"/>
      <c r="AO26" s="78"/>
      <c r="AP26" s="79"/>
      <c r="AQ26" s="78"/>
      <c r="AR26" s="78"/>
      <c r="AS26" s="79"/>
      <c r="AT26" s="78">
        <f t="shared" si="4"/>
        <v>0</v>
      </c>
      <c r="AU26" s="77"/>
      <c r="AV26" s="78"/>
      <c r="AW26" s="79"/>
      <c r="AX26" s="78"/>
      <c r="AY26" s="78"/>
      <c r="AZ26" s="79"/>
      <c r="BA26" s="78"/>
      <c r="BB26" s="78"/>
      <c r="BC26" s="79"/>
      <c r="BD26" s="78"/>
      <c r="BE26" s="78"/>
      <c r="BF26" s="79"/>
      <c r="BG26" s="80">
        <f t="shared" si="5"/>
        <v>0</v>
      </c>
      <c r="BH26" s="77"/>
      <c r="BI26" s="81">
        <f t="shared" si="6"/>
        <v>0</v>
      </c>
      <c r="BJ26" s="82"/>
      <c r="BK26" s="78"/>
      <c r="BL26" s="79"/>
      <c r="BM26" s="78"/>
      <c r="BN26" s="78"/>
      <c r="BO26" s="79"/>
      <c r="BP26" s="78"/>
      <c r="BQ26" s="78"/>
      <c r="BR26" s="79"/>
      <c r="BS26" s="78"/>
      <c r="BT26" s="78"/>
      <c r="BU26" s="79"/>
      <c r="BV26" s="81">
        <f t="shared" si="7"/>
        <v>0</v>
      </c>
      <c r="BW26" s="78">
        <f t="shared" si="8"/>
        <v>0</v>
      </c>
      <c r="BX26" s="80">
        <f t="shared" si="9"/>
        <v>0</v>
      </c>
      <c r="BY26" s="77"/>
      <c r="BZ26" s="78"/>
      <c r="CA26" s="79"/>
      <c r="CB26" s="78"/>
      <c r="CC26" s="78"/>
      <c r="CD26" s="79"/>
      <c r="CE26" s="78"/>
      <c r="CF26" s="78"/>
      <c r="CG26" s="79"/>
      <c r="CH26" s="78"/>
      <c r="CI26" s="78"/>
      <c r="CJ26" s="79"/>
      <c r="CK26" s="80">
        <f t="shared" si="10"/>
        <v>0</v>
      </c>
      <c r="CL26" s="77"/>
      <c r="CM26" s="78"/>
      <c r="CN26" s="79"/>
      <c r="CO26" s="78"/>
      <c r="CP26" s="78"/>
      <c r="CQ26" s="79"/>
      <c r="CR26" s="78"/>
      <c r="CS26" s="78"/>
      <c r="CT26" s="79"/>
      <c r="CU26" s="78"/>
      <c r="CV26" s="78"/>
      <c r="CW26" s="79"/>
      <c r="CX26" s="80">
        <f t="shared" si="11"/>
        <v>0</v>
      </c>
      <c r="CY26" s="77"/>
      <c r="CZ26" s="78"/>
      <c r="DA26" s="79"/>
      <c r="DB26" s="78"/>
      <c r="DC26" s="78"/>
      <c r="DD26" s="79"/>
      <c r="DE26" s="78"/>
      <c r="DF26" s="78"/>
      <c r="DG26" s="79"/>
      <c r="DH26" s="78"/>
      <c r="DI26" s="78"/>
      <c r="DJ26" s="79"/>
      <c r="DK26" s="80">
        <f t="shared" si="12"/>
        <v>0</v>
      </c>
      <c r="DL26" s="83"/>
      <c r="DM26" s="71"/>
      <c r="DN26" s="84"/>
      <c r="DO26" s="71"/>
      <c r="DP26" s="71"/>
      <c r="DQ26" s="84"/>
      <c r="DR26" s="71"/>
      <c r="DS26" s="71"/>
      <c r="DT26" s="84"/>
      <c r="DU26" s="71"/>
      <c r="DV26" s="71"/>
      <c r="DW26" s="85"/>
      <c r="DX26" s="78"/>
      <c r="DY26" s="78"/>
      <c r="DZ26" s="79"/>
      <c r="EA26" s="78"/>
      <c r="EB26" s="78"/>
      <c r="EC26" s="79"/>
      <c r="ED26" s="78"/>
      <c r="EE26" s="78"/>
      <c r="EF26" s="79"/>
      <c r="EG26" s="78"/>
      <c r="EH26" s="78"/>
      <c r="EI26" s="79"/>
      <c r="EJ26" s="80">
        <f t="shared" si="13"/>
        <v>0</v>
      </c>
      <c r="EK26" s="78"/>
      <c r="EL26" s="78"/>
      <c r="EM26" s="79"/>
      <c r="EN26" s="78"/>
      <c r="EO26" s="78"/>
      <c r="EP26" s="79"/>
      <c r="EQ26" s="78"/>
      <c r="ER26" s="78"/>
      <c r="ES26" s="79"/>
      <c r="ET26" s="78"/>
      <c r="EU26" s="78"/>
      <c r="EV26" s="79"/>
      <c r="EW26" s="80">
        <f t="shared" si="14"/>
        <v>0</v>
      </c>
    </row>
    <row r="27" spans="1:153" ht="20.100000000000001" customHeight="1" x14ac:dyDescent="0.25">
      <c r="A27" s="70" t="s">
        <v>84</v>
      </c>
      <c r="B27" s="71">
        <v>0.5</v>
      </c>
      <c r="C27" s="72">
        <v>58</v>
      </c>
      <c r="D27" s="77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80">
        <f t="shared" si="1"/>
        <v>0</v>
      </c>
      <c r="Q27" s="77"/>
      <c r="R27" s="78"/>
      <c r="S27" s="81"/>
      <c r="T27" s="82"/>
      <c r="U27" s="78"/>
      <c r="V27" s="79"/>
      <c r="W27" s="78"/>
      <c r="X27" s="78"/>
      <c r="Y27" s="79"/>
      <c r="Z27" s="78"/>
      <c r="AA27" s="78"/>
      <c r="AB27" s="79"/>
      <c r="AC27" s="78"/>
      <c r="AD27" s="78"/>
      <c r="AE27" s="79"/>
      <c r="AF27" s="81">
        <f t="shared" si="2"/>
        <v>0</v>
      </c>
      <c r="AG27" s="80">
        <f t="shared" si="3"/>
        <v>0</v>
      </c>
      <c r="AH27" s="77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>
        <f t="shared" si="4"/>
        <v>0</v>
      </c>
      <c r="AU27" s="77"/>
      <c r="AV27" s="78"/>
      <c r="AW27" s="79"/>
      <c r="AX27" s="78"/>
      <c r="AY27" s="78"/>
      <c r="AZ27" s="79"/>
      <c r="BA27" s="78"/>
      <c r="BB27" s="78"/>
      <c r="BC27" s="79"/>
      <c r="BD27" s="78"/>
      <c r="BE27" s="78"/>
      <c r="BF27" s="79"/>
      <c r="BG27" s="80">
        <f t="shared" si="5"/>
        <v>0</v>
      </c>
      <c r="BH27" s="77"/>
      <c r="BI27" s="81">
        <f t="shared" si="6"/>
        <v>0</v>
      </c>
      <c r="BJ27" s="82"/>
      <c r="BK27" s="78"/>
      <c r="BL27" s="79"/>
      <c r="BM27" s="78"/>
      <c r="BN27" s="78"/>
      <c r="BO27" s="79"/>
      <c r="BP27" s="78"/>
      <c r="BQ27" s="78"/>
      <c r="BR27" s="79"/>
      <c r="BS27" s="78"/>
      <c r="BT27" s="78"/>
      <c r="BU27" s="79"/>
      <c r="BV27" s="81">
        <f t="shared" si="7"/>
        <v>0</v>
      </c>
      <c r="BW27" s="78">
        <f t="shared" si="8"/>
        <v>0</v>
      </c>
      <c r="BX27" s="80">
        <f t="shared" si="9"/>
        <v>0</v>
      </c>
      <c r="BY27" s="77"/>
      <c r="BZ27" s="78"/>
      <c r="CA27" s="79"/>
      <c r="CB27" s="78"/>
      <c r="CC27" s="78"/>
      <c r="CD27" s="79"/>
      <c r="CE27" s="78"/>
      <c r="CF27" s="78"/>
      <c r="CG27" s="79"/>
      <c r="CH27" s="78"/>
      <c r="CI27" s="78"/>
      <c r="CJ27" s="79"/>
      <c r="CK27" s="80">
        <f t="shared" si="10"/>
        <v>0</v>
      </c>
      <c r="CL27" s="77"/>
      <c r="CM27" s="78"/>
      <c r="CN27" s="79"/>
      <c r="CO27" s="78"/>
      <c r="CP27" s="78"/>
      <c r="CQ27" s="79"/>
      <c r="CR27" s="78"/>
      <c r="CS27" s="78"/>
      <c r="CT27" s="79"/>
      <c r="CU27" s="78"/>
      <c r="CV27" s="78"/>
      <c r="CW27" s="79"/>
      <c r="CX27" s="80">
        <f t="shared" si="11"/>
        <v>0</v>
      </c>
      <c r="CY27" s="77"/>
      <c r="CZ27" s="78"/>
      <c r="DA27" s="79"/>
      <c r="DB27" s="78"/>
      <c r="DC27" s="78"/>
      <c r="DD27" s="79"/>
      <c r="DE27" s="78"/>
      <c r="DF27" s="78"/>
      <c r="DG27" s="79"/>
      <c r="DH27" s="78"/>
      <c r="DI27" s="78"/>
      <c r="DJ27" s="79"/>
      <c r="DK27" s="80">
        <f t="shared" si="12"/>
        <v>0</v>
      </c>
      <c r="DL27" s="83"/>
      <c r="DM27" s="71"/>
      <c r="DN27" s="84"/>
      <c r="DO27" s="71"/>
      <c r="DP27" s="71"/>
      <c r="DQ27" s="84"/>
      <c r="DR27" s="71"/>
      <c r="DS27" s="71"/>
      <c r="DT27" s="84"/>
      <c r="DU27" s="71"/>
      <c r="DV27" s="71"/>
      <c r="DW27" s="85"/>
      <c r="DX27" s="78"/>
      <c r="DY27" s="78"/>
      <c r="DZ27" s="79"/>
      <c r="EA27" s="78"/>
      <c r="EB27" s="78"/>
      <c r="EC27" s="79"/>
      <c r="ED27" s="78"/>
      <c r="EE27" s="78"/>
      <c r="EF27" s="79"/>
      <c r="EG27" s="78"/>
      <c r="EH27" s="78"/>
      <c r="EI27" s="79"/>
      <c r="EJ27" s="80">
        <f t="shared" si="13"/>
        <v>0</v>
      </c>
      <c r="EK27" s="78"/>
      <c r="EL27" s="78"/>
      <c r="EM27" s="79"/>
      <c r="EN27" s="78"/>
      <c r="EO27" s="78"/>
      <c r="EP27" s="79"/>
      <c r="EQ27" s="78"/>
      <c r="ER27" s="78"/>
      <c r="ES27" s="79"/>
      <c r="ET27" s="78"/>
      <c r="EU27" s="78"/>
      <c r="EV27" s="79"/>
      <c r="EW27" s="80">
        <f t="shared" si="14"/>
        <v>0</v>
      </c>
    </row>
    <row r="28" spans="1:153" ht="20.100000000000001" customHeight="1" x14ac:dyDescent="0.25">
      <c r="A28" s="70" t="s">
        <v>93</v>
      </c>
      <c r="B28" s="71">
        <v>1</v>
      </c>
      <c r="C28" s="72">
        <v>164</v>
      </c>
      <c r="D28" s="77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80">
        <f t="shared" si="1"/>
        <v>0</v>
      </c>
      <c r="Q28" s="77"/>
      <c r="R28" s="78"/>
      <c r="S28" s="81"/>
      <c r="T28" s="82"/>
      <c r="U28" s="78"/>
      <c r="V28" s="79"/>
      <c r="W28" s="78"/>
      <c r="X28" s="78"/>
      <c r="Y28" s="79"/>
      <c r="Z28" s="78"/>
      <c r="AA28" s="78"/>
      <c r="AB28" s="79"/>
      <c r="AC28" s="78"/>
      <c r="AD28" s="78"/>
      <c r="AE28" s="79"/>
      <c r="AF28" s="81">
        <f t="shared" si="2"/>
        <v>0</v>
      </c>
      <c r="AG28" s="80">
        <f t="shared" si="3"/>
        <v>0</v>
      </c>
      <c r="AH28" s="77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>
        <f t="shared" si="4"/>
        <v>0</v>
      </c>
      <c r="AU28" s="77"/>
      <c r="AV28" s="78"/>
      <c r="AW28" s="79"/>
      <c r="AX28" s="78"/>
      <c r="AY28" s="78"/>
      <c r="AZ28" s="79"/>
      <c r="BA28" s="78"/>
      <c r="BB28" s="78"/>
      <c r="BC28" s="79"/>
      <c r="BD28" s="78"/>
      <c r="BE28" s="78"/>
      <c r="BF28" s="79"/>
      <c r="BG28" s="80">
        <f t="shared" si="5"/>
        <v>0</v>
      </c>
      <c r="BH28" s="77"/>
      <c r="BI28" s="81">
        <f t="shared" si="6"/>
        <v>0</v>
      </c>
      <c r="BJ28" s="82"/>
      <c r="BK28" s="78"/>
      <c r="BL28" s="79"/>
      <c r="BM28" s="78"/>
      <c r="BN28" s="78"/>
      <c r="BO28" s="79"/>
      <c r="BP28" s="78"/>
      <c r="BQ28" s="78"/>
      <c r="BR28" s="79"/>
      <c r="BS28" s="78"/>
      <c r="BT28" s="78"/>
      <c r="BU28" s="79"/>
      <c r="BV28" s="81">
        <f t="shared" si="7"/>
        <v>0</v>
      </c>
      <c r="BW28" s="78">
        <f t="shared" si="8"/>
        <v>0</v>
      </c>
      <c r="BX28" s="80">
        <f t="shared" si="9"/>
        <v>0</v>
      </c>
      <c r="BY28" s="77"/>
      <c r="BZ28" s="78"/>
      <c r="CA28" s="79"/>
      <c r="CB28" s="78"/>
      <c r="CC28" s="78"/>
      <c r="CD28" s="79"/>
      <c r="CE28" s="78"/>
      <c r="CF28" s="78"/>
      <c r="CG28" s="79"/>
      <c r="CH28" s="78"/>
      <c r="CI28" s="78"/>
      <c r="CJ28" s="79"/>
      <c r="CK28" s="80">
        <f t="shared" si="10"/>
        <v>0</v>
      </c>
      <c r="CL28" s="77"/>
      <c r="CM28" s="78"/>
      <c r="CN28" s="79"/>
      <c r="CO28" s="78"/>
      <c r="CP28" s="78"/>
      <c r="CQ28" s="79"/>
      <c r="CR28" s="78"/>
      <c r="CS28" s="78"/>
      <c r="CT28" s="79"/>
      <c r="CU28" s="78"/>
      <c r="CV28" s="78"/>
      <c r="CW28" s="79"/>
      <c r="CX28" s="80">
        <f t="shared" si="11"/>
        <v>0</v>
      </c>
      <c r="CY28" s="77"/>
      <c r="CZ28" s="78"/>
      <c r="DA28" s="79"/>
      <c r="DB28" s="78"/>
      <c r="DC28" s="78"/>
      <c r="DD28" s="79"/>
      <c r="DE28" s="78"/>
      <c r="DF28" s="78"/>
      <c r="DG28" s="79"/>
      <c r="DH28" s="78"/>
      <c r="DI28" s="78"/>
      <c r="DJ28" s="79"/>
      <c r="DK28" s="80">
        <f t="shared" si="12"/>
        <v>0</v>
      </c>
      <c r="DL28" s="83"/>
      <c r="DM28" s="71"/>
      <c r="DN28" s="84"/>
      <c r="DO28" s="71"/>
      <c r="DP28" s="71"/>
      <c r="DQ28" s="84"/>
      <c r="DR28" s="71"/>
      <c r="DS28" s="71"/>
      <c r="DT28" s="84"/>
      <c r="DU28" s="71"/>
      <c r="DV28" s="71"/>
      <c r="DW28" s="85"/>
      <c r="DX28" s="78"/>
      <c r="DY28" s="78"/>
      <c r="DZ28" s="79"/>
      <c r="EA28" s="78"/>
      <c r="EB28" s="78"/>
      <c r="EC28" s="79"/>
      <c r="ED28" s="78"/>
      <c r="EE28" s="78"/>
      <c r="EF28" s="79"/>
      <c r="EG28" s="78"/>
      <c r="EH28" s="78"/>
      <c r="EI28" s="79"/>
      <c r="EJ28" s="80">
        <f t="shared" si="13"/>
        <v>0</v>
      </c>
      <c r="EK28" s="78"/>
      <c r="EL28" s="78"/>
      <c r="EM28" s="79"/>
      <c r="EN28" s="78"/>
      <c r="EO28" s="78"/>
      <c r="EP28" s="79"/>
      <c r="EQ28" s="78"/>
      <c r="ER28" s="78"/>
      <c r="ES28" s="79"/>
      <c r="ET28" s="78"/>
      <c r="EU28" s="78"/>
      <c r="EV28" s="79"/>
      <c r="EW28" s="80">
        <f t="shared" si="14"/>
        <v>0</v>
      </c>
    </row>
    <row r="29" spans="1:153" ht="20.100000000000001" customHeight="1" x14ac:dyDescent="0.25">
      <c r="A29" s="70" t="s">
        <v>85</v>
      </c>
      <c r="B29" s="71">
        <v>1</v>
      </c>
      <c r="C29" s="72">
        <v>57</v>
      </c>
      <c r="D29" s="77"/>
      <c r="E29" s="78"/>
      <c r="F29" s="79"/>
      <c r="G29" s="78"/>
      <c r="H29" s="78"/>
      <c r="I29" s="79"/>
      <c r="J29" s="78"/>
      <c r="K29" s="78"/>
      <c r="L29" s="79"/>
      <c r="M29" s="78"/>
      <c r="N29" s="78"/>
      <c r="O29" s="79"/>
      <c r="P29" s="80">
        <f t="shared" si="1"/>
        <v>0</v>
      </c>
      <c r="Q29" s="77"/>
      <c r="R29" s="78"/>
      <c r="S29" s="81"/>
      <c r="T29" s="82"/>
      <c r="U29" s="78"/>
      <c r="V29" s="79"/>
      <c r="W29" s="78"/>
      <c r="X29" s="78"/>
      <c r="Y29" s="79"/>
      <c r="Z29" s="78"/>
      <c r="AA29" s="78"/>
      <c r="AB29" s="79"/>
      <c r="AC29" s="78"/>
      <c r="AD29" s="78"/>
      <c r="AE29" s="79"/>
      <c r="AF29" s="81">
        <f t="shared" si="2"/>
        <v>0</v>
      </c>
      <c r="AG29" s="80">
        <f t="shared" si="3"/>
        <v>0</v>
      </c>
      <c r="AH29" s="77"/>
      <c r="AI29" s="78"/>
      <c r="AJ29" s="79"/>
      <c r="AK29" s="78"/>
      <c r="AL29" s="78"/>
      <c r="AM29" s="79"/>
      <c r="AN29" s="78"/>
      <c r="AO29" s="78"/>
      <c r="AP29" s="79"/>
      <c r="AQ29" s="78"/>
      <c r="AR29" s="78"/>
      <c r="AS29" s="79"/>
      <c r="AT29" s="78">
        <f t="shared" si="4"/>
        <v>0</v>
      </c>
      <c r="AU29" s="77"/>
      <c r="AV29" s="78"/>
      <c r="AW29" s="79"/>
      <c r="AX29" s="78"/>
      <c r="AY29" s="78"/>
      <c r="AZ29" s="79"/>
      <c r="BA29" s="78"/>
      <c r="BB29" s="78"/>
      <c r="BC29" s="79"/>
      <c r="BD29" s="78"/>
      <c r="BE29" s="78"/>
      <c r="BF29" s="79"/>
      <c r="BG29" s="80">
        <f t="shared" si="5"/>
        <v>0</v>
      </c>
      <c r="BH29" s="77"/>
      <c r="BI29" s="81">
        <f t="shared" si="6"/>
        <v>0</v>
      </c>
      <c r="BJ29" s="82"/>
      <c r="BK29" s="78"/>
      <c r="BL29" s="79"/>
      <c r="BM29" s="78"/>
      <c r="BN29" s="78"/>
      <c r="BO29" s="79"/>
      <c r="BP29" s="78"/>
      <c r="BQ29" s="78"/>
      <c r="BR29" s="79"/>
      <c r="BS29" s="78"/>
      <c r="BT29" s="78"/>
      <c r="BU29" s="79"/>
      <c r="BV29" s="81">
        <f t="shared" si="7"/>
        <v>0</v>
      </c>
      <c r="BW29" s="78">
        <f t="shared" si="8"/>
        <v>0</v>
      </c>
      <c r="BX29" s="80">
        <f t="shared" si="9"/>
        <v>0</v>
      </c>
      <c r="BY29" s="77"/>
      <c r="BZ29" s="78"/>
      <c r="CA29" s="79"/>
      <c r="CB29" s="78"/>
      <c r="CC29" s="78"/>
      <c r="CD29" s="79"/>
      <c r="CE29" s="78"/>
      <c r="CF29" s="78"/>
      <c r="CG29" s="79"/>
      <c r="CH29" s="78"/>
      <c r="CI29" s="78"/>
      <c r="CJ29" s="79"/>
      <c r="CK29" s="80">
        <f t="shared" si="10"/>
        <v>0</v>
      </c>
      <c r="CL29" s="77"/>
      <c r="CM29" s="78"/>
      <c r="CN29" s="79"/>
      <c r="CO29" s="78"/>
      <c r="CP29" s="78"/>
      <c r="CQ29" s="79"/>
      <c r="CR29" s="78"/>
      <c r="CS29" s="78"/>
      <c r="CT29" s="79"/>
      <c r="CU29" s="78"/>
      <c r="CV29" s="78"/>
      <c r="CW29" s="79"/>
      <c r="CX29" s="80">
        <f t="shared" si="11"/>
        <v>0</v>
      </c>
      <c r="CY29" s="77"/>
      <c r="CZ29" s="78"/>
      <c r="DA29" s="79"/>
      <c r="DB29" s="78"/>
      <c r="DC29" s="78"/>
      <c r="DD29" s="79"/>
      <c r="DE29" s="78"/>
      <c r="DF29" s="78"/>
      <c r="DG29" s="79"/>
      <c r="DH29" s="78"/>
      <c r="DI29" s="78"/>
      <c r="DJ29" s="79"/>
      <c r="DK29" s="80">
        <f t="shared" si="12"/>
        <v>0</v>
      </c>
      <c r="DL29" s="83"/>
      <c r="DM29" s="71"/>
      <c r="DN29" s="84"/>
      <c r="DO29" s="71"/>
      <c r="DP29" s="71"/>
      <c r="DQ29" s="84"/>
      <c r="DR29" s="71"/>
      <c r="DS29" s="71"/>
      <c r="DT29" s="84"/>
      <c r="DU29" s="71"/>
      <c r="DV29" s="71"/>
      <c r="DW29" s="85"/>
      <c r="DX29" s="78"/>
      <c r="DY29" s="78"/>
      <c r="DZ29" s="79"/>
      <c r="EA29" s="78"/>
      <c r="EB29" s="78"/>
      <c r="EC29" s="79"/>
      <c r="ED29" s="78"/>
      <c r="EE29" s="78"/>
      <c r="EF29" s="79"/>
      <c r="EG29" s="78"/>
      <c r="EH29" s="78"/>
      <c r="EI29" s="79"/>
      <c r="EJ29" s="80">
        <f t="shared" si="13"/>
        <v>0</v>
      </c>
      <c r="EK29" s="78"/>
      <c r="EL29" s="78"/>
      <c r="EM29" s="79"/>
      <c r="EN29" s="78"/>
      <c r="EO29" s="78"/>
      <c r="EP29" s="79"/>
      <c r="EQ29" s="78"/>
      <c r="ER29" s="78"/>
      <c r="ES29" s="79"/>
      <c r="ET29" s="78"/>
      <c r="EU29" s="78"/>
      <c r="EV29" s="79"/>
      <c r="EW29" s="80">
        <f t="shared" si="14"/>
        <v>0</v>
      </c>
    </row>
    <row r="30" spans="1:153" ht="20.100000000000001" customHeight="1" x14ac:dyDescent="0.25">
      <c r="A30" s="70" t="s">
        <v>98</v>
      </c>
      <c r="B30" s="71">
        <v>1</v>
      </c>
      <c r="C30" s="72" t="s">
        <v>99</v>
      </c>
      <c r="D30" s="77"/>
      <c r="E30" s="78"/>
      <c r="F30" s="79"/>
      <c r="G30" s="78"/>
      <c r="H30" s="78"/>
      <c r="I30" s="79"/>
      <c r="J30" s="78"/>
      <c r="K30" s="78"/>
      <c r="L30" s="79"/>
      <c r="M30" s="78"/>
      <c r="N30" s="78"/>
      <c r="O30" s="79"/>
      <c r="P30" s="80">
        <f t="shared" si="1"/>
        <v>0</v>
      </c>
      <c r="Q30" s="77"/>
      <c r="R30" s="78"/>
      <c r="S30" s="81"/>
      <c r="T30" s="82"/>
      <c r="U30" s="78"/>
      <c r="V30" s="79"/>
      <c r="W30" s="78"/>
      <c r="X30" s="78"/>
      <c r="Y30" s="79"/>
      <c r="Z30" s="78"/>
      <c r="AA30" s="78"/>
      <c r="AB30" s="79"/>
      <c r="AC30" s="78"/>
      <c r="AD30" s="78"/>
      <c r="AE30" s="79"/>
      <c r="AF30" s="81">
        <f t="shared" si="2"/>
        <v>0</v>
      </c>
      <c r="AG30" s="80">
        <f t="shared" si="3"/>
        <v>0</v>
      </c>
      <c r="AH30" s="77"/>
      <c r="AI30" s="78"/>
      <c r="AJ30" s="79"/>
      <c r="AK30" s="78"/>
      <c r="AL30" s="78"/>
      <c r="AM30" s="79"/>
      <c r="AN30" s="78"/>
      <c r="AO30" s="78"/>
      <c r="AP30" s="79"/>
      <c r="AQ30" s="78"/>
      <c r="AR30" s="78"/>
      <c r="AS30" s="79"/>
      <c r="AT30" s="78">
        <f t="shared" si="4"/>
        <v>0</v>
      </c>
      <c r="AU30" s="77"/>
      <c r="AV30" s="78"/>
      <c r="AW30" s="79"/>
      <c r="AX30" s="78"/>
      <c r="AY30" s="78"/>
      <c r="AZ30" s="79"/>
      <c r="BA30" s="78"/>
      <c r="BB30" s="78"/>
      <c r="BC30" s="79"/>
      <c r="BD30" s="78"/>
      <c r="BE30" s="78"/>
      <c r="BF30" s="79"/>
      <c r="BG30" s="80">
        <f t="shared" si="5"/>
        <v>0</v>
      </c>
      <c r="BH30" s="77"/>
      <c r="BI30" s="81">
        <f t="shared" si="6"/>
        <v>0</v>
      </c>
      <c r="BJ30" s="82"/>
      <c r="BK30" s="78"/>
      <c r="BL30" s="79"/>
      <c r="BM30" s="78"/>
      <c r="BN30" s="78"/>
      <c r="BO30" s="79"/>
      <c r="BP30" s="78"/>
      <c r="BQ30" s="78"/>
      <c r="BR30" s="79"/>
      <c r="BS30" s="78"/>
      <c r="BT30" s="78"/>
      <c r="BU30" s="79"/>
      <c r="BV30" s="81">
        <f t="shared" si="7"/>
        <v>0</v>
      </c>
      <c r="BW30" s="78">
        <f t="shared" si="8"/>
        <v>0</v>
      </c>
      <c r="BX30" s="80">
        <f t="shared" si="9"/>
        <v>0</v>
      </c>
      <c r="BY30" s="77"/>
      <c r="BZ30" s="78"/>
      <c r="CA30" s="79"/>
      <c r="CB30" s="78"/>
      <c r="CC30" s="78"/>
      <c r="CD30" s="79"/>
      <c r="CE30" s="78"/>
      <c r="CF30" s="78"/>
      <c r="CG30" s="79"/>
      <c r="CH30" s="78"/>
      <c r="CI30" s="78"/>
      <c r="CJ30" s="79"/>
      <c r="CK30" s="80">
        <f t="shared" si="10"/>
        <v>0</v>
      </c>
      <c r="CL30" s="77"/>
      <c r="CM30" s="78"/>
      <c r="CN30" s="79"/>
      <c r="CO30" s="78"/>
      <c r="CP30" s="78"/>
      <c r="CQ30" s="79"/>
      <c r="CR30" s="78"/>
      <c r="CS30" s="78"/>
      <c r="CT30" s="79"/>
      <c r="CU30" s="78"/>
      <c r="CV30" s="78"/>
      <c r="CW30" s="79"/>
      <c r="CX30" s="80">
        <f t="shared" si="11"/>
        <v>0</v>
      </c>
      <c r="CY30" s="77"/>
      <c r="CZ30" s="78"/>
      <c r="DA30" s="79"/>
      <c r="DB30" s="78"/>
      <c r="DC30" s="78"/>
      <c r="DD30" s="79"/>
      <c r="DE30" s="78"/>
      <c r="DF30" s="78"/>
      <c r="DG30" s="79"/>
      <c r="DH30" s="78"/>
      <c r="DI30" s="78"/>
      <c r="DJ30" s="79"/>
      <c r="DK30" s="80">
        <f t="shared" si="12"/>
        <v>0</v>
      </c>
      <c r="DL30" s="83"/>
      <c r="DM30" s="71"/>
      <c r="DN30" s="84"/>
      <c r="DO30" s="71"/>
      <c r="DP30" s="71"/>
      <c r="DQ30" s="84"/>
      <c r="DR30" s="71"/>
      <c r="DS30" s="71"/>
      <c r="DT30" s="84"/>
      <c r="DU30" s="71"/>
      <c r="DV30" s="71"/>
      <c r="DW30" s="85"/>
      <c r="DX30" s="78"/>
      <c r="DY30" s="78"/>
      <c r="DZ30" s="79"/>
      <c r="EA30" s="78"/>
      <c r="EB30" s="78"/>
      <c r="EC30" s="79"/>
      <c r="ED30" s="78"/>
      <c r="EE30" s="78"/>
      <c r="EF30" s="79"/>
      <c r="EG30" s="78"/>
      <c r="EH30" s="78"/>
      <c r="EI30" s="79"/>
      <c r="EJ30" s="80">
        <f t="shared" si="13"/>
        <v>0</v>
      </c>
      <c r="EK30" s="78"/>
      <c r="EL30" s="78"/>
      <c r="EM30" s="79"/>
      <c r="EN30" s="78"/>
      <c r="EO30" s="78"/>
      <c r="EP30" s="79"/>
      <c r="EQ30" s="78"/>
      <c r="ER30" s="78"/>
      <c r="ES30" s="79"/>
      <c r="ET30" s="78"/>
      <c r="EU30" s="78"/>
      <c r="EV30" s="79"/>
      <c r="EW30" s="80">
        <f t="shared" si="14"/>
        <v>0</v>
      </c>
    </row>
    <row r="31" spans="1:153" ht="20.100000000000001" customHeight="1" x14ac:dyDescent="0.25">
      <c r="A31" s="70" t="s">
        <v>116</v>
      </c>
      <c r="B31" s="71">
        <v>1</v>
      </c>
      <c r="C31" s="72">
        <v>1</v>
      </c>
      <c r="D31" s="77"/>
      <c r="E31" s="78"/>
      <c r="F31" s="79"/>
      <c r="G31" s="78"/>
      <c r="H31" s="78"/>
      <c r="I31" s="79"/>
      <c r="J31" s="78"/>
      <c r="K31" s="78"/>
      <c r="L31" s="79"/>
      <c r="M31" s="78"/>
      <c r="N31" s="78"/>
      <c r="O31" s="79"/>
      <c r="P31" s="80"/>
      <c r="Q31" s="77"/>
      <c r="R31" s="78"/>
      <c r="S31" s="81"/>
      <c r="T31" s="82"/>
      <c r="U31" s="78"/>
      <c r="V31" s="79"/>
      <c r="W31" s="78"/>
      <c r="X31" s="78"/>
      <c r="Y31" s="79"/>
      <c r="Z31" s="78"/>
      <c r="AA31" s="78"/>
      <c r="AB31" s="79"/>
      <c r="AC31" s="78"/>
      <c r="AD31" s="78"/>
      <c r="AE31" s="79"/>
      <c r="AF31" s="81"/>
      <c r="AG31" s="80"/>
      <c r="AH31" s="77"/>
      <c r="AI31" s="78"/>
      <c r="AJ31" s="79"/>
      <c r="AK31" s="78"/>
      <c r="AL31" s="78"/>
      <c r="AM31" s="79"/>
      <c r="AN31" s="78"/>
      <c r="AO31" s="78"/>
      <c r="AP31" s="79"/>
      <c r="AQ31" s="78"/>
      <c r="AR31" s="78"/>
      <c r="AS31" s="79"/>
      <c r="AT31" s="78"/>
      <c r="AU31" s="77"/>
      <c r="AV31" s="78"/>
      <c r="AW31" s="79"/>
      <c r="AX31" s="78"/>
      <c r="AY31" s="78"/>
      <c r="AZ31" s="79"/>
      <c r="BA31" s="78"/>
      <c r="BB31" s="78"/>
      <c r="BC31" s="79"/>
      <c r="BD31" s="78"/>
      <c r="BE31" s="78"/>
      <c r="BF31" s="79"/>
      <c r="BG31" s="80"/>
      <c r="BH31" s="77"/>
      <c r="BI31" s="81"/>
      <c r="BJ31" s="82"/>
      <c r="BK31" s="78"/>
      <c r="BL31" s="79"/>
      <c r="BM31" s="78"/>
      <c r="BN31" s="78"/>
      <c r="BO31" s="79"/>
      <c r="BP31" s="78"/>
      <c r="BQ31" s="78"/>
      <c r="BR31" s="79"/>
      <c r="BS31" s="78"/>
      <c r="BT31" s="78"/>
      <c r="BU31" s="79"/>
      <c r="BV31" s="81"/>
      <c r="BW31" s="78"/>
      <c r="BX31" s="80"/>
      <c r="BY31" s="77"/>
      <c r="BZ31" s="78"/>
      <c r="CA31" s="79"/>
      <c r="CB31" s="78"/>
      <c r="CC31" s="78"/>
      <c r="CD31" s="79"/>
      <c r="CE31" s="78"/>
      <c r="CF31" s="78"/>
      <c r="CG31" s="79"/>
      <c r="CH31" s="78"/>
      <c r="CI31" s="78"/>
      <c r="CJ31" s="79"/>
      <c r="CK31" s="80"/>
      <c r="CL31" s="77"/>
      <c r="CM31" s="78"/>
      <c r="CN31" s="79"/>
      <c r="CO31" s="78"/>
      <c r="CP31" s="78"/>
      <c r="CQ31" s="79"/>
      <c r="CR31" s="78"/>
      <c r="CS31" s="78"/>
      <c r="CT31" s="79"/>
      <c r="CU31" s="78"/>
      <c r="CV31" s="78"/>
      <c r="CW31" s="79"/>
      <c r="CX31" s="80"/>
      <c r="CY31" s="77"/>
      <c r="CZ31" s="78"/>
      <c r="DA31" s="79"/>
      <c r="DB31" s="78"/>
      <c r="DC31" s="78"/>
      <c r="DD31" s="79"/>
      <c r="DE31" s="78"/>
      <c r="DF31" s="78"/>
      <c r="DG31" s="79"/>
      <c r="DH31" s="78"/>
      <c r="DI31" s="78"/>
      <c r="DJ31" s="79"/>
      <c r="DK31" s="80"/>
      <c r="DL31" s="83"/>
      <c r="DM31" s="71"/>
      <c r="DN31" s="84"/>
      <c r="DO31" s="71"/>
      <c r="DP31" s="71"/>
      <c r="DQ31" s="84"/>
      <c r="DR31" s="71"/>
      <c r="DS31" s="71"/>
      <c r="DT31" s="84"/>
      <c r="DU31" s="71"/>
      <c r="DV31" s="71"/>
      <c r="DW31" s="85"/>
      <c r="DX31" s="78"/>
      <c r="DY31" s="78"/>
      <c r="DZ31" s="79"/>
      <c r="EA31" s="78"/>
      <c r="EB31" s="78"/>
      <c r="EC31" s="79"/>
      <c r="ED31" s="78"/>
      <c r="EE31" s="78"/>
      <c r="EF31" s="79"/>
      <c r="EG31" s="78"/>
      <c r="EH31" s="78"/>
      <c r="EI31" s="79"/>
      <c r="EJ31" s="80"/>
      <c r="EK31" s="78"/>
      <c r="EL31" s="78"/>
      <c r="EM31" s="79"/>
      <c r="EN31" s="78"/>
      <c r="EO31" s="78"/>
      <c r="EP31" s="79"/>
      <c r="EQ31" s="78"/>
      <c r="ER31" s="78"/>
      <c r="ES31" s="79"/>
      <c r="ET31" s="78"/>
      <c r="EU31" s="78"/>
      <c r="EV31" s="79"/>
      <c r="EW31" s="80"/>
    </row>
    <row r="32" spans="1:153" ht="20.100000000000001" customHeight="1" x14ac:dyDescent="0.25">
      <c r="A32" s="70" t="s">
        <v>86</v>
      </c>
      <c r="B32" s="71">
        <v>1</v>
      </c>
      <c r="C32" s="72">
        <v>165</v>
      </c>
      <c r="D32" s="77"/>
      <c r="E32" s="78"/>
      <c r="F32" s="79"/>
      <c r="G32" s="78"/>
      <c r="H32" s="78"/>
      <c r="I32" s="79"/>
      <c r="J32" s="78"/>
      <c r="K32" s="78"/>
      <c r="L32" s="79"/>
      <c r="M32" s="78"/>
      <c r="N32" s="78"/>
      <c r="O32" s="79"/>
      <c r="P32" s="80">
        <f t="shared" si="1"/>
        <v>0</v>
      </c>
      <c r="Q32" s="77"/>
      <c r="R32" s="78"/>
      <c r="S32" s="81"/>
      <c r="T32" s="82"/>
      <c r="U32" s="78"/>
      <c r="V32" s="79"/>
      <c r="W32" s="78"/>
      <c r="X32" s="78"/>
      <c r="Y32" s="79"/>
      <c r="Z32" s="78"/>
      <c r="AA32" s="78"/>
      <c r="AB32" s="79"/>
      <c r="AC32" s="78"/>
      <c r="AD32" s="78"/>
      <c r="AE32" s="79"/>
      <c r="AF32" s="81">
        <f t="shared" si="2"/>
        <v>0</v>
      </c>
      <c r="AG32" s="80">
        <f t="shared" si="3"/>
        <v>0</v>
      </c>
      <c r="AH32" s="77"/>
      <c r="AI32" s="78"/>
      <c r="AJ32" s="79"/>
      <c r="AK32" s="78"/>
      <c r="AL32" s="78"/>
      <c r="AM32" s="79"/>
      <c r="AN32" s="78"/>
      <c r="AO32" s="78"/>
      <c r="AP32" s="79"/>
      <c r="AQ32" s="78"/>
      <c r="AR32" s="78"/>
      <c r="AS32" s="79"/>
      <c r="AT32" s="78">
        <f t="shared" si="4"/>
        <v>0</v>
      </c>
      <c r="AU32" s="77"/>
      <c r="AV32" s="78"/>
      <c r="AW32" s="79"/>
      <c r="AX32" s="78"/>
      <c r="AY32" s="78"/>
      <c r="AZ32" s="79"/>
      <c r="BA32" s="78"/>
      <c r="BB32" s="78"/>
      <c r="BC32" s="79"/>
      <c r="BD32" s="78"/>
      <c r="BE32" s="78"/>
      <c r="BF32" s="79"/>
      <c r="BG32" s="80">
        <f t="shared" si="5"/>
        <v>0</v>
      </c>
      <c r="BH32" s="77"/>
      <c r="BI32" s="81">
        <f t="shared" si="6"/>
        <v>0</v>
      </c>
      <c r="BJ32" s="82"/>
      <c r="BK32" s="78"/>
      <c r="BL32" s="79"/>
      <c r="BM32" s="78"/>
      <c r="BN32" s="78"/>
      <c r="BO32" s="79"/>
      <c r="BP32" s="78"/>
      <c r="BQ32" s="78"/>
      <c r="BR32" s="79"/>
      <c r="BS32" s="78"/>
      <c r="BT32" s="78"/>
      <c r="BU32" s="79"/>
      <c r="BV32" s="81">
        <f t="shared" si="7"/>
        <v>0</v>
      </c>
      <c r="BW32" s="78">
        <f t="shared" si="8"/>
        <v>0</v>
      </c>
      <c r="BX32" s="80">
        <f t="shared" si="9"/>
        <v>0</v>
      </c>
      <c r="BY32" s="77"/>
      <c r="BZ32" s="78"/>
      <c r="CA32" s="79"/>
      <c r="CB32" s="78"/>
      <c r="CC32" s="78"/>
      <c r="CD32" s="79"/>
      <c r="CE32" s="78"/>
      <c r="CF32" s="78"/>
      <c r="CG32" s="79"/>
      <c r="CH32" s="78"/>
      <c r="CI32" s="78"/>
      <c r="CJ32" s="79"/>
      <c r="CK32" s="80">
        <f t="shared" si="10"/>
        <v>0</v>
      </c>
      <c r="CL32" s="77"/>
      <c r="CM32" s="78"/>
      <c r="CN32" s="79"/>
      <c r="CO32" s="78"/>
      <c r="CP32" s="78"/>
      <c r="CQ32" s="79"/>
      <c r="CR32" s="78"/>
      <c r="CS32" s="78"/>
      <c r="CT32" s="79"/>
      <c r="CU32" s="78"/>
      <c r="CV32" s="78"/>
      <c r="CW32" s="79"/>
      <c r="CX32" s="80">
        <f t="shared" si="11"/>
        <v>0</v>
      </c>
      <c r="CY32" s="77"/>
      <c r="CZ32" s="78"/>
      <c r="DA32" s="79"/>
      <c r="DB32" s="78"/>
      <c r="DC32" s="78"/>
      <c r="DD32" s="79"/>
      <c r="DE32" s="78"/>
      <c r="DF32" s="78"/>
      <c r="DG32" s="79"/>
      <c r="DH32" s="78"/>
      <c r="DI32" s="78"/>
      <c r="DJ32" s="79"/>
      <c r="DK32" s="80">
        <f t="shared" si="12"/>
        <v>0</v>
      </c>
      <c r="DL32" s="83"/>
      <c r="DM32" s="71"/>
      <c r="DN32" s="84"/>
      <c r="DO32" s="71"/>
      <c r="DP32" s="71"/>
      <c r="DQ32" s="84"/>
      <c r="DR32" s="71"/>
      <c r="DS32" s="71"/>
      <c r="DT32" s="84"/>
      <c r="DU32" s="71"/>
      <c r="DV32" s="71"/>
      <c r="DW32" s="85"/>
      <c r="DX32" s="78"/>
      <c r="DY32" s="78"/>
      <c r="DZ32" s="79"/>
      <c r="EA32" s="78"/>
      <c r="EB32" s="78"/>
      <c r="EC32" s="79"/>
      <c r="ED32" s="78"/>
      <c r="EE32" s="78"/>
      <c r="EF32" s="79"/>
      <c r="EG32" s="78"/>
      <c r="EH32" s="78"/>
      <c r="EI32" s="79"/>
      <c r="EJ32" s="80">
        <f t="shared" si="13"/>
        <v>0</v>
      </c>
      <c r="EK32" s="78"/>
      <c r="EL32" s="78"/>
      <c r="EM32" s="79"/>
      <c r="EN32" s="78"/>
      <c r="EO32" s="78"/>
      <c r="EP32" s="79"/>
      <c r="EQ32" s="78"/>
      <c r="ER32" s="78"/>
      <c r="ES32" s="79"/>
      <c r="ET32" s="78"/>
      <c r="EU32" s="78"/>
      <c r="EV32" s="79"/>
      <c r="EW32" s="80">
        <f t="shared" si="14"/>
        <v>0</v>
      </c>
    </row>
    <row r="33" spans="1:153" ht="20.100000000000001" customHeight="1" x14ac:dyDescent="0.25">
      <c r="A33" s="70" t="s">
        <v>87</v>
      </c>
      <c r="B33" s="71">
        <v>1</v>
      </c>
      <c r="C33" s="72">
        <v>39</v>
      </c>
      <c r="D33" s="77"/>
      <c r="E33" s="78"/>
      <c r="F33" s="79"/>
      <c r="G33" s="78"/>
      <c r="H33" s="78"/>
      <c r="I33" s="79"/>
      <c r="J33" s="78"/>
      <c r="K33" s="78"/>
      <c r="L33" s="79"/>
      <c r="M33" s="78"/>
      <c r="N33" s="78"/>
      <c r="O33" s="79"/>
      <c r="P33" s="80">
        <f t="shared" si="1"/>
        <v>0</v>
      </c>
      <c r="Q33" s="77"/>
      <c r="R33" s="78"/>
      <c r="S33" s="81"/>
      <c r="T33" s="82"/>
      <c r="U33" s="78"/>
      <c r="V33" s="79"/>
      <c r="W33" s="78"/>
      <c r="X33" s="78"/>
      <c r="Y33" s="79"/>
      <c r="Z33" s="78"/>
      <c r="AA33" s="78"/>
      <c r="AB33" s="79"/>
      <c r="AC33" s="78"/>
      <c r="AD33" s="78"/>
      <c r="AE33" s="79"/>
      <c r="AF33" s="81">
        <f t="shared" si="2"/>
        <v>0</v>
      </c>
      <c r="AG33" s="80">
        <f t="shared" si="3"/>
        <v>0</v>
      </c>
      <c r="AH33" s="77"/>
      <c r="AI33" s="78"/>
      <c r="AJ33" s="79"/>
      <c r="AK33" s="78"/>
      <c r="AL33" s="78"/>
      <c r="AM33" s="79"/>
      <c r="AN33" s="78"/>
      <c r="AO33" s="78"/>
      <c r="AP33" s="79"/>
      <c r="AQ33" s="78"/>
      <c r="AR33" s="78"/>
      <c r="AS33" s="79"/>
      <c r="AT33" s="78">
        <f t="shared" si="4"/>
        <v>0</v>
      </c>
      <c r="AU33" s="77"/>
      <c r="AV33" s="78"/>
      <c r="AW33" s="79"/>
      <c r="AX33" s="78"/>
      <c r="AY33" s="78"/>
      <c r="AZ33" s="79"/>
      <c r="BA33" s="78"/>
      <c r="BB33" s="78"/>
      <c r="BC33" s="79"/>
      <c r="BD33" s="78"/>
      <c r="BE33" s="78"/>
      <c r="BF33" s="79"/>
      <c r="BG33" s="80">
        <f t="shared" si="5"/>
        <v>0</v>
      </c>
      <c r="BH33" s="77"/>
      <c r="BI33" s="81">
        <f t="shared" si="6"/>
        <v>0</v>
      </c>
      <c r="BJ33" s="82"/>
      <c r="BK33" s="78"/>
      <c r="BL33" s="79"/>
      <c r="BM33" s="78"/>
      <c r="BN33" s="78"/>
      <c r="BO33" s="79"/>
      <c r="BP33" s="78"/>
      <c r="BQ33" s="78"/>
      <c r="BR33" s="79"/>
      <c r="BS33" s="78"/>
      <c r="BT33" s="78"/>
      <c r="BU33" s="79"/>
      <c r="BV33" s="81">
        <f t="shared" si="7"/>
        <v>0</v>
      </c>
      <c r="BW33" s="78">
        <f t="shared" si="8"/>
        <v>0</v>
      </c>
      <c r="BX33" s="80">
        <f t="shared" si="9"/>
        <v>0</v>
      </c>
      <c r="BY33" s="77"/>
      <c r="BZ33" s="78"/>
      <c r="CA33" s="79"/>
      <c r="CB33" s="78"/>
      <c r="CC33" s="78"/>
      <c r="CD33" s="79"/>
      <c r="CE33" s="78"/>
      <c r="CF33" s="78"/>
      <c r="CG33" s="79"/>
      <c r="CH33" s="78"/>
      <c r="CI33" s="78"/>
      <c r="CJ33" s="79"/>
      <c r="CK33" s="80">
        <f t="shared" si="10"/>
        <v>0</v>
      </c>
      <c r="CL33" s="77"/>
      <c r="CM33" s="78"/>
      <c r="CN33" s="79"/>
      <c r="CO33" s="78"/>
      <c r="CP33" s="78"/>
      <c r="CQ33" s="79"/>
      <c r="CR33" s="78"/>
      <c r="CS33" s="78"/>
      <c r="CT33" s="79"/>
      <c r="CU33" s="78"/>
      <c r="CV33" s="78"/>
      <c r="CW33" s="79"/>
      <c r="CX33" s="80">
        <f t="shared" si="11"/>
        <v>0</v>
      </c>
      <c r="CY33" s="77"/>
      <c r="CZ33" s="78"/>
      <c r="DA33" s="79"/>
      <c r="DB33" s="78"/>
      <c r="DC33" s="78"/>
      <c r="DD33" s="79"/>
      <c r="DE33" s="78"/>
      <c r="DF33" s="78"/>
      <c r="DG33" s="79"/>
      <c r="DH33" s="78"/>
      <c r="DI33" s="78"/>
      <c r="DJ33" s="79"/>
      <c r="DK33" s="80">
        <f t="shared" si="12"/>
        <v>0</v>
      </c>
      <c r="DL33" s="83"/>
      <c r="DM33" s="71"/>
      <c r="DN33" s="84"/>
      <c r="DO33" s="71"/>
      <c r="DP33" s="71"/>
      <c r="DQ33" s="84"/>
      <c r="DR33" s="71"/>
      <c r="DS33" s="71"/>
      <c r="DT33" s="84"/>
      <c r="DU33" s="71"/>
      <c r="DV33" s="71"/>
      <c r="DW33" s="85"/>
      <c r="DX33" s="78"/>
      <c r="DY33" s="78"/>
      <c r="DZ33" s="79"/>
      <c r="EA33" s="78"/>
      <c r="EB33" s="78"/>
      <c r="EC33" s="79"/>
      <c r="ED33" s="78"/>
      <c r="EE33" s="78"/>
      <c r="EF33" s="79"/>
      <c r="EG33" s="78"/>
      <c r="EH33" s="78"/>
      <c r="EI33" s="79"/>
      <c r="EJ33" s="80">
        <f t="shared" si="13"/>
        <v>0</v>
      </c>
      <c r="EK33" s="78"/>
      <c r="EL33" s="78"/>
      <c r="EM33" s="79"/>
      <c r="EN33" s="78"/>
      <c r="EO33" s="78"/>
      <c r="EP33" s="79"/>
      <c r="EQ33" s="78"/>
      <c r="ER33" s="78"/>
      <c r="ES33" s="79"/>
      <c r="ET33" s="78"/>
      <c r="EU33" s="78"/>
      <c r="EV33" s="79"/>
      <c r="EW33" s="80">
        <f t="shared" si="14"/>
        <v>0</v>
      </c>
    </row>
    <row r="34" spans="1:153" ht="20.100000000000001" customHeight="1" x14ac:dyDescent="0.25">
      <c r="A34" s="70" t="s">
        <v>88</v>
      </c>
      <c r="B34" s="71">
        <v>1</v>
      </c>
      <c r="C34" s="72">
        <v>76</v>
      </c>
      <c r="D34" s="77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80">
        <f t="shared" si="1"/>
        <v>0</v>
      </c>
      <c r="Q34" s="77"/>
      <c r="R34" s="78"/>
      <c r="S34" s="81"/>
      <c r="T34" s="82"/>
      <c r="U34" s="78"/>
      <c r="V34" s="79"/>
      <c r="W34" s="78"/>
      <c r="X34" s="78"/>
      <c r="Y34" s="79"/>
      <c r="Z34" s="78"/>
      <c r="AA34" s="78"/>
      <c r="AB34" s="79"/>
      <c r="AC34" s="78"/>
      <c r="AD34" s="78"/>
      <c r="AE34" s="79"/>
      <c r="AF34" s="81">
        <f t="shared" si="2"/>
        <v>0</v>
      </c>
      <c r="AG34" s="80">
        <f t="shared" si="3"/>
        <v>0</v>
      </c>
      <c r="AH34" s="77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>
        <f t="shared" si="4"/>
        <v>0</v>
      </c>
      <c r="AU34" s="77"/>
      <c r="AV34" s="78"/>
      <c r="AW34" s="79"/>
      <c r="AX34" s="78"/>
      <c r="AY34" s="78"/>
      <c r="AZ34" s="79"/>
      <c r="BA34" s="78"/>
      <c r="BB34" s="78"/>
      <c r="BC34" s="79"/>
      <c r="BD34" s="78"/>
      <c r="BE34" s="78"/>
      <c r="BF34" s="79"/>
      <c r="BG34" s="80">
        <f t="shared" si="5"/>
        <v>0</v>
      </c>
      <c r="BH34" s="77"/>
      <c r="BI34" s="81">
        <f t="shared" si="6"/>
        <v>0</v>
      </c>
      <c r="BJ34" s="82"/>
      <c r="BK34" s="78"/>
      <c r="BL34" s="79"/>
      <c r="BM34" s="78"/>
      <c r="BN34" s="78"/>
      <c r="BO34" s="79"/>
      <c r="BP34" s="78"/>
      <c r="BQ34" s="78"/>
      <c r="BR34" s="79"/>
      <c r="BS34" s="78"/>
      <c r="BT34" s="78"/>
      <c r="BU34" s="79"/>
      <c r="BV34" s="81">
        <f t="shared" si="7"/>
        <v>0</v>
      </c>
      <c r="BW34" s="78">
        <f t="shared" si="8"/>
        <v>0</v>
      </c>
      <c r="BX34" s="80">
        <f t="shared" si="9"/>
        <v>0</v>
      </c>
      <c r="BY34" s="77"/>
      <c r="BZ34" s="78"/>
      <c r="CA34" s="79"/>
      <c r="CB34" s="78"/>
      <c r="CC34" s="78"/>
      <c r="CD34" s="79"/>
      <c r="CE34" s="78"/>
      <c r="CF34" s="78"/>
      <c r="CG34" s="79"/>
      <c r="CH34" s="78"/>
      <c r="CI34" s="78"/>
      <c r="CJ34" s="79"/>
      <c r="CK34" s="80">
        <f t="shared" si="10"/>
        <v>0</v>
      </c>
      <c r="CL34" s="77"/>
      <c r="CM34" s="78"/>
      <c r="CN34" s="79"/>
      <c r="CO34" s="78"/>
      <c r="CP34" s="78"/>
      <c r="CQ34" s="79"/>
      <c r="CR34" s="78"/>
      <c r="CS34" s="78"/>
      <c r="CT34" s="79"/>
      <c r="CU34" s="78"/>
      <c r="CV34" s="78"/>
      <c r="CW34" s="79"/>
      <c r="CX34" s="80">
        <f t="shared" si="11"/>
        <v>0</v>
      </c>
      <c r="CY34" s="77"/>
      <c r="CZ34" s="78"/>
      <c r="DA34" s="79"/>
      <c r="DB34" s="78"/>
      <c r="DC34" s="78"/>
      <c r="DD34" s="79"/>
      <c r="DE34" s="78"/>
      <c r="DF34" s="78"/>
      <c r="DG34" s="79"/>
      <c r="DH34" s="78"/>
      <c r="DI34" s="78"/>
      <c r="DJ34" s="79"/>
      <c r="DK34" s="80">
        <f t="shared" si="12"/>
        <v>0</v>
      </c>
      <c r="DL34" s="83"/>
      <c r="DM34" s="71"/>
      <c r="DN34" s="84"/>
      <c r="DO34" s="71"/>
      <c r="DP34" s="71"/>
      <c r="DQ34" s="84"/>
      <c r="DR34" s="71"/>
      <c r="DS34" s="71"/>
      <c r="DT34" s="84"/>
      <c r="DU34" s="71"/>
      <c r="DV34" s="71"/>
      <c r="DW34" s="85"/>
      <c r="DX34" s="78"/>
      <c r="DY34" s="78"/>
      <c r="DZ34" s="79"/>
      <c r="EA34" s="78"/>
      <c r="EB34" s="78"/>
      <c r="EC34" s="79"/>
      <c r="ED34" s="78"/>
      <c r="EE34" s="78"/>
      <c r="EF34" s="79"/>
      <c r="EG34" s="78"/>
      <c r="EH34" s="78"/>
      <c r="EI34" s="79"/>
      <c r="EJ34" s="80">
        <f t="shared" si="13"/>
        <v>0</v>
      </c>
      <c r="EK34" s="78"/>
      <c r="EL34" s="78"/>
      <c r="EM34" s="79"/>
      <c r="EN34" s="78"/>
      <c r="EO34" s="78"/>
      <c r="EP34" s="79"/>
      <c r="EQ34" s="78"/>
      <c r="ER34" s="78"/>
      <c r="ES34" s="79"/>
      <c r="ET34" s="78"/>
      <c r="EU34" s="78"/>
      <c r="EV34" s="79"/>
      <c r="EW34" s="80">
        <f t="shared" si="14"/>
        <v>0</v>
      </c>
    </row>
    <row r="35" spans="1:153" ht="20.100000000000001" customHeight="1" x14ac:dyDescent="0.25">
      <c r="A35" s="51" t="s">
        <v>62</v>
      </c>
      <c r="B35" s="52">
        <v>1</v>
      </c>
      <c r="C35" s="53">
        <v>39</v>
      </c>
      <c r="D35" s="58"/>
      <c r="E35" s="59"/>
      <c r="F35" s="60"/>
      <c r="G35" s="59"/>
      <c r="H35" s="59"/>
      <c r="I35" s="60"/>
      <c r="J35" s="59"/>
      <c r="K35" s="59"/>
      <c r="L35" s="60"/>
      <c r="M35" s="59"/>
      <c r="N35" s="59"/>
      <c r="O35" s="60"/>
      <c r="P35" s="61">
        <f t="shared" si="1"/>
        <v>0</v>
      </c>
      <c r="Q35" s="58"/>
      <c r="R35" s="59"/>
      <c r="S35" s="62"/>
      <c r="T35" s="63"/>
      <c r="U35" s="59"/>
      <c r="V35" s="60"/>
      <c r="W35" s="59"/>
      <c r="X35" s="59"/>
      <c r="Y35" s="60"/>
      <c r="Z35" s="59"/>
      <c r="AA35" s="59"/>
      <c r="AB35" s="60"/>
      <c r="AC35" s="59"/>
      <c r="AD35" s="59"/>
      <c r="AE35" s="60"/>
      <c r="AF35" s="62">
        <f t="shared" si="2"/>
        <v>0</v>
      </c>
      <c r="AG35" s="61">
        <f t="shared" si="3"/>
        <v>0</v>
      </c>
      <c r="AH35" s="58"/>
      <c r="AI35" s="59"/>
      <c r="AJ35" s="60"/>
      <c r="AK35" s="59"/>
      <c r="AL35" s="59"/>
      <c r="AM35" s="60"/>
      <c r="AN35" s="59"/>
      <c r="AO35" s="59"/>
      <c r="AP35" s="60"/>
      <c r="AQ35" s="59"/>
      <c r="AR35" s="59"/>
      <c r="AS35" s="60"/>
      <c r="AT35" s="59">
        <f t="shared" si="4"/>
        <v>0</v>
      </c>
      <c r="AU35" s="58"/>
      <c r="AV35" s="59"/>
      <c r="AW35" s="60"/>
      <c r="AX35" s="59"/>
      <c r="AY35" s="59"/>
      <c r="AZ35" s="60"/>
      <c r="BA35" s="59"/>
      <c r="BB35" s="59"/>
      <c r="BC35" s="60"/>
      <c r="BD35" s="59"/>
      <c r="BE35" s="59"/>
      <c r="BF35" s="60"/>
      <c r="BG35" s="61">
        <f t="shared" si="5"/>
        <v>0</v>
      </c>
      <c r="BH35" s="58"/>
      <c r="BI35" s="62">
        <f t="shared" si="6"/>
        <v>0</v>
      </c>
      <c r="BJ35" s="63"/>
      <c r="BK35" s="59"/>
      <c r="BL35" s="60"/>
      <c r="BM35" s="59"/>
      <c r="BN35" s="59"/>
      <c r="BO35" s="60"/>
      <c r="BP35" s="59"/>
      <c r="BQ35" s="59"/>
      <c r="BR35" s="60"/>
      <c r="BS35" s="59"/>
      <c r="BT35" s="59"/>
      <c r="BU35" s="60"/>
      <c r="BV35" s="62">
        <f t="shared" si="7"/>
        <v>0</v>
      </c>
      <c r="BW35" s="59">
        <f t="shared" si="8"/>
        <v>0</v>
      </c>
      <c r="BX35" s="61">
        <f t="shared" si="9"/>
        <v>0</v>
      </c>
      <c r="BY35" s="58"/>
      <c r="BZ35" s="59"/>
      <c r="CA35" s="60"/>
      <c r="CB35" s="59"/>
      <c r="CC35" s="59"/>
      <c r="CD35" s="60"/>
      <c r="CE35" s="59"/>
      <c r="CF35" s="59"/>
      <c r="CG35" s="60"/>
      <c r="CH35" s="59"/>
      <c r="CI35" s="59"/>
      <c r="CJ35" s="60"/>
      <c r="CK35" s="61">
        <f t="shared" si="10"/>
        <v>0</v>
      </c>
      <c r="CL35" s="58"/>
      <c r="CM35" s="59"/>
      <c r="CN35" s="60"/>
      <c r="CO35" s="59"/>
      <c r="CP35" s="59"/>
      <c r="CQ35" s="60"/>
      <c r="CR35" s="59"/>
      <c r="CS35" s="59"/>
      <c r="CT35" s="60"/>
      <c r="CU35" s="59"/>
      <c r="CV35" s="59"/>
      <c r="CW35" s="60"/>
      <c r="CX35" s="61">
        <f t="shared" si="11"/>
        <v>0</v>
      </c>
      <c r="CY35" s="58"/>
      <c r="CZ35" s="59"/>
      <c r="DA35" s="60"/>
      <c r="DB35" s="59"/>
      <c r="DC35" s="59"/>
      <c r="DD35" s="60"/>
      <c r="DE35" s="59"/>
      <c r="DF35" s="59"/>
      <c r="DG35" s="60"/>
      <c r="DH35" s="59"/>
      <c r="DI35" s="59"/>
      <c r="DJ35" s="60"/>
      <c r="DK35" s="61">
        <f t="shared" si="12"/>
        <v>0</v>
      </c>
      <c r="DL35" s="64"/>
      <c r="DM35" s="52"/>
      <c r="DN35" s="65"/>
      <c r="DO35" s="52"/>
      <c r="DP35" s="52"/>
      <c r="DQ35" s="65"/>
      <c r="DR35" s="52"/>
      <c r="DS35" s="52"/>
      <c r="DT35" s="65"/>
      <c r="DU35" s="52"/>
      <c r="DV35" s="52"/>
      <c r="DW35" s="66"/>
      <c r="DX35" s="59"/>
      <c r="DY35" s="59"/>
      <c r="DZ35" s="60"/>
      <c r="EA35" s="59"/>
      <c r="EB35" s="59"/>
      <c r="EC35" s="60"/>
      <c r="ED35" s="59"/>
      <c r="EE35" s="59"/>
      <c r="EF35" s="60"/>
      <c r="EG35" s="59"/>
      <c r="EH35" s="59"/>
      <c r="EI35" s="60"/>
      <c r="EJ35" s="61">
        <f t="shared" si="13"/>
        <v>0</v>
      </c>
      <c r="EK35" s="59"/>
      <c r="EL35" s="59"/>
      <c r="EM35" s="60"/>
      <c r="EN35" s="59"/>
      <c r="EO35" s="59"/>
      <c r="EP35" s="60"/>
      <c r="EQ35" s="59"/>
      <c r="ER35" s="59"/>
      <c r="ES35" s="60"/>
      <c r="ET35" s="59"/>
      <c r="EU35" s="59"/>
      <c r="EV35" s="60"/>
      <c r="EW35" s="61">
        <f t="shared" si="14"/>
        <v>0</v>
      </c>
    </row>
    <row r="36" spans="1:153" ht="20.100000000000001" customHeight="1" x14ac:dyDescent="0.25">
      <c r="A36" s="51" t="s">
        <v>63</v>
      </c>
      <c r="B36" s="52">
        <v>1</v>
      </c>
      <c r="C36" s="53">
        <v>95</v>
      </c>
      <c r="D36" s="58"/>
      <c r="E36" s="59"/>
      <c r="F36" s="60"/>
      <c r="G36" s="59"/>
      <c r="H36" s="59"/>
      <c r="I36" s="60"/>
      <c r="J36" s="59"/>
      <c r="K36" s="59"/>
      <c r="L36" s="60"/>
      <c r="M36" s="59"/>
      <c r="N36" s="59"/>
      <c r="O36" s="60"/>
      <c r="P36" s="61">
        <f t="shared" si="1"/>
        <v>0</v>
      </c>
      <c r="Q36" s="58"/>
      <c r="R36" s="59"/>
      <c r="S36" s="62"/>
      <c r="T36" s="63"/>
      <c r="U36" s="59"/>
      <c r="V36" s="60"/>
      <c r="W36" s="59"/>
      <c r="X36" s="59"/>
      <c r="Y36" s="60"/>
      <c r="Z36" s="59"/>
      <c r="AA36" s="59"/>
      <c r="AB36" s="60"/>
      <c r="AC36" s="59"/>
      <c r="AD36" s="59"/>
      <c r="AE36" s="60"/>
      <c r="AF36" s="62">
        <f t="shared" si="2"/>
        <v>0</v>
      </c>
      <c r="AG36" s="61">
        <f t="shared" si="3"/>
        <v>0</v>
      </c>
      <c r="AH36" s="58"/>
      <c r="AI36" s="59"/>
      <c r="AJ36" s="60"/>
      <c r="AK36" s="59"/>
      <c r="AL36" s="59"/>
      <c r="AM36" s="60"/>
      <c r="AN36" s="59"/>
      <c r="AO36" s="59"/>
      <c r="AP36" s="60"/>
      <c r="AQ36" s="59"/>
      <c r="AR36" s="59"/>
      <c r="AS36" s="60"/>
      <c r="AT36" s="59">
        <f t="shared" si="4"/>
        <v>0</v>
      </c>
      <c r="AU36" s="58"/>
      <c r="AV36" s="59"/>
      <c r="AW36" s="60"/>
      <c r="AX36" s="59"/>
      <c r="AY36" s="59"/>
      <c r="AZ36" s="60"/>
      <c r="BA36" s="59"/>
      <c r="BB36" s="59"/>
      <c r="BC36" s="60"/>
      <c r="BD36" s="59"/>
      <c r="BE36" s="59"/>
      <c r="BF36" s="60"/>
      <c r="BG36" s="61">
        <f t="shared" si="5"/>
        <v>0</v>
      </c>
      <c r="BH36" s="58"/>
      <c r="BI36" s="62">
        <f t="shared" si="6"/>
        <v>0</v>
      </c>
      <c r="BJ36" s="63"/>
      <c r="BK36" s="59"/>
      <c r="BL36" s="60"/>
      <c r="BM36" s="59"/>
      <c r="BN36" s="59"/>
      <c r="BO36" s="60"/>
      <c r="BP36" s="59"/>
      <c r="BQ36" s="59"/>
      <c r="BR36" s="60"/>
      <c r="BS36" s="59"/>
      <c r="BT36" s="59"/>
      <c r="BU36" s="60"/>
      <c r="BV36" s="62">
        <f t="shared" si="7"/>
        <v>0</v>
      </c>
      <c r="BW36" s="59">
        <f t="shared" si="8"/>
        <v>0</v>
      </c>
      <c r="BX36" s="61">
        <f t="shared" si="9"/>
        <v>0</v>
      </c>
      <c r="BY36" s="58"/>
      <c r="BZ36" s="59"/>
      <c r="CA36" s="60"/>
      <c r="CB36" s="59"/>
      <c r="CC36" s="59"/>
      <c r="CD36" s="60"/>
      <c r="CE36" s="59"/>
      <c r="CF36" s="59"/>
      <c r="CG36" s="60"/>
      <c r="CH36" s="59"/>
      <c r="CI36" s="59"/>
      <c r="CJ36" s="60"/>
      <c r="CK36" s="61">
        <f t="shared" si="10"/>
        <v>0</v>
      </c>
      <c r="CL36" s="58"/>
      <c r="CM36" s="59"/>
      <c r="CN36" s="60"/>
      <c r="CO36" s="59"/>
      <c r="CP36" s="59"/>
      <c r="CQ36" s="60"/>
      <c r="CR36" s="59"/>
      <c r="CS36" s="59"/>
      <c r="CT36" s="60"/>
      <c r="CU36" s="59"/>
      <c r="CV36" s="59"/>
      <c r="CW36" s="60"/>
      <c r="CX36" s="61">
        <f t="shared" si="11"/>
        <v>0</v>
      </c>
      <c r="CY36" s="58"/>
      <c r="CZ36" s="59"/>
      <c r="DA36" s="60"/>
      <c r="DB36" s="59"/>
      <c r="DC36" s="59"/>
      <c r="DD36" s="60"/>
      <c r="DE36" s="59"/>
      <c r="DF36" s="59"/>
      <c r="DG36" s="60"/>
      <c r="DH36" s="59"/>
      <c r="DI36" s="59"/>
      <c r="DJ36" s="60"/>
      <c r="DK36" s="61">
        <f t="shared" si="12"/>
        <v>0</v>
      </c>
      <c r="DL36" s="64"/>
      <c r="DM36" s="52"/>
      <c r="DN36" s="65"/>
      <c r="DO36" s="52"/>
      <c r="DP36" s="52"/>
      <c r="DQ36" s="65"/>
      <c r="DR36" s="52"/>
      <c r="DS36" s="52"/>
      <c r="DT36" s="65"/>
      <c r="DU36" s="52"/>
      <c r="DV36" s="52"/>
      <c r="DW36" s="66"/>
      <c r="DX36" s="59"/>
      <c r="DY36" s="59"/>
      <c r="DZ36" s="60"/>
      <c r="EA36" s="59"/>
      <c r="EB36" s="59"/>
      <c r="EC36" s="60"/>
      <c r="ED36" s="59"/>
      <c r="EE36" s="59"/>
      <c r="EF36" s="60"/>
      <c r="EG36" s="59"/>
      <c r="EH36" s="59"/>
      <c r="EI36" s="60"/>
      <c r="EJ36" s="61">
        <f t="shared" si="13"/>
        <v>0</v>
      </c>
      <c r="EK36" s="59"/>
      <c r="EL36" s="59"/>
      <c r="EM36" s="60"/>
      <c r="EN36" s="59"/>
      <c r="EO36" s="59"/>
      <c r="EP36" s="60"/>
      <c r="EQ36" s="59"/>
      <c r="ER36" s="59"/>
      <c r="ES36" s="60"/>
      <c r="ET36" s="59"/>
      <c r="EU36" s="59"/>
      <c r="EV36" s="60"/>
      <c r="EW36" s="61">
        <f t="shared" si="14"/>
        <v>0</v>
      </c>
    </row>
    <row r="37" spans="1:153" ht="20.100000000000001" customHeight="1" x14ac:dyDescent="0.25">
      <c r="A37" s="51" t="s">
        <v>114</v>
      </c>
      <c r="B37" s="52">
        <v>1</v>
      </c>
      <c r="C37" s="53">
        <v>1</v>
      </c>
      <c r="D37" s="58"/>
      <c r="E37" s="59"/>
      <c r="F37" s="60"/>
      <c r="G37" s="59"/>
      <c r="H37" s="59"/>
      <c r="I37" s="60"/>
      <c r="J37" s="59"/>
      <c r="K37" s="59"/>
      <c r="L37" s="60"/>
      <c r="M37" s="59"/>
      <c r="N37" s="59"/>
      <c r="O37" s="60"/>
      <c r="P37" s="61"/>
      <c r="Q37" s="58"/>
      <c r="R37" s="59"/>
      <c r="S37" s="62"/>
      <c r="T37" s="63"/>
      <c r="U37" s="59"/>
      <c r="V37" s="60"/>
      <c r="W37" s="59"/>
      <c r="X37" s="59"/>
      <c r="Y37" s="60"/>
      <c r="Z37" s="59"/>
      <c r="AA37" s="59"/>
      <c r="AB37" s="60"/>
      <c r="AC37" s="59"/>
      <c r="AD37" s="59"/>
      <c r="AE37" s="60"/>
      <c r="AF37" s="62"/>
      <c r="AG37" s="61"/>
      <c r="AH37" s="58"/>
      <c r="AI37" s="59"/>
      <c r="AJ37" s="60"/>
      <c r="AK37" s="59"/>
      <c r="AL37" s="59"/>
      <c r="AM37" s="60"/>
      <c r="AN37" s="59"/>
      <c r="AO37" s="59"/>
      <c r="AP37" s="60"/>
      <c r="AQ37" s="59"/>
      <c r="AR37" s="59"/>
      <c r="AS37" s="60"/>
      <c r="AT37" s="59"/>
      <c r="AU37" s="58"/>
      <c r="AV37" s="59"/>
      <c r="AW37" s="60"/>
      <c r="AX37" s="59"/>
      <c r="AY37" s="59"/>
      <c r="AZ37" s="60"/>
      <c r="BA37" s="59"/>
      <c r="BB37" s="59"/>
      <c r="BC37" s="60"/>
      <c r="BD37" s="59"/>
      <c r="BE37" s="59"/>
      <c r="BF37" s="60"/>
      <c r="BG37" s="61"/>
      <c r="BH37" s="58"/>
      <c r="BI37" s="62">
        <f t="shared" si="6"/>
        <v>0</v>
      </c>
      <c r="BJ37" s="63"/>
      <c r="BK37" s="59"/>
      <c r="BL37" s="60"/>
      <c r="BM37" s="59"/>
      <c r="BN37" s="59"/>
      <c r="BO37" s="60"/>
      <c r="BP37" s="59"/>
      <c r="BQ37" s="59"/>
      <c r="BR37" s="60"/>
      <c r="BS37" s="59"/>
      <c r="BT37" s="59"/>
      <c r="BU37" s="60"/>
      <c r="BV37" s="62"/>
      <c r="BW37" s="59"/>
      <c r="BX37" s="61"/>
      <c r="BY37" s="58"/>
      <c r="BZ37" s="59"/>
      <c r="CA37" s="60"/>
      <c r="CB37" s="59"/>
      <c r="CC37" s="59"/>
      <c r="CD37" s="60"/>
      <c r="CE37" s="59"/>
      <c r="CF37" s="59"/>
      <c r="CG37" s="60"/>
      <c r="CH37" s="59"/>
      <c r="CI37" s="59"/>
      <c r="CJ37" s="60"/>
      <c r="CK37" s="61"/>
      <c r="CL37" s="58"/>
      <c r="CM37" s="59"/>
      <c r="CN37" s="60"/>
      <c r="CO37" s="59"/>
      <c r="CP37" s="59"/>
      <c r="CQ37" s="60"/>
      <c r="CR37" s="59"/>
      <c r="CS37" s="59"/>
      <c r="CT37" s="60"/>
      <c r="CU37" s="59"/>
      <c r="CV37" s="59"/>
      <c r="CW37" s="60"/>
      <c r="CX37" s="61"/>
      <c r="CY37" s="58"/>
      <c r="CZ37" s="59"/>
      <c r="DA37" s="60"/>
      <c r="DB37" s="59"/>
      <c r="DC37" s="59"/>
      <c r="DD37" s="60"/>
      <c r="DE37" s="59"/>
      <c r="DF37" s="59"/>
      <c r="DG37" s="60"/>
      <c r="DH37" s="59"/>
      <c r="DI37" s="59"/>
      <c r="DJ37" s="60"/>
      <c r="DK37" s="61"/>
      <c r="DL37" s="64"/>
      <c r="DM37" s="52"/>
      <c r="DN37" s="65"/>
      <c r="DO37" s="52"/>
      <c r="DP37" s="52"/>
      <c r="DQ37" s="65"/>
      <c r="DR37" s="52"/>
      <c r="DS37" s="52"/>
      <c r="DT37" s="65"/>
      <c r="DU37" s="52"/>
      <c r="DV37" s="52"/>
      <c r="DW37" s="66"/>
      <c r="DX37" s="59"/>
      <c r="DY37" s="59"/>
      <c r="DZ37" s="60"/>
      <c r="EA37" s="59"/>
      <c r="EB37" s="59"/>
      <c r="EC37" s="60"/>
      <c r="ED37" s="59"/>
      <c r="EE37" s="59"/>
      <c r="EF37" s="60"/>
      <c r="EG37" s="59"/>
      <c r="EH37" s="59"/>
      <c r="EI37" s="60"/>
      <c r="EJ37" s="61"/>
      <c r="EK37" s="59"/>
      <c r="EL37" s="59"/>
      <c r="EM37" s="60"/>
      <c r="EN37" s="59"/>
      <c r="EO37" s="59"/>
      <c r="EP37" s="60"/>
      <c r="EQ37" s="59"/>
      <c r="ER37" s="59"/>
      <c r="ES37" s="60"/>
      <c r="ET37" s="59"/>
      <c r="EU37" s="59"/>
      <c r="EV37" s="60"/>
      <c r="EW37" s="61"/>
    </row>
    <row r="38" spans="1:153" ht="20.100000000000001" customHeight="1" x14ac:dyDescent="0.25">
      <c r="A38" s="51" t="s">
        <v>100</v>
      </c>
      <c r="B38" s="52">
        <v>1</v>
      </c>
      <c r="C38" s="53">
        <v>83</v>
      </c>
      <c r="D38" s="58"/>
      <c r="E38" s="59"/>
      <c r="F38" s="60"/>
      <c r="G38" s="59"/>
      <c r="H38" s="59"/>
      <c r="I38" s="60"/>
      <c r="J38" s="59"/>
      <c r="K38" s="59"/>
      <c r="L38" s="60"/>
      <c r="M38" s="59"/>
      <c r="N38" s="59"/>
      <c r="O38" s="60"/>
      <c r="P38" s="61">
        <f t="shared" si="1"/>
        <v>0</v>
      </c>
      <c r="Q38" s="58"/>
      <c r="R38" s="59"/>
      <c r="S38" s="62"/>
      <c r="T38" s="63"/>
      <c r="U38" s="59"/>
      <c r="V38" s="60"/>
      <c r="W38" s="59"/>
      <c r="X38" s="59"/>
      <c r="Y38" s="60"/>
      <c r="Z38" s="59"/>
      <c r="AA38" s="59"/>
      <c r="AB38" s="60"/>
      <c r="AC38" s="59"/>
      <c r="AD38" s="59"/>
      <c r="AE38" s="60"/>
      <c r="AF38" s="62">
        <f t="shared" si="2"/>
        <v>0</v>
      </c>
      <c r="AG38" s="61">
        <f t="shared" si="3"/>
        <v>0</v>
      </c>
      <c r="AH38" s="58"/>
      <c r="AI38" s="59"/>
      <c r="AJ38" s="60"/>
      <c r="AK38" s="59"/>
      <c r="AL38" s="59"/>
      <c r="AM38" s="60"/>
      <c r="AN38" s="59"/>
      <c r="AO38" s="59"/>
      <c r="AP38" s="60"/>
      <c r="AQ38" s="59"/>
      <c r="AR38" s="59"/>
      <c r="AS38" s="60"/>
      <c r="AT38" s="59">
        <f t="shared" si="4"/>
        <v>0</v>
      </c>
      <c r="AU38" s="58"/>
      <c r="AV38" s="59"/>
      <c r="AW38" s="60"/>
      <c r="AX38" s="59"/>
      <c r="AY38" s="59"/>
      <c r="AZ38" s="60"/>
      <c r="BA38" s="59"/>
      <c r="BB38" s="59"/>
      <c r="BC38" s="60"/>
      <c r="BD38" s="59"/>
      <c r="BE38" s="59"/>
      <c r="BF38" s="60"/>
      <c r="BG38" s="61">
        <f t="shared" si="5"/>
        <v>0</v>
      </c>
      <c r="BH38" s="58"/>
      <c r="BI38" s="62">
        <f t="shared" si="6"/>
        <v>0</v>
      </c>
      <c r="BJ38" s="63"/>
      <c r="BK38" s="59"/>
      <c r="BL38" s="60"/>
      <c r="BM38" s="59"/>
      <c r="BN38" s="59"/>
      <c r="BO38" s="60"/>
      <c r="BP38" s="59"/>
      <c r="BQ38" s="59"/>
      <c r="BR38" s="60"/>
      <c r="BS38" s="59"/>
      <c r="BT38" s="59"/>
      <c r="BU38" s="60"/>
      <c r="BV38" s="62">
        <f t="shared" si="7"/>
        <v>0</v>
      </c>
      <c r="BW38" s="59">
        <f t="shared" si="8"/>
        <v>0</v>
      </c>
      <c r="BX38" s="61">
        <f t="shared" si="9"/>
        <v>0</v>
      </c>
      <c r="BY38" s="58"/>
      <c r="BZ38" s="59"/>
      <c r="CA38" s="60"/>
      <c r="CB38" s="59"/>
      <c r="CC38" s="59"/>
      <c r="CD38" s="60"/>
      <c r="CE38" s="59"/>
      <c r="CF38" s="59"/>
      <c r="CG38" s="60"/>
      <c r="CH38" s="59"/>
      <c r="CI38" s="59"/>
      <c r="CJ38" s="60"/>
      <c r="CK38" s="61">
        <f t="shared" si="10"/>
        <v>0</v>
      </c>
      <c r="CL38" s="58"/>
      <c r="CM38" s="59"/>
      <c r="CN38" s="60"/>
      <c r="CO38" s="59"/>
      <c r="CP38" s="59"/>
      <c r="CQ38" s="60"/>
      <c r="CR38" s="59"/>
      <c r="CS38" s="59"/>
      <c r="CT38" s="60"/>
      <c r="CU38" s="59"/>
      <c r="CV38" s="59"/>
      <c r="CW38" s="60"/>
      <c r="CX38" s="61">
        <f t="shared" si="11"/>
        <v>0</v>
      </c>
      <c r="CY38" s="58"/>
      <c r="CZ38" s="59"/>
      <c r="DA38" s="60"/>
      <c r="DB38" s="59"/>
      <c r="DC38" s="59"/>
      <c r="DD38" s="60"/>
      <c r="DE38" s="59"/>
      <c r="DF38" s="59"/>
      <c r="DG38" s="60"/>
      <c r="DH38" s="59"/>
      <c r="DI38" s="59"/>
      <c r="DJ38" s="60"/>
      <c r="DK38" s="61">
        <f t="shared" si="12"/>
        <v>0</v>
      </c>
      <c r="DL38" s="64"/>
      <c r="DM38" s="52"/>
      <c r="DN38" s="65"/>
      <c r="DO38" s="52"/>
      <c r="DP38" s="52"/>
      <c r="DQ38" s="65"/>
      <c r="DR38" s="52"/>
      <c r="DS38" s="52"/>
      <c r="DT38" s="65"/>
      <c r="DU38" s="52"/>
      <c r="DV38" s="52"/>
      <c r="DW38" s="66"/>
      <c r="DX38" s="59"/>
      <c r="DY38" s="59"/>
      <c r="DZ38" s="60"/>
      <c r="EA38" s="59"/>
      <c r="EB38" s="59"/>
      <c r="EC38" s="60"/>
      <c r="ED38" s="59"/>
      <c r="EE38" s="59"/>
      <c r="EF38" s="60"/>
      <c r="EG38" s="59"/>
      <c r="EH38" s="59"/>
      <c r="EI38" s="60"/>
      <c r="EJ38" s="61">
        <f t="shared" si="13"/>
        <v>0</v>
      </c>
      <c r="EK38" s="59"/>
      <c r="EL38" s="59"/>
      <c r="EM38" s="60"/>
      <c r="EN38" s="59"/>
      <c r="EO38" s="59"/>
      <c r="EP38" s="60"/>
      <c r="EQ38" s="59"/>
      <c r="ER38" s="59"/>
      <c r="ES38" s="60"/>
      <c r="ET38" s="59"/>
      <c r="EU38" s="59"/>
      <c r="EV38" s="60"/>
      <c r="EW38" s="61">
        <f t="shared" si="14"/>
        <v>0</v>
      </c>
    </row>
    <row r="39" spans="1:153" ht="20.100000000000001" customHeight="1" x14ac:dyDescent="0.25">
      <c r="A39" s="51" t="s">
        <v>101</v>
      </c>
      <c r="B39" s="52">
        <v>1</v>
      </c>
      <c r="C39" s="53">
        <v>180</v>
      </c>
      <c r="D39" s="58"/>
      <c r="E39" s="59"/>
      <c r="F39" s="60"/>
      <c r="G39" s="59"/>
      <c r="H39" s="59"/>
      <c r="I39" s="60"/>
      <c r="J39" s="59"/>
      <c r="K39" s="59"/>
      <c r="L39" s="60"/>
      <c r="M39" s="59"/>
      <c r="N39" s="59"/>
      <c r="O39" s="60"/>
      <c r="P39" s="61">
        <f t="shared" si="1"/>
        <v>0</v>
      </c>
      <c r="Q39" s="58"/>
      <c r="R39" s="59"/>
      <c r="S39" s="62"/>
      <c r="T39" s="63"/>
      <c r="U39" s="59"/>
      <c r="V39" s="60"/>
      <c r="W39" s="59"/>
      <c r="X39" s="59"/>
      <c r="Y39" s="60"/>
      <c r="Z39" s="59"/>
      <c r="AA39" s="59"/>
      <c r="AB39" s="60"/>
      <c r="AC39" s="59"/>
      <c r="AD39" s="59"/>
      <c r="AE39" s="60"/>
      <c r="AF39" s="62">
        <f t="shared" si="2"/>
        <v>0</v>
      </c>
      <c r="AG39" s="61">
        <f t="shared" si="3"/>
        <v>0</v>
      </c>
      <c r="AH39" s="58"/>
      <c r="AI39" s="59"/>
      <c r="AJ39" s="60"/>
      <c r="AK39" s="59"/>
      <c r="AL39" s="59"/>
      <c r="AM39" s="60"/>
      <c r="AN39" s="59"/>
      <c r="AO39" s="59"/>
      <c r="AP39" s="60"/>
      <c r="AQ39" s="59"/>
      <c r="AR39" s="59"/>
      <c r="AS39" s="60"/>
      <c r="AT39" s="59">
        <f t="shared" si="4"/>
        <v>0</v>
      </c>
      <c r="AU39" s="58"/>
      <c r="AV39" s="59"/>
      <c r="AW39" s="60"/>
      <c r="AX39" s="59"/>
      <c r="AY39" s="59"/>
      <c r="AZ39" s="60"/>
      <c r="BA39" s="59"/>
      <c r="BB39" s="59"/>
      <c r="BC39" s="60"/>
      <c r="BD39" s="59"/>
      <c r="BE39" s="59"/>
      <c r="BF39" s="60"/>
      <c r="BG39" s="61">
        <f t="shared" si="5"/>
        <v>0</v>
      </c>
      <c r="BH39" s="58"/>
      <c r="BI39" s="62">
        <f t="shared" si="6"/>
        <v>0</v>
      </c>
      <c r="BJ39" s="63"/>
      <c r="BK39" s="59"/>
      <c r="BL39" s="60"/>
      <c r="BM39" s="59"/>
      <c r="BN39" s="59"/>
      <c r="BO39" s="60"/>
      <c r="BP39" s="59"/>
      <c r="BQ39" s="59"/>
      <c r="BR39" s="60"/>
      <c r="BS39" s="59"/>
      <c r="BT39" s="59"/>
      <c r="BU39" s="60"/>
      <c r="BV39" s="62">
        <f t="shared" si="7"/>
        <v>0</v>
      </c>
      <c r="BW39" s="59">
        <f t="shared" si="8"/>
        <v>0</v>
      </c>
      <c r="BX39" s="61">
        <f t="shared" si="9"/>
        <v>0</v>
      </c>
      <c r="BY39" s="58"/>
      <c r="BZ39" s="59"/>
      <c r="CA39" s="60"/>
      <c r="CB39" s="59"/>
      <c r="CC39" s="59"/>
      <c r="CD39" s="60"/>
      <c r="CE39" s="59"/>
      <c r="CF39" s="59"/>
      <c r="CG39" s="60"/>
      <c r="CH39" s="59"/>
      <c r="CI39" s="59"/>
      <c r="CJ39" s="60"/>
      <c r="CK39" s="61">
        <f t="shared" si="10"/>
        <v>0</v>
      </c>
      <c r="CL39" s="58"/>
      <c r="CM39" s="59"/>
      <c r="CN39" s="60"/>
      <c r="CO39" s="59"/>
      <c r="CP39" s="59"/>
      <c r="CQ39" s="60"/>
      <c r="CR39" s="59"/>
      <c r="CS39" s="59"/>
      <c r="CT39" s="60"/>
      <c r="CU39" s="59"/>
      <c r="CV39" s="59"/>
      <c r="CW39" s="60"/>
      <c r="CX39" s="61">
        <f t="shared" si="11"/>
        <v>0</v>
      </c>
      <c r="CY39" s="58"/>
      <c r="CZ39" s="59"/>
      <c r="DA39" s="60"/>
      <c r="DB39" s="59"/>
      <c r="DC39" s="59"/>
      <c r="DD39" s="60"/>
      <c r="DE39" s="59"/>
      <c r="DF39" s="59"/>
      <c r="DG39" s="60"/>
      <c r="DH39" s="59"/>
      <c r="DI39" s="59"/>
      <c r="DJ39" s="60"/>
      <c r="DK39" s="61">
        <f t="shared" si="12"/>
        <v>0</v>
      </c>
      <c r="DL39" s="64"/>
      <c r="DM39" s="52"/>
      <c r="DN39" s="65"/>
      <c r="DO39" s="52"/>
      <c r="DP39" s="52"/>
      <c r="DQ39" s="65"/>
      <c r="DR39" s="52"/>
      <c r="DS39" s="52"/>
      <c r="DT39" s="65"/>
      <c r="DU39" s="52"/>
      <c r="DV39" s="52"/>
      <c r="DW39" s="66"/>
      <c r="DX39" s="59"/>
      <c r="DY39" s="59"/>
      <c r="DZ39" s="60"/>
      <c r="EA39" s="59"/>
      <c r="EB39" s="59"/>
      <c r="EC39" s="60"/>
      <c r="ED39" s="59"/>
      <c r="EE39" s="59"/>
      <c r="EF39" s="60"/>
      <c r="EG39" s="59"/>
      <c r="EH39" s="59"/>
      <c r="EI39" s="60"/>
      <c r="EJ39" s="61">
        <f t="shared" si="13"/>
        <v>0</v>
      </c>
      <c r="EK39" s="59"/>
      <c r="EL39" s="59"/>
      <c r="EM39" s="60"/>
      <c r="EN39" s="59"/>
      <c r="EO39" s="59"/>
      <c r="EP39" s="60"/>
      <c r="EQ39" s="59"/>
      <c r="ER39" s="59"/>
      <c r="ES39" s="60"/>
      <c r="ET39" s="59"/>
      <c r="EU39" s="59"/>
      <c r="EV39" s="60"/>
      <c r="EW39" s="61">
        <f t="shared" si="14"/>
        <v>0</v>
      </c>
    </row>
    <row r="40" spans="1:153" ht="20.100000000000001" customHeight="1" x14ac:dyDescent="0.25">
      <c r="A40" s="51" t="s">
        <v>115</v>
      </c>
      <c r="B40" s="52">
        <v>1</v>
      </c>
      <c r="C40" s="53">
        <v>1</v>
      </c>
      <c r="D40" s="58"/>
      <c r="E40" s="59"/>
      <c r="F40" s="60"/>
      <c r="G40" s="59"/>
      <c r="H40" s="59"/>
      <c r="I40" s="60"/>
      <c r="J40" s="59"/>
      <c r="K40" s="59"/>
      <c r="L40" s="60"/>
      <c r="M40" s="59"/>
      <c r="N40" s="59"/>
      <c r="O40" s="60"/>
      <c r="P40" s="61"/>
      <c r="Q40" s="58"/>
      <c r="R40" s="59"/>
      <c r="S40" s="62"/>
      <c r="T40" s="63"/>
      <c r="U40" s="59"/>
      <c r="V40" s="60"/>
      <c r="W40" s="59"/>
      <c r="X40" s="59"/>
      <c r="Y40" s="60"/>
      <c r="Z40" s="59"/>
      <c r="AA40" s="59"/>
      <c r="AB40" s="60"/>
      <c r="AC40" s="59"/>
      <c r="AD40" s="59"/>
      <c r="AE40" s="60"/>
      <c r="AF40" s="62"/>
      <c r="AG40" s="61"/>
      <c r="AH40" s="58"/>
      <c r="AI40" s="59"/>
      <c r="AJ40" s="60"/>
      <c r="AK40" s="59"/>
      <c r="AL40" s="59"/>
      <c r="AM40" s="60"/>
      <c r="AN40" s="59"/>
      <c r="AO40" s="59"/>
      <c r="AP40" s="60"/>
      <c r="AQ40" s="59"/>
      <c r="AR40" s="59"/>
      <c r="AS40" s="60"/>
      <c r="AT40" s="59"/>
      <c r="AU40" s="58"/>
      <c r="AV40" s="59"/>
      <c r="AW40" s="60"/>
      <c r="AX40" s="59"/>
      <c r="AY40" s="59"/>
      <c r="AZ40" s="60"/>
      <c r="BA40" s="59"/>
      <c r="BB40" s="59"/>
      <c r="BC40" s="60"/>
      <c r="BD40" s="59"/>
      <c r="BE40" s="59"/>
      <c r="BF40" s="60"/>
      <c r="BG40" s="61"/>
      <c r="BH40" s="58"/>
      <c r="BI40" s="62">
        <f t="shared" si="6"/>
        <v>0</v>
      </c>
      <c r="BJ40" s="63"/>
      <c r="BK40" s="59"/>
      <c r="BL40" s="60"/>
      <c r="BM40" s="59"/>
      <c r="BN40" s="59"/>
      <c r="BO40" s="60"/>
      <c r="BP40" s="59"/>
      <c r="BQ40" s="59"/>
      <c r="BR40" s="60"/>
      <c r="BS40" s="59"/>
      <c r="BT40" s="59"/>
      <c r="BU40" s="60"/>
      <c r="BV40" s="62"/>
      <c r="BW40" s="59"/>
      <c r="BX40" s="61"/>
      <c r="BY40" s="58"/>
      <c r="BZ40" s="59"/>
      <c r="CA40" s="60"/>
      <c r="CB40" s="59"/>
      <c r="CC40" s="59"/>
      <c r="CD40" s="60"/>
      <c r="CE40" s="59"/>
      <c r="CF40" s="59"/>
      <c r="CG40" s="60"/>
      <c r="CH40" s="59"/>
      <c r="CI40" s="59"/>
      <c r="CJ40" s="60"/>
      <c r="CK40" s="61"/>
      <c r="CL40" s="58"/>
      <c r="CM40" s="59"/>
      <c r="CN40" s="60"/>
      <c r="CO40" s="59"/>
      <c r="CP40" s="59"/>
      <c r="CQ40" s="60"/>
      <c r="CR40" s="59"/>
      <c r="CS40" s="59"/>
      <c r="CT40" s="60"/>
      <c r="CU40" s="59"/>
      <c r="CV40" s="59"/>
      <c r="CW40" s="60"/>
      <c r="CX40" s="61"/>
      <c r="CY40" s="58"/>
      <c r="CZ40" s="59"/>
      <c r="DA40" s="60"/>
      <c r="DB40" s="59"/>
      <c r="DC40" s="59"/>
      <c r="DD40" s="60"/>
      <c r="DE40" s="59"/>
      <c r="DF40" s="59"/>
      <c r="DG40" s="60"/>
      <c r="DH40" s="59"/>
      <c r="DI40" s="59"/>
      <c r="DJ40" s="60"/>
      <c r="DK40" s="61"/>
      <c r="DL40" s="64"/>
      <c r="DM40" s="52"/>
      <c r="DN40" s="65"/>
      <c r="DO40" s="52"/>
      <c r="DP40" s="52"/>
      <c r="DQ40" s="65"/>
      <c r="DR40" s="52"/>
      <c r="DS40" s="52"/>
      <c r="DT40" s="65"/>
      <c r="DU40" s="52"/>
      <c r="DV40" s="52"/>
      <c r="DW40" s="66"/>
      <c r="DX40" s="59"/>
      <c r="DY40" s="59"/>
      <c r="DZ40" s="60"/>
      <c r="EA40" s="59"/>
      <c r="EB40" s="59"/>
      <c r="EC40" s="60"/>
      <c r="ED40" s="59"/>
      <c r="EE40" s="59"/>
      <c r="EF40" s="60"/>
      <c r="EG40" s="59"/>
      <c r="EH40" s="59"/>
      <c r="EI40" s="60"/>
      <c r="EJ40" s="61"/>
      <c r="EK40" s="59"/>
      <c r="EL40" s="59"/>
      <c r="EM40" s="60"/>
      <c r="EN40" s="59"/>
      <c r="EO40" s="59"/>
      <c r="EP40" s="60"/>
      <c r="EQ40" s="59"/>
      <c r="ER40" s="59"/>
      <c r="ES40" s="60"/>
      <c r="ET40" s="59"/>
      <c r="EU40" s="59"/>
      <c r="EV40" s="60"/>
      <c r="EW40" s="61"/>
    </row>
    <row r="41" spans="1:153" ht="20.100000000000001" customHeight="1" x14ac:dyDescent="0.25">
      <c r="A41" s="51" t="s">
        <v>102</v>
      </c>
      <c r="B41" s="52">
        <v>1</v>
      </c>
      <c r="C41" s="53">
        <v>133</v>
      </c>
      <c r="D41" s="58"/>
      <c r="E41" s="59"/>
      <c r="F41" s="60"/>
      <c r="G41" s="59"/>
      <c r="H41" s="59"/>
      <c r="I41" s="60"/>
      <c r="J41" s="59"/>
      <c r="K41" s="59"/>
      <c r="L41" s="60"/>
      <c r="M41" s="59"/>
      <c r="N41" s="59"/>
      <c r="O41" s="60"/>
      <c r="P41" s="61">
        <f t="shared" si="1"/>
        <v>0</v>
      </c>
      <c r="Q41" s="58"/>
      <c r="R41" s="59"/>
      <c r="S41" s="62"/>
      <c r="T41" s="63"/>
      <c r="U41" s="59"/>
      <c r="V41" s="60"/>
      <c r="W41" s="59"/>
      <c r="X41" s="59"/>
      <c r="Y41" s="60"/>
      <c r="Z41" s="59"/>
      <c r="AA41" s="59"/>
      <c r="AB41" s="60"/>
      <c r="AC41" s="59"/>
      <c r="AD41" s="59"/>
      <c r="AE41" s="60"/>
      <c r="AF41" s="62">
        <f t="shared" si="2"/>
        <v>0</v>
      </c>
      <c r="AG41" s="61">
        <f t="shared" si="3"/>
        <v>0</v>
      </c>
      <c r="AH41" s="58"/>
      <c r="AI41" s="59"/>
      <c r="AJ41" s="60"/>
      <c r="AK41" s="59"/>
      <c r="AL41" s="59"/>
      <c r="AM41" s="60"/>
      <c r="AN41" s="59"/>
      <c r="AO41" s="59"/>
      <c r="AP41" s="60"/>
      <c r="AQ41" s="59"/>
      <c r="AR41" s="59"/>
      <c r="AS41" s="60"/>
      <c r="AT41" s="59">
        <f t="shared" si="4"/>
        <v>0</v>
      </c>
      <c r="AU41" s="58"/>
      <c r="AV41" s="59"/>
      <c r="AW41" s="60"/>
      <c r="AX41" s="59"/>
      <c r="AY41" s="59"/>
      <c r="AZ41" s="60"/>
      <c r="BA41" s="59"/>
      <c r="BB41" s="59"/>
      <c r="BC41" s="60"/>
      <c r="BD41" s="59"/>
      <c r="BE41" s="59"/>
      <c r="BF41" s="60"/>
      <c r="BG41" s="61">
        <f t="shared" si="5"/>
        <v>0</v>
      </c>
      <c r="BH41" s="58"/>
      <c r="BI41" s="62">
        <f t="shared" si="6"/>
        <v>0</v>
      </c>
      <c r="BJ41" s="63"/>
      <c r="BK41" s="59"/>
      <c r="BL41" s="60"/>
      <c r="BM41" s="59"/>
      <c r="BN41" s="59"/>
      <c r="BO41" s="60"/>
      <c r="BP41" s="59"/>
      <c r="BQ41" s="59"/>
      <c r="BR41" s="60"/>
      <c r="BS41" s="59"/>
      <c r="BT41" s="59"/>
      <c r="BU41" s="60"/>
      <c r="BV41" s="62">
        <f t="shared" si="7"/>
        <v>0</v>
      </c>
      <c r="BW41" s="59">
        <f t="shared" si="8"/>
        <v>0</v>
      </c>
      <c r="BX41" s="61">
        <f t="shared" si="9"/>
        <v>0</v>
      </c>
      <c r="BY41" s="58"/>
      <c r="BZ41" s="59"/>
      <c r="CA41" s="60"/>
      <c r="CB41" s="59"/>
      <c r="CC41" s="59"/>
      <c r="CD41" s="60"/>
      <c r="CE41" s="59"/>
      <c r="CF41" s="59"/>
      <c r="CG41" s="60"/>
      <c r="CH41" s="59"/>
      <c r="CI41" s="59"/>
      <c r="CJ41" s="60"/>
      <c r="CK41" s="61">
        <f t="shared" si="10"/>
        <v>0</v>
      </c>
      <c r="CL41" s="58"/>
      <c r="CM41" s="59"/>
      <c r="CN41" s="60"/>
      <c r="CO41" s="59"/>
      <c r="CP41" s="59"/>
      <c r="CQ41" s="60"/>
      <c r="CR41" s="59"/>
      <c r="CS41" s="59"/>
      <c r="CT41" s="60"/>
      <c r="CU41" s="59"/>
      <c r="CV41" s="59"/>
      <c r="CW41" s="60"/>
      <c r="CX41" s="61">
        <f t="shared" si="11"/>
        <v>0</v>
      </c>
      <c r="CY41" s="58"/>
      <c r="CZ41" s="59"/>
      <c r="DA41" s="60"/>
      <c r="DB41" s="59"/>
      <c r="DC41" s="59"/>
      <c r="DD41" s="60"/>
      <c r="DE41" s="59"/>
      <c r="DF41" s="59"/>
      <c r="DG41" s="60"/>
      <c r="DH41" s="59"/>
      <c r="DI41" s="59"/>
      <c r="DJ41" s="60"/>
      <c r="DK41" s="61">
        <f t="shared" si="12"/>
        <v>0</v>
      </c>
      <c r="DL41" s="64"/>
      <c r="DM41" s="52"/>
      <c r="DN41" s="65"/>
      <c r="DO41" s="52"/>
      <c r="DP41" s="52"/>
      <c r="DQ41" s="65"/>
      <c r="DR41" s="52"/>
      <c r="DS41" s="52"/>
      <c r="DT41" s="65"/>
      <c r="DU41" s="52"/>
      <c r="DV41" s="52"/>
      <c r="DW41" s="66"/>
      <c r="DX41" s="59"/>
      <c r="DY41" s="59"/>
      <c r="DZ41" s="60"/>
      <c r="EA41" s="59"/>
      <c r="EB41" s="59"/>
      <c r="EC41" s="60"/>
      <c r="ED41" s="59"/>
      <c r="EE41" s="59"/>
      <c r="EF41" s="60"/>
      <c r="EG41" s="59"/>
      <c r="EH41" s="59"/>
      <c r="EI41" s="60"/>
      <c r="EJ41" s="61">
        <f t="shared" si="13"/>
        <v>0</v>
      </c>
      <c r="EK41" s="59"/>
      <c r="EL41" s="59"/>
      <c r="EM41" s="60"/>
      <c r="EN41" s="59"/>
      <c r="EO41" s="59"/>
      <c r="EP41" s="60"/>
      <c r="EQ41" s="59"/>
      <c r="ER41" s="59"/>
      <c r="ES41" s="60"/>
      <c r="ET41" s="59"/>
      <c r="EU41" s="59"/>
      <c r="EV41" s="60"/>
      <c r="EW41" s="61">
        <f t="shared" si="14"/>
        <v>0</v>
      </c>
    </row>
    <row r="42" spans="1:153" ht="20.100000000000001" customHeight="1" x14ac:dyDescent="0.25">
      <c r="A42" s="51" t="s">
        <v>103</v>
      </c>
      <c r="B42" s="52">
        <v>1</v>
      </c>
      <c r="C42" s="53">
        <v>132</v>
      </c>
      <c r="D42" s="58"/>
      <c r="E42" s="59"/>
      <c r="F42" s="60"/>
      <c r="G42" s="59"/>
      <c r="H42" s="59"/>
      <c r="I42" s="60"/>
      <c r="J42" s="59"/>
      <c r="K42" s="59"/>
      <c r="L42" s="60"/>
      <c r="M42" s="59"/>
      <c r="N42" s="59"/>
      <c r="O42" s="60"/>
      <c r="P42" s="61">
        <f t="shared" si="1"/>
        <v>0</v>
      </c>
      <c r="Q42" s="58"/>
      <c r="R42" s="59"/>
      <c r="S42" s="62"/>
      <c r="T42" s="63"/>
      <c r="U42" s="59"/>
      <c r="V42" s="60"/>
      <c r="W42" s="59"/>
      <c r="X42" s="59"/>
      <c r="Y42" s="60"/>
      <c r="Z42" s="59"/>
      <c r="AA42" s="59"/>
      <c r="AB42" s="60"/>
      <c r="AC42" s="59"/>
      <c r="AD42" s="59"/>
      <c r="AE42" s="60"/>
      <c r="AF42" s="62">
        <f t="shared" si="2"/>
        <v>0</v>
      </c>
      <c r="AG42" s="61">
        <f t="shared" si="3"/>
        <v>0</v>
      </c>
      <c r="AH42" s="58"/>
      <c r="AI42" s="59"/>
      <c r="AJ42" s="60"/>
      <c r="AK42" s="59"/>
      <c r="AL42" s="59"/>
      <c r="AM42" s="60"/>
      <c r="AN42" s="59"/>
      <c r="AO42" s="59"/>
      <c r="AP42" s="60"/>
      <c r="AQ42" s="59"/>
      <c r="AR42" s="59"/>
      <c r="AS42" s="60"/>
      <c r="AT42" s="59">
        <f t="shared" si="4"/>
        <v>0</v>
      </c>
      <c r="AU42" s="58"/>
      <c r="AV42" s="59"/>
      <c r="AW42" s="60"/>
      <c r="AX42" s="59"/>
      <c r="AY42" s="59"/>
      <c r="AZ42" s="60"/>
      <c r="BA42" s="59"/>
      <c r="BB42" s="59"/>
      <c r="BC42" s="60"/>
      <c r="BD42" s="59"/>
      <c r="BE42" s="59"/>
      <c r="BF42" s="60"/>
      <c r="BG42" s="61">
        <f t="shared" si="5"/>
        <v>0</v>
      </c>
      <c r="BH42" s="58"/>
      <c r="BI42" s="62">
        <f t="shared" si="6"/>
        <v>0</v>
      </c>
      <c r="BJ42" s="63"/>
      <c r="BK42" s="59"/>
      <c r="BL42" s="60"/>
      <c r="BM42" s="59"/>
      <c r="BN42" s="59"/>
      <c r="BO42" s="60"/>
      <c r="BP42" s="59"/>
      <c r="BQ42" s="59"/>
      <c r="BR42" s="60"/>
      <c r="BS42" s="59"/>
      <c r="BT42" s="59"/>
      <c r="BU42" s="60"/>
      <c r="BV42" s="62">
        <f t="shared" si="7"/>
        <v>0</v>
      </c>
      <c r="BW42" s="59">
        <f t="shared" si="8"/>
        <v>0</v>
      </c>
      <c r="BX42" s="61">
        <f t="shared" si="9"/>
        <v>0</v>
      </c>
      <c r="BY42" s="58"/>
      <c r="BZ42" s="59"/>
      <c r="CA42" s="60"/>
      <c r="CB42" s="59"/>
      <c r="CC42" s="59"/>
      <c r="CD42" s="60"/>
      <c r="CE42" s="59"/>
      <c r="CF42" s="59"/>
      <c r="CG42" s="60"/>
      <c r="CH42" s="59"/>
      <c r="CI42" s="59"/>
      <c r="CJ42" s="60"/>
      <c r="CK42" s="61">
        <f t="shared" si="10"/>
        <v>0</v>
      </c>
      <c r="CL42" s="58"/>
      <c r="CM42" s="59"/>
      <c r="CN42" s="60"/>
      <c r="CO42" s="59"/>
      <c r="CP42" s="59"/>
      <c r="CQ42" s="60"/>
      <c r="CR42" s="59"/>
      <c r="CS42" s="59"/>
      <c r="CT42" s="60"/>
      <c r="CU42" s="59"/>
      <c r="CV42" s="59"/>
      <c r="CW42" s="60"/>
      <c r="CX42" s="61">
        <f t="shared" si="11"/>
        <v>0</v>
      </c>
      <c r="CY42" s="58"/>
      <c r="CZ42" s="59"/>
      <c r="DA42" s="60"/>
      <c r="DB42" s="59"/>
      <c r="DC42" s="59"/>
      <c r="DD42" s="60"/>
      <c r="DE42" s="59"/>
      <c r="DF42" s="59"/>
      <c r="DG42" s="60"/>
      <c r="DH42" s="59"/>
      <c r="DI42" s="59"/>
      <c r="DJ42" s="60"/>
      <c r="DK42" s="61">
        <f t="shared" si="12"/>
        <v>0</v>
      </c>
      <c r="DL42" s="64"/>
      <c r="DM42" s="52"/>
      <c r="DN42" s="65"/>
      <c r="DO42" s="52"/>
      <c r="DP42" s="52"/>
      <c r="DQ42" s="65"/>
      <c r="DR42" s="52"/>
      <c r="DS42" s="52"/>
      <c r="DT42" s="65"/>
      <c r="DU42" s="52"/>
      <c r="DV42" s="52"/>
      <c r="DW42" s="66"/>
      <c r="DX42" s="59"/>
      <c r="DY42" s="59"/>
      <c r="DZ42" s="60"/>
      <c r="EA42" s="59"/>
      <c r="EB42" s="59"/>
      <c r="EC42" s="60"/>
      <c r="ED42" s="59"/>
      <c r="EE42" s="59"/>
      <c r="EF42" s="60"/>
      <c r="EG42" s="59"/>
      <c r="EH42" s="59"/>
      <c r="EI42" s="60"/>
      <c r="EJ42" s="61">
        <f t="shared" si="13"/>
        <v>0</v>
      </c>
      <c r="EK42" s="59"/>
      <c r="EL42" s="59"/>
      <c r="EM42" s="60"/>
      <c r="EN42" s="59"/>
      <c r="EO42" s="59"/>
      <c r="EP42" s="60"/>
      <c r="EQ42" s="59"/>
      <c r="ER42" s="59"/>
      <c r="ES42" s="60"/>
      <c r="ET42" s="59"/>
      <c r="EU42" s="59"/>
      <c r="EV42" s="60"/>
      <c r="EW42" s="61">
        <f t="shared" si="14"/>
        <v>0</v>
      </c>
    </row>
    <row r="43" spans="1:153" ht="20.100000000000001" customHeight="1" x14ac:dyDescent="0.25">
      <c r="A43" s="51" t="s">
        <v>104</v>
      </c>
      <c r="B43" s="52">
        <v>1</v>
      </c>
      <c r="C43" s="53">
        <v>90</v>
      </c>
      <c r="D43" s="58"/>
      <c r="E43" s="59"/>
      <c r="F43" s="60"/>
      <c r="G43" s="59"/>
      <c r="H43" s="59"/>
      <c r="I43" s="60"/>
      <c r="J43" s="59"/>
      <c r="K43" s="59"/>
      <c r="L43" s="60"/>
      <c r="M43" s="59"/>
      <c r="N43" s="59"/>
      <c r="O43" s="60"/>
      <c r="P43" s="61">
        <f t="shared" si="1"/>
        <v>0</v>
      </c>
      <c r="Q43" s="58"/>
      <c r="R43" s="59"/>
      <c r="S43" s="62"/>
      <c r="T43" s="63"/>
      <c r="U43" s="59"/>
      <c r="V43" s="60"/>
      <c r="W43" s="59"/>
      <c r="X43" s="59"/>
      <c r="Y43" s="60"/>
      <c r="Z43" s="59"/>
      <c r="AA43" s="59"/>
      <c r="AB43" s="60"/>
      <c r="AC43" s="59"/>
      <c r="AD43" s="59"/>
      <c r="AE43" s="60"/>
      <c r="AF43" s="62">
        <f t="shared" si="2"/>
        <v>0</v>
      </c>
      <c r="AG43" s="61">
        <f t="shared" si="3"/>
        <v>0</v>
      </c>
      <c r="AH43" s="58"/>
      <c r="AI43" s="59"/>
      <c r="AJ43" s="60"/>
      <c r="AK43" s="59"/>
      <c r="AL43" s="59"/>
      <c r="AM43" s="60"/>
      <c r="AN43" s="59"/>
      <c r="AO43" s="59"/>
      <c r="AP43" s="60"/>
      <c r="AQ43" s="59"/>
      <c r="AR43" s="59"/>
      <c r="AS43" s="60"/>
      <c r="AT43" s="59">
        <f t="shared" si="4"/>
        <v>0</v>
      </c>
      <c r="AU43" s="58"/>
      <c r="AV43" s="59"/>
      <c r="AW43" s="60"/>
      <c r="AX43" s="59"/>
      <c r="AY43" s="59"/>
      <c r="AZ43" s="60"/>
      <c r="BA43" s="59"/>
      <c r="BB43" s="59"/>
      <c r="BC43" s="60"/>
      <c r="BD43" s="59"/>
      <c r="BE43" s="59"/>
      <c r="BF43" s="60"/>
      <c r="BG43" s="61">
        <f t="shared" si="5"/>
        <v>0</v>
      </c>
      <c r="BH43" s="58"/>
      <c r="BI43" s="62">
        <f t="shared" si="6"/>
        <v>0</v>
      </c>
      <c r="BJ43" s="63"/>
      <c r="BK43" s="59"/>
      <c r="BL43" s="60"/>
      <c r="BM43" s="59"/>
      <c r="BN43" s="59"/>
      <c r="BO43" s="60"/>
      <c r="BP43" s="59"/>
      <c r="BQ43" s="59"/>
      <c r="BR43" s="60"/>
      <c r="BS43" s="59"/>
      <c r="BT43" s="59"/>
      <c r="BU43" s="60"/>
      <c r="BV43" s="62">
        <f t="shared" si="7"/>
        <v>0</v>
      </c>
      <c r="BW43" s="59">
        <f t="shared" si="8"/>
        <v>0</v>
      </c>
      <c r="BX43" s="61">
        <f t="shared" si="9"/>
        <v>0</v>
      </c>
      <c r="BY43" s="58"/>
      <c r="BZ43" s="59"/>
      <c r="CA43" s="60"/>
      <c r="CB43" s="59"/>
      <c r="CC43" s="59"/>
      <c r="CD43" s="60"/>
      <c r="CE43" s="59"/>
      <c r="CF43" s="59"/>
      <c r="CG43" s="60"/>
      <c r="CH43" s="59"/>
      <c r="CI43" s="59"/>
      <c r="CJ43" s="60"/>
      <c r="CK43" s="61">
        <f t="shared" si="10"/>
        <v>0</v>
      </c>
      <c r="CL43" s="58"/>
      <c r="CM43" s="59"/>
      <c r="CN43" s="60"/>
      <c r="CO43" s="59"/>
      <c r="CP43" s="59"/>
      <c r="CQ43" s="60"/>
      <c r="CR43" s="59"/>
      <c r="CS43" s="59"/>
      <c r="CT43" s="60"/>
      <c r="CU43" s="59"/>
      <c r="CV43" s="59"/>
      <c r="CW43" s="60"/>
      <c r="CX43" s="61">
        <f t="shared" si="11"/>
        <v>0</v>
      </c>
      <c r="CY43" s="58"/>
      <c r="CZ43" s="59"/>
      <c r="DA43" s="60"/>
      <c r="DB43" s="59"/>
      <c r="DC43" s="59"/>
      <c r="DD43" s="60"/>
      <c r="DE43" s="59"/>
      <c r="DF43" s="59"/>
      <c r="DG43" s="60"/>
      <c r="DH43" s="59"/>
      <c r="DI43" s="59"/>
      <c r="DJ43" s="60"/>
      <c r="DK43" s="61">
        <f t="shared" si="12"/>
        <v>0</v>
      </c>
      <c r="DL43" s="51"/>
      <c r="DM43" s="54"/>
      <c r="DN43" s="57"/>
      <c r="DO43" s="54"/>
      <c r="DP43" s="54"/>
      <c r="DQ43" s="57"/>
      <c r="DR43" s="54"/>
      <c r="DS43" s="54"/>
      <c r="DT43" s="57"/>
      <c r="DU43" s="54"/>
      <c r="DV43" s="54"/>
      <c r="DW43" s="53"/>
      <c r="DX43" s="59"/>
      <c r="DY43" s="59"/>
      <c r="DZ43" s="60"/>
      <c r="EA43" s="59"/>
      <c r="EB43" s="59"/>
      <c r="EC43" s="60"/>
      <c r="ED43" s="59"/>
      <c r="EE43" s="59"/>
      <c r="EF43" s="60"/>
      <c r="EG43" s="59"/>
      <c r="EH43" s="59"/>
      <c r="EI43" s="60"/>
      <c r="EJ43" s="61">
        <f t="shared" si="13"/>
        <v>0</v>
      </c>
      <c r="EK43" s="59"/>
      <c r="EL43" s="59"/>
      <c r="EM43" s="60"/>
      <c r="EN43" s="59"/>
      <c r="EO43" s="59"/>
      <c r="EP43" s="60"/>
      <c r="EQ43" s="59"/>
      <c r="ER43" s="59"/>
      <c r="ES43" s="60"/>
      <c r="ET43" s="59"/>
      <c r="EU43" s="59"/>
      <c r="EV43" s="60"/>
      <c r="EW43" s="61">
        <f t="shared" si="14"/>
        <v>0</v>
      </c>
    </row>
    <row r="44" spans="1:153" ht="20.100000000000001" customHeight="1" x14ac:dyDescent="0.25">
      <c r="A44" s="51" t="s">
        <v>111</v>
      </c>
      <c r="B44" s="52">
        <v>1</v>
      </c>
      <c r="C44" s="53">
        <v>144</v>
      </c>
      <c r="D44" s="58"/>
      <c r="E44" s="59"/>
      <c r="F44" s="60"/>
      <c r="G44" s="59"/>
      <c r="H44" s="59"/>
      <c r="I44" s="60"/>
      <c r="J44" s="59"/>
      <c r="K44" s="59"/>
      <c r="L44" s="60"/>
      <c r="M44" s="59"/>
      <c r="N44" s="59"/>
      <c r="O44" s="60"/>
      <c r="P44" s="61">
        <f t="shared" si="1"/>
        <v>0</v>
      </c>
      <c r="Q44" s="58"/>
      <c r="R44" s="59"/>
      <c r="S44" s="62"/>
      <c r="T44" s="63"/>
      <c r="U44" s="59"/>
      <c r="V44" s="60"/>
      <c r="W44" s="59"/>
      <c r="X44" s="59"/>
      <c r="Y44" s="60"/>
      <c r="Z44" s="59"/>
      <c r="AA44" s="59"/>
      <c r="AB44" s="60"/>
      <c r="AC44" s="59"/>
      <c r="AD44" s="59"/>
      <c r="AE44" s="60"/>
      <c r="AF44" s="62">
        <f t="shared" si="2"/>
        <v>0</v>
      </c>
      <c r="AG44" s="61">
        <f t="shared" si="3"/>
        <v>0</v>
      </c>
      <c r="AH44" s="58"/>
      <c r="AI44" s="59"/>
      <c r="AJ44" s="60"/>
      <c r="AK44" s="59"/>
      <c r="AL44" s="59"/>
      <c r="AM44" s="60"/>
      <c r="AN44" s="59"/>
      <c r="AO44" s="59"/>
      <c r="AP44" s="60"/>
      <c r="AQ44" s="59"/>
      <c r="AR44" s="59"/>
      <c r="AS44" s="60"/>
      <c r="AT44" s="59">
        <f t="shared" si="4"/>
        <v>0</v>
      </c>
      <c r="AU44" s="58"/>
      <c r="AV44" s="59"/>
      <c r="AW44" s="60"/>
      <c r="AX44" s="59"/>
      <c r="AY44" s="59"/>
      <c r="AZ44" s="60"/>
      <c r="BA44" s="59"/>
      <c r="BB44" s="59"/>
      <c r="BC44" s="60"/>
      <c r="BD44" s="59"/>
      <c r="BE44" s="59"/>
      <c r="BF44" s="60"/>
      <c r="BG44" s="61">
        <f t="shared" si="5"/>
        <v>0</v>
      </c>
      <c r="BH44" s="58"/>
      <c r="BI44" s="62">
        <f t="shared" si="6"/>
        <v>0</v>
      </c>
      <c r="BJ44" s="63"/>
      <c r="BK44" s="59"/>
      <c r="BL44" s="60"/>
      <c r="BM44" s="59"/>
      <c r="BN44" s="59"/>
      <c r="BO44" s="60"/>
      <c r="BP44" s="59"/>
      <c r="BQ44" s="59"/>
      <c r="BR44" s="60"/>
      <c r="BS44" s="59"/>
      <c r="BT44" s="59"/>
      <c r="BU44" s="60"/>
      <c r="BV44" s="62">
        <f t="shared" si="7"/>
        <v>0</v>
      </c>
      <c r="BW44" s="59">
        <f t="shared" si="8"/>
        <v>0</v>
      </c>
      <c r="BX44" s="61">
        <f t="shared" si="9"/>
        <v>0</v>
      </c>
      <c r="BY44" s="58"/>
      <c r="BZ44" s="59"/>
      <c r="CA44" s="60"/>
      <c r="CB44" s="59"/>
      <c r="CC44" s="59"/>
      <c r="CD44" s="60"/>
      <c r="CE44" s="59"/>
      <c r="CF44" s="59"/>
      <c r="CG44" s="60"/>
      <c r="CH44" s="59"/>
      <c r="CI44" s="59"/>
      <c r="CJ44" s="60"/>
      <c r="CK44" s="61">
        <f t="shared" si="10"/>
        <v>0</v>
      </c>
      <c r="CL44" s="58"/>
      <c r="CM44" s="59"/>
      <c r="CN44" s="60"/>
      <c r="CO44" s="59"/>
      <c r="CP44" s="59"/>
      <c r="CQ44" s="60"/>
      <c r="CR44" s="59"/>
      <c r="CS44" s="59"/>
      <c r="CT44" s="60"/>
      <c r="CU44" s="59"/>
      <c r="CV44" s="59"/>
      <c r="CW44" s="60"/>
      <c r="CX44" s="61">
        <f t="shared" si="11"/>
        <v>0</v>
      </c>
      <c r="CY44" s="58"/>
      <c r="CZ44" s="59"/>
      <c r="DA44" s="60"/>
      <c r="DB44" s="59"/>
      <c r="DC44" s="59"/>
      <c r="DD44" s="60"/>
      <c r="DE44" s="59"/>
      <c r="DF44" s="59"/>
      <c r="DG44" s="60"/>
      <c r="DH44" s="59"/>
      <c r="DI44" s="59"/>
      <c r="DJ44" s="60"/>
      <c r="DK44" s="61">
        <f t="shared" si="12"/>
        <v>0</v>
      </c>
      <c r="DL44" s="51"/>
      <c r="DM44" s="54"/>
      <c r="DN44" s="57"/>
      <c r="DO44" s="54"/>
      <c r="DP44" s="54"/>
      <c r="DQ44" s="57"/>
      <c r="DR44" s="54"/>
      <c r="DS44" s="54"/>
      <c r="DT44" s="57"/>
      <c r="DU44" s="54"/>
      <c r="DV44" s="54"/>
      <c r="DW44" s="53"/>
      <c r="DX44" s="59"/>
      <c r="DY44" s="59"/>
      <c r="DZ44" s="60"/>
      <c r="EA44" s="59"/>
      <c r="EB44" s="59"/>
      <c r="EC44" s="60"/>
      <c r="ED44" s="59"/>
      <c r="EE44" s="59"/>
      <c r="EF44" s="60"/>
      <c r="EG44" s="59"/>
      <c r="EH44" s="59"/>
      <c r="EI44" s="60"/>
      <c r="EJ44" s="61">
        <f t="shared" si="13"/>
        <v>0</v>
      </c>
      <c r="EK44" s="59"/>
      <c r="EL44" s="59"/>
      <c r="EM44" s="60"/>
      <c r="EN44" s="59"/>
      <c r="EO44" s="59"/>
      <c r="EP44" s="60"/>
      <c r="EQ44" s="59"/>
      <c r="ER44" s="59"/>
      <c r="ES44" s="60"/>
      <c r="ET44" s="59"/>
      <c r="EU44" s="59"/>
      <c r="EV44" s="60"/>
      <c r="EW44" s="61">
        <f t="shared" si="14"/>
        <v>0</v>
      </c>
    </row>
    <row r="45" spans="1:153" ht="20.100000000000001" customHeight="1" x14ac:dyDescent="0.25">
      <c r="A45" s="51" t="s">
        <v>112</v>
      </c>
      <c r="B45" s="52">
        <v>1</v>
      </c>
      <c r="C45" s="53">
        <v>46</v>
      </c>
      <c r="D45" s="58"/>
      <c r="E45" s="59"/>
      <c r="F45" s="60"/>
      <c r="G45" s="59"/>
      <c r="H45" s="59"/>
      <c r="I45" s="60"/>
      <c r="J45" s="59"/>
      <c r="K45" s="59"/>
      <c r="L45" s="60"/>
      <c r="M45" s="59"/>
      <c r="N45" s="59"/>
      <c r="O45" s="60"/>
      <c r="P45" s="61">
        <f t="shared" si="1"/>
        <v>0</v>
      </c>
      <c r="Q45" s="58"/>
      <c r="R45" s="59"/>
      <c r="S45" s="62"/>
      <c r="T45" s="63"/>
      <c r="U45" s="59"/>
      <c r="V45" s="60"/>
      <c r="W45" s="59"/>
      <c r="X45" s="59"/>
      <c r="Y45" s="60"/>
      <c r="Z45" s="59"/>
      <c r="AA45" s="59"/>
      <c r="AB45" s="60"/>
      <c r="AC45" s="59"/>
      <c r="AD45" s="59"/>
      <c r="AE45" s="60"/>
      <c r="AF45" s="62">
        <f t="shared" si="2"/>
        <v>0</v>
      </c>
      <c r="AG45" s="61">
        <f t="shared" si="3"/>
        <v>0</v>
      </c>
      <c r="AH45" s="58"/>
      <c r="AI45" s="59"/>
      <c r="AJ45" s="60"/>
      <c r="AK45" s="59"/>
      <c r="AL45" s="59"/>
      <c r="AM45" s="60"/>
      <c r="AN45" s="59"/>
      <c r="AO45" s="59"/>
      <c r="AP45" s="60"/>
      <c r="AQ45" s="59"/>
      <c r="AR45" s="59"/>
      <c r="AS45" s="60"/>
      <c r="AT45" s="59">
        <f t="shared" si="4"/>
        <v>0</v>
      </c>
      <c r="AU45" s="58"/>
      <c r="AV45" s="59"/>
      <c r="AW45" s="60"/>
      <c r="AX45" s="59"/>
      <c r="AY45" s="59"/>
      <c r="AZ45" s="60"/>
      <c r="BA45" s="59"/>
      <c r="BB45" s="59"/>
      <c r="BC45" s="60"/>
      <c r="BD45" s="59"/>
      <c r="BE45" s="59"/>
      <c r="BF45" s="60"/>
      <c r="BG45" s="61">
        <f t="shared" si="5"/>
        <v>0</v>
      </c>
      <c r="BH45" s="58"/>
      <c r="BI45" s="62">
        <f t="shared" si="6"/>
        <v>0</v>
      </c>
      <c r="BJ45" s="63"/>
      <c r="BK45" s="59"/>
      <c r="BL45" s="60"/>
      <c r="BM45" s="59"/>
      <c r="BN45" s="59"/>
      <c r="BO45" s="60"/>
      <c r="BP45" s="59"/>
      <c r="BQ45" s="59"/>
      <c r="BR45" s="60"/>
      <c r="BS45" s="59"/>
      <c r="BT45" s="59"/>
      <c r="BU45" s="60"/>
      <c r="BV45" s="62">
        <f t="shared" si="7"/>
        <v>0</v>
      </c>
      <c r="BW45" s="59">
        <f t="shared" si="8"/>
        <v>0</v>
      </c>
      <c r="BX45" s="61">
        <f t="shared" si="9"/>
        <v>0</v>
      </c>
      <c r="BY45" s="58"/>
      <c r="BZ45" s="59"/>
      <c r="CA45" s="60"/>
      <c r="CB45" s="59"/>
      <c r="CC45" s="59"/>
      <c r="CD45" s="60"/>
      <c r="CE45" s="59"/>
      <c r="CF45" s="59"/>
      <c r="CG45" s="60"/>
      <c r="CH45" s="59"/>
      <c r="CI45" s="59"/>
      <c r="CJ45" s="60"/>
      <c r="CK45" s="61">
        <f t="shared" si="10"/>
        <v>0</v>
      </c>
      <c r="CL45" s="58"/>
      <c r="CM45" s="59"/>
      <c r="CN45" s="60"/>
      <c r="CO45" s="59"/>
      <c r="CP45" s="59"/>
      <c r="CQ45" s="60"/>
      <c r="CR45" s="59"/>
      <c r="CS45" s="59"/>
      <c r="CT45" s="60"/>
      <c r="CU45" s="59"/>
      <c r="CV45" s="59"/>
      <c r="CW45" s="60"/>
      <c r="CX45" s="61">
        <f t="shared" si="11"/>
        <v>0</v>
      </c>
      <c r="CY45" s="58"/>
      <c r="CZ45" s="59"/>
      <c r="DA45" s="60"/>
      <c r="DB45" s="59"/>
      <c r="DC45" s="59"/>
      <c r="DD45" s="60"/>
      <c r="DE45" s="59"/>
      <c r="DF45" s="59"/>
      <c r="DG45" s="60"/>
      <c r="DH45" s="59"/>
      <c r="DI45" s="59"/>
      <c r="DJ45" s="60"/>
      <c r="DK45" s="61">
        <f t="shared" si="12"/>
        <v>0</v>
      </c>
      <c r="DL45" s="51"/>
      <c r="DM45" s="54"/>
      <c r="DN45" s="57"/>
      <c r="DO45" s="54"/>
      <c r="DP45" s="54"/>
      <c r="DQ45" s="57"/>
      <c r="DR45" s="54"/>
      <c r="DS45" s="54"/>
      <c r="DT45" s="57"/>
      <c r="DU45" s="54"/>
      <c r="DV45" s="54"/>
      <c r="DW45" s="53"/>
      <c r="DX45" s="59"/>
      <c r="DY45" s="59"/>
      <c r="DZ45" s="60"/>
      <c r="EA45" s="59"/>
      <c r="EB45" s="59"/>
      <c r="EC45" s="60"/>
      <c r="ED45" s="59"/>
      <c r="EE45" s="59"/>
      <c r="EF45" s="60"/>
      <c r="EG45" s="59"/>
      <c r="EH45" s="59"/>
      <c r="EI45" s="60"/>
      <c r="EJ45" s="61">
        <f t="shared" si="13"/>
        <v>0</v>
      </c>
      <c r="EK45" s="59"/>
      <c r="EL45" s="59"/>
      <c r="EM45" s="60"/>
      <c r="EN45" s="59"/>
      <c r="EO45" s="59"/>
      <c r="EP45" s="60"/>
      <c r="EQ45" s="59"/>
      <c r="ER45" s="59"/>
      <c r="ES45" s="60"/>
      <c r="ET45" s="59"/>
      <c r="EU45" s="59"/>
      <c r="EV45" s="60"/>
      <c r="EW45" s="61">
        <f t="shared" si="14"/>
        <v>0</v>
      </c>
    </row>
    <row r="46" spans="1:153" ht="20.100000000000001" customHeight="1" x14ac:dyDescent="0.25">
      <c r="A46" s="51" t="s">
        <v>105</v>
      </c>
      <c r="B46" s="52">
        <v>1</v>
      </c>
      <c r="C46" s="53">
        <v>144</v>
      </c>
      <c r="D46" s="58"/>
      <c r="E46" s="59"/>
      <c r="F46" s="60"/>
      <c r="G46" s="59"/>
      <c r="H46" s="59"/>
      <c r="I46" s="60"/>
      <c r="J46" s="59"/>
      <c r="K46" s="59"/>
      <c r="L46" s="60"/>
      <c r="M46" s="59"/>
      <c r="N46" s="59"/>
      <c r="O46" s="60"/>
      <c r="P46" s="61">
        <f t="shared" si="1"/>
        <v>0</v>
      </c>
      <c r="Q46" s="58"/>
      <c r="R46" s="59"/>
      <c r="S46" s="62"/>
      <c r="T46" s="63"/>
      <c r="U46" s="59"/>
      <c r="V46" s="60"/>
      <c r="W46" s="59"/>
      <c r="X46" s="59"/>
      <c r="Y46" s="60"/>
      <c r="Z46" s="59"/>
      <c r="AA46" s="59"/>
      <c r="AB46" s="60"/>
      <c r="AC46" s="59"/>
      <c r="AD46" s="59"/>
      <c r="AE46" s="60"/>
      <c r="AF46" s="62">
        <f t="shared" si="2"/>
        <v>0</v>
      </c>
      <c r="AG46" s="61">
        <f t="shared" si="3"/>
        <v>0</v>
      </c>
      <c r="AH46" s="58"/>
      <c r="AI46" s="59"/>
      <c r="AJ46" s="60"/>
      <c r="AK46" s="59"/>
      <c r="AL46" s="59"/>
      <c r="AM46" s="60"/>
      <c r="AN46" s="59"/>
      <c r="AO46" s="59"/>
      <c r="AP46" s="60"/>
      <c r="AQ46" s="59"/>
      <c r="AR46" s="59"/>
      <c r="AS46" s="60"/>
      <c r="AT46" s="59">
        <f t="shared" si="4"/>
        <v>0</v>
      </c>
      <c r="AU46" s="58"/>
      <c r="AV46" s="59"/>
      <c r="AW46" s="60"/>
      <c r="AX46" s="59"/>
      <c r="AY46" s="59"/>
      <c r="AZ46" s="60"/>
      <c r="BA46" s="59"/>
      <c r="BB46" s="59"/>
      <c r="BC46" s="60"/>
      <c r="BD46" s="59"/>
      <c r="BE46" s="59"/>
      <c r="BF46" s="60"/>
      <c r="BG46" s="61">
        <f t="shared" si="5"/>
        <v>0</v>
      </c>
      <c r="BH46" s="58"/>
      <c r="BI46" s="62">
        <f t="shared" si="6"/>
        <v>0</v>
      </c>
      <c r="BJ46" s="63"/>
      <c r="BK46" s="59"/>
      <c r="BL46" s="60"/>
      <c r="BM46" s="59"/>
      <c r="BN46" s="59"/>
      <c r="BO46" s="60"/>
      <c r="BP46" s="59"/>
      <c r="BQ46" s="59"/>
      <c r="BR46" s="60"/>
      <c r="BS46" s="59"/>
      <c r="BT46" s="59"/>
      <c r="BU46" s="60"/>
      <c r="BV46" s="62">
        <f t="shared" si="7"/>
        <v>0</v>
      </c>
      <c r="BW46" s="59">
        <f t="shared" si="8"/>
        <v>0</v>
      </c>
      <c r="BX46" s="61">
        <f t="shared" si="9"/>
        <v>0</v>
      </c>
      <c r="BY46" s="58"/>
      <c r="BZ46" s="59"/>
      <c r="CA46" s="60"/>
      <c r="CB46" s="59"/>
      <c r="CC46" s="59"/>
      <c r="CD46" s="60"/>
      <c r="CE46" s="59"/>
      <c r="CF46" s="59"/>
      <c r="CG46" s="60"/>
      <c r="CH46" s="59"/>
      <c r="CI46" s="59"/>
      <c r="CJ46" s="60"/>
      <c r="CK46" s="61">
        <f t="shared" si="10"/>
        <v>0</v>
      </c>
      <c r="CL46" s="58"/>
      <c r="CM46" s="59"/>
      <c r="CN46" s="60"/>
      <c r="CO46" s="59"/>
      <c r="CP46" s="59"/>
      <c r="CQ46" s="60"/>
      <c r="CR46" s="59"/>
      <c r="CS46" s="59"/>
      <c r="CT46" s="60"/>
      <c r="CU46" s="59"/>
      <c r="CV46" s="59"/>
      <c r="CW46" s="60"/>
      <c r="CX46" s="61">
        <f t="shared" si="11"/>
        <v>0</v>
      </c>
      <c r="CY46" s="58"/>
      <c r="CZ46" s="59"/>
      <c r="DA46" s="60"/>
      <c r="DB46" s="59"/>
      <c r="DC46" s="59"/>
      <c r="DD46" s="60"/>
      <c r="DE46" s="59"/>
      <c r="DF46" s="59"/>
      <c r="DG46" s="60"/>
      <c r="DH46" s="59"/>
      <c r="DI46" s="59"/>
      <c r="DJ46" s="60"/>
      <c r="DK46" s="61">
        <f t="shared" si="12"/>
        <v>0</v>
      </c>
      <c r="DL46" s="51"/>
      <c r="DM46" s="54"/>
      <c r="DN46" s="57"/>
      <c r="DO46" s="54"/>
      <c r="DP46" s="54"/>
      <c r="DQ46" s="57"/>
      <c r="DR46" s="54"/>
      <c r="DS46" s="54"/>
      <c r="DT46" s="57"/>
      <c r="DU46" s="54"/>
      <c r="DV46" s="54"/>
      <c r="DW46" s="53"/>
      <c r="DX46" s="59"/>
      <c r="DY46" s="59"/>
      <c r="DZ46" s="60"/>
      <c r="EA46" s="59"/>
      <c r="EB46" s="59"/>
      <c r="EC46" s="60"/>
      <c r="ED46" s="59"/>
      <c r="EE46" s="59"/>
      <c r="EF46" s="60"/>
      <c r="EG46" s="59"/>
      <c r="EH46" s="59"/>
      <c r="EI46" s="60"/>
      <c r="EJ46" s="61">
        <f t="shared" si="13"/>
        <v>0</v>
      </c>
      <c r="EK46" s="59"/>
      <c r="EL46" s="59"/>
      <c r="EM46" s="60"/>
      <c r="EN46" s="59"/>
      <c r="EO46" s="59"/>
      <c r="EP46" s="60"/>
      <c r="EQ46" s="59"/>
      <c r="ER46" s="59"/>
      <c r="ES46" s="60"/>
      <c r="ET46" s="59"/>
      <c r="EU46" s="59"/>
      <c r="EV46" s="60"/>
      <c r="EW46" s="61">
        <f t="shared" si="14"/>
        <v>0</v>
      </c>
    </row>
    <row r="47" spans="1:153" ht="20.100000000000001" customHeight="1" thickBot="1" x14ac:dyDescent="0.3">
      <c r="A47" s="51" t="s">
        <v>106</v>
      </c>
      <c r="B47" s="52">
        <v>1</v>
      </c>
      <c r="C47" s="53">
        <v>378</v>
      </c>
      <c r="D47" s="58"/>
      <c r="E47" s="59"/>
      <c r="F47" s="60"/>
      <c r="G47" s="59"/>
      <c r="H47" s="59"/>
      <c r="I47" s="60"/>
      <c r="J47" s="59"/>
      <c r="K47" s="59"/>
      <c r="L47" s="60"/>
      <c r="M47" s="59"/>
      <c r="N47" s="59"/>
      <c r="O47" s="60"/>
      <c r="P47" s="61">
        <f t="shared" si="1"/>
        <v>0</v>
      </c>
      <c r="Q47" s="58"/>
      <c r="R47" s="59"/>
      <c r="S47" s="62"/>
      <c r="T47" s="63"/>
      <c r="U47" s="59"/>
      <c r="V47" s="60"/>
      <c r="W47" s="59"/>
      <c r="X47" s="59"/>
      <c r="Y47" s="60"/>
      <c r="Z47" s="59"/>
      <c r="AA47" s="59"/>
      <c r="AB47" s="60"/>
      <c r="AC47" s="59"/>
      <c r="AD47" s="59"/>
      <c r="AE47" s="60"/>
      <c r="AF47" s="62">
        <f t="shared" si="2"/>
        <v>0</v>
      </c>
      <c r="AG47" s="61">
        <f t="shared" si="3"/>
        <v>0</v>
      </c>
      <c r="AH47" s="58"/>
      <c r="AI47" s="59"/>
      <c r="AJ47" s="60"/>
      <c r="AK47" s="59"/>
      <c r="AL47" s="59"/>
      <c r="AM47" s="60"/>
      <c r="AN47" s="59"/>
      <c r="AO47" s="59"/>
      <c r="AP47" s="60"/>
      <c r="AQ47" s="59"/>
      <c r="AR47" s="59"/>
      <c r="AS47" s="60"/>
      <c r="AT47" s="59">
        <f t="shared" si="4"/>
        <v>0</v>
      </c>
      <c r="AU47" s="58"/>
      <c r="AV47" s="59"/>
      <c r="AW47" s="60"/>
      <c r="AX47" s="59"/>
      <c r="AY47" s="59"/>
      <c r="AZ47" s="60"/>
      <c r="BA47" s="59"/>
      <c r="BB47" s="59"/>
      <c r="BC47" s="60"/>
      <c r="BD47" s="59"/>
      <c r="BE47" s="59"/>
      <c r="BF47" s="60"/>
      <c r="BG47" s="61">
        <f t="shared" si="5"/>
        <v>0</v>
      </c>
      <c r="BH47" s="58"/>
      <c r="BI47" s="62">
        <f t="shared" si="6"/>
        <v>0</v>
      </c>
      <c r="BJ47" s="63"/>
      <c r="BK47" s="59"/>
      <c r="BL47" s="60"/>
      <c r="BM47" s="59"/>
      <c r="BN47" s="59"/>
      <c r="BO47" s="60"/>
      <c r="BP47" s="59"/>
      <c r="BQ47" s="59"/>
      <c r="BR47" s="60"/>
      <c r="BS47" s="59"/>
      <c r="BT47" s="59"/>
      <c r="BU47" s="60"/>
      <c r="BV47" s="62">
        <f t="shared" si="7"/>
        <v>0</v>
      </c>
      <c r="BW47" s="59">
        <f t="shared" si="8"/>
        <v>0</v>
      </c>
      <c r="BX47" s="61">
        <f t="shared" si="9"/>
        <v>0</v>
      </c>
      <c r="BY47" s="58"/>
      <c r="BZ47" s="59"/>
      <c r="CA47" s="60"/>
      <c r="CB47" s="59"/>
      <c r="CC47" s="59"/>
      <c r="CD47" s="60"/>
      <c r="CE47" s="59"/>
      <c r="CF47" s="59"/>
      <c r="CG47" s="60"/>
      <c r="CH47" s="59"/>
      <c r="CI47" s="59"/>
      <c r="CJ47" s="60"/>
      <c r="CK47" s="61">
        <f t="shared" si="10"/>
        <v>0</v>
      </c>
      <c r="CL47" s="58"/>
      <c r="CM47" s="59"/>
      <c r="CN47" s="60"/>
      <c r="CO47" s="59"/>
      <c r="CP47" s="59"/>
      <c r="CQ47" s="60"/>
      <c r="CR47" s="59"/>
      <c r="CS47" s="59"/>
      <c r="CT47" s="60"/>
      <c r="CU47" s="59"/>
      <c r="CV47" s="59"/>
      <c r="CW47" s="60"/>
      <c r="CX47" s="61">
        <f t="shared" si="11"/>
        <v>0</v>
      </c>
      <c r="CY47" s="58"/>
      <c r="CZ47" s="59"/>
      <c r="DA47" s="60"/>
      <c r="DB47" s="59"/>
      <c r="DC47" s="59"/>
      <c r="DD47" s="60"/>
      <c r="DE47" s="59"/>
      <c r="DF47" s="59"/>
      <c r="DG47" s="60"/>
      <c r="DH47" s="59"/>
      <c r="DI47" s="59"/>
      <c r="DJ47" s="60"/>
      <c r="DK47" s="61">
        <f t="shared" si="12"/>
        <v>0</v>
      </c>
      <c r="DL47" s="51"/>
      <c r="DM47" s="54"/>
      <c r="DN47" s="57"/>
      <c r="DO47" s="54"/>
      <c r="DP47" s="54"/>
      <c r="DQ47" s="57"/>
      <c r="DR47" s="54"/>
      <c r="DS47" s="54"/>
      <c r="DT47" s="57"/>
      <c r="DU47" s="54"/>
      <c r="DV47" s="54"/>
      <c r="DW47" s="53"/>
      <c r="DX47" s="59"/>
      <c r="DY47" s="59"/>
      <c r="DZ47" s="60"/>
      <c r="EA47" s="59"/>
      <c r="EB47" s="59"/>
      <c r="EC47" s="60"/>
      <c r="ED47" s="59"/>
      <c r="EE47" s="59"/>
      <c r="EF47" s="60"/>
      <c r="EG47" s="59"/>
      <c r="EH47" s="59"/>
      <c r="EI47" s="60"/>
      <c r="EJ47" s="61">
        <f t="shared" si="13"/>
        <v>0</v>
      </c>
      <c r="EK47" s="59"/>
      <c r="EL47" s="59"/>
      <c r="EM47" s="60"/>
      <c r="EN47" s="59"/>
      <c r="EO47" s="59"/>
      <c r="EP47" s="60"/>
      <c r="EQ47" s="59"/>
      <c r="ER47" s="59"/>
      <c r="ES47" s="60"/>
      <c r="ET47" s="59"/>
      <c r="EU47" s="59"/>
      <c r="EV47" s="60"/>
      <c r="EW47" s="61">
        <f t="shared" si="14"/>
        <v>0</v>
      </c>
    </row>
    <row r="48" spans="1:153" ht="20.100000000000001" customHeight="1" x14ac:dyDescent="0.25">
      <c r="A48" s="172" t="s">
        <v>12</v>
      </c>
      <c r="B48" s="173"/>
      <c r="C48" s="118"/>
      <c r="D48" s="119">
        <f t="shared" ref="D48:AG48" si="15">+SUM(D3:D47)</f>
        <v>0</v>
      </c>
      <c r="E48" s="120">
        <f t="shared" si="15"/>
        <v>0</v>
      </c>
      <c r="F48" s="129">
        <f t="shared" si="15"/>
        <v>0</v>
      </c>
      <c r="G48" s="120">
        <f t="shared" si="15"/>
        <v>0</v>
      </c>
      <c r="H48" s="120">
        <f t="shared" si="15"/>
        <v>0</v>
      </c>
      <c r="I48" s="129">
        <f t="shared" si="15"/>
        <v>0</v>
      </c>
      <c r="J48" s="120">
        <f t="shared" si="15"/>
        <v>0</v>
      </c>
      <c r="K48" s="120">
        <f t="shared" si="15"/>
        <v>0</v>
      </c>
      <c r="L48" s="129">
        <f t="shared" si="15"/>
        <v>0</v>
      </c>
      <c r="M48" s="120">
        <f t="shared" si="15"/>
        <v>0</v>
      </c>
      <c r="N48" s="120">
        <f t="shared" si="15"/>
        <v>0</v>
      </c>
      <c r="O48" s="129">
        <f t="shared" si="15"/>
        <v>0</v>
      </c>
      <c r="P48" s="130">
        <f t="shared" si="15"/>
        <v>0</v>
      </c>
      <c r="Q48" s="119">
        <f t="shared" si="15"/>
        <v>0</v>
      </c>
      <c r="R48" s="120">
        <f t="shared" si="15"/>
        <v>0</v>
      </c>
      <c r="S48" s="121">
        <f t="shared" si="15"/>
        <v>0</v>
      </c>
      <c r="T48" s="120">
        <f t="shared" si="15"/>
        <v>0</v>
      </c>
      <c r="U48" s="120">
        <f t="shared" si="15"/>
        <v>0</v>
      </c>
      <c r="V48" s="129">
        <f t="shared" si="15"/>
        <v>0</v>
      </c>
      <c r="W48" s="120">
        <f t="shared" si="15"/>
        <v>0</v>
      </c>
      <c r="X48" s="120">
        <f t="shared" si="15"/>
        <v>0</v>
      </c>
      <c r="Y48" s="129">
        <f t="shared" si="15"/>
        <v>0</v>
      </c>
      <c r="Z48" s="120">
        <f t="shared" si="15"/>
        <v>0</v>
      </c>
      <c r="AA48" s="120">
        <f t="shared" si="15"/>
        <v>0</v>
      </c>
      <c r="AB48" s="129">
        <f t="shared" si="15"/>
        <v>0</v>
      </c>
      <c r="AC48" s="120">
        <f t="shared" si="15"/>
        <v>0</v>
      </c>
      <c r="AD48" s="120">
        <f t="shared" si="15"/>
        <v>0</v>
      </c>
      <c r="AE48" s="129">
        <f t="shared" si="15"/>
        <v>0</v>
      </c>
      <c r="AF48" s="121">
        <f t="shared" si="15"/>
        <v>0</v>
      </c>
      <c r="AG48" s="130">
        <f t="shared" si="15"/>
        <v>0</v>
      </c>
      <c r="AH48" s="184" t="e">
        <f t="shared" ref="AH48:AS48" si="16">+AVERAGEA(AH3:AH47)</f>
        <v>#DIV/0!</v>
      </c>
      <c r="AI48" s="186" t="e">
        <f t="shared" si="16"/>
        <v>#DIV/0!</v>
      </c>
      <c r="AJ48" s="191" t="e">
        <f t="shared" si="16"/>
        <v>#DIV/0!</v>
      </c>
      <c r="AK48" s="193" t="e">
        <f t="shared" si="16"/>
        <v>#DIV/0!</v>
      </c>
      <c r="AL48" s="186" t="e">
        <f t="shared" si="16"/>
        <v>#DIV/0!</v>
      </c>
      <c r="AM48" s="186" t="e">
        <f t="shared" si="16"/>
        <v>#DIV/0!</v>
      </c>
      <c r="AN48" s="186" t="e">
        <f t="shared" si="16"/>
        <v>#DIV/0!</v>
      </c>
      <c r="AO48" s="186" t="e">
        <f t="shared" si="16"/>
        <v>#DIV/0!</v>
      </c>
      <c r="AP48" s="186" t="e">
        <f t="shared" si="16"/>
        <v>#DIV/0!</v>
      </c>
      <c r="AQ48" s="186" t="e">
        <f t="shared" si="16"/>
        <v>#DIV/0!</v>
      </c>
      <c r="AR48" s="186" t="e">
        <f t="shared" si="16"/>
        <v>#DIV/0!</v>
      </c>
      <c r="AS48" s="186" t="e">
        <f t="shared" si="16"/>
        <v>#DIV/0!</v>
      </c>
      <c r="AT48" s="202">
        <f>IFERROR(AVERAGE(AH48:AS48),0)</f>
        <v>0</v>
      </c>
      <c r="AU48" s="119">
        <f t="shared" ref="AU48:BH48" si="17">+SUM(AU3:AU47)</f>
        <v>0</v>
      </c>
      <c r="AV48" s="120">
        <f t="shared" si="17"/>
        <v>0</v>
      </c>
      <c r="AW48" s="129">
        <f t="shared" si="17"/>
        <v>0</v>
      </c>
      <c r="AX48" s="120">
        <f t="shared" si="17"/>
        <v>0</v>
      </c>
      <c r="AY48" s="120">
        <f t="shared" si="17"/>
        <v>0</v>
      </c>
      <c r="AZ48" s="129">
        <f t="shared" si="17"/>
        <v>0</v>
      </c>
      <c r="BA48" s="120">
        <f t="shared" si="17"/>
        <v>0</v>
      </c>
      <c r="BB48" s="120">
        <f t="shared" si="17"/>
        <v>0</v>
      </c>
      <c r="BC48" s="129">
        <f t="shared" si="17"/>
        <v>0</v>
      </c>
      <c r="BD48" s="120">
        <f t="shared" si="17"/>
        <v>0</v>
      </c>
      <c r="BE48" s="120">
        <f t="shared" si="17"/>
        <v>0</v>
      </c>
      <c r="BF48" s="129">
        <f t="shared" si="17"/>
        <v>0</v>
      </c>
      <c r="BG48" s="130">
        <f t="shared" si="17"/>
        <v>0</v>
      </c>
      <c r="BH48" s="119">
        <f t="shared" si="17"/>
        <v>0</v>
      </c>
      <c r="BI48" s="181">
        <f>+IFERROR(AVERAGE(BI3:BI47),0)</f>
        <v>0</v>
      </c>
      <c r="BJ48" s="131">
        <f t="shared" ref="BJ48:BW48" si="18">+SUM(BJ3:BJ47)</f>
        <v>0</v>
      </c>
      <c r="BK48" s="120">
        <f t="shared" si="18"/>
        <v>0</v>
      </c>
      <c r="BL48" s="129">
        <f t="shared" si="18"/>
        <v>0</v>
      </c>
      <c r="BM48" s="120">
        <f t="shared" si="18"/>
        <v>0</v>
      </c>
      <c r="BN48" s="120">
        <f t="shared" si="18"/>
        <v>0</v>
      </c>
      <c r="BO48" s="129">
        <f t="shared" si="18"/>
        <v>0</v>
      </c>
      <c r="BP48" s="120">
        <f t="shared" si="18"/>
        <v>0</v>
      </c>
      <c r="BQ48" s="120">
        <f t="shared" si="18"/>
        <v>0</v>
      </c>
      <c r="BR48" s="129">
        <f t="shared" si="18"/>
        <v>0</v>
      </c>
      <c r="BS48" s="120">
        <f t="shared" si="18"/>
        <v>0</v>
      </c>
      <c r="BT48" s="120">
        <f t="shared" si="18"/>
        <v>0</v>
      </c>
      <c r="BU48" s="129">
        <f t="shared" si="18"/>
        <v>0</v>
      </c>
      <c r="BV48" s="121">
        <f t="shared" si="18"/>
        <v>0</v>
      </c>
      <c r="BW48" s="128">
        <f t="shared" si="18"/>
        <v>0</v>
      </c>
      <c r="BX48" s="176">
        <f>+AVERAGE(BX3:BX47)</f>
        <v>0</v>
      </c>
      <c r="BY48" s="119">
        <f t="shared" ref="BY48:DK48" si="19">+SUM(BY3:BY47)</f>
        <v>0</v>
      </c>
      <c r="BZ48" s="120">
        <f t="shared" si="19"/>
        <v>0</v>
      </c>
      <c r="CA48" s="129">
        <f t="shared" si="19"/>
        <v>0</v>
      </c>
      <c r="CB48" s="120">
        <f t="shared" si="19"/>
        <v>0</v>
      </c>
      <c r="CC48" s="120">
        <f t="shared" si="19"/>
        <v>0</v>
      </c>
      <c r="CD48" s="129">
        <f t="shared" si="19"/>
        <v>0</v>
      </c>
      <c r="CE48" s="120">
        <f t="shared" si="19"/>
        <v>0</v>
      </c>
      <c r="CF48" s="120">
        <f t="shared" si="19"/>
        <v>0</v>
      </c>
      <c r="CG48" s="129">
        <f t="shared" si="19"/>
        <v>0</v>
      </c>
      <c r="CH48" s="120">
        <f t="shared" si="19"/>
        <v>0</v>
      </c>
      <c r="CI48" s="120">
        <f t="shared" si="19"/>
        <v>0</v>
      </c>
      <c r="CJ48" s="129">
        <f t="shared" si="19"/>
        <v>0</v>
      </c>
      <c r="CK48" s="130">
        <f t="shared" si="19"/>
        <v>0</v>
      </c>
      <c r="CL48" s="119">
        <f t="shared" si="19"/>
        <v>0</v>
      </c>
      <c r="CM48" s="120">
        <f t="shared" si="19"/>
        <v>0</v>
      </c>
      <c r="CN48" s="129">
        <f t="shared" si="19"/>
        <v>0</v>
      </c>
      <c r="CO48" s="120">
        <f t="shared" si="19"/>
        <v>0</v>
      </c>
      <c r="CP48" s="120">
        <f t="shared" si="19"/>
        <v>0</v>
      </c>
      <c r="CQ48" s="129">
        <f t="shared" si="19"/>
        <v>0</v>
      </c>
      <c r="CR48" s="120">
        <f t="shared" si="19"/>
        <v>0</v>
      </c>
      <c r="CS48" s="120">
        <f t="shared" si="19"/>
        <v>0</v>
      </c>
      <c r="CT48" s="129">
        <f t="shared" si="19"/>
        <v>0</v>
      </c>
      <c r="CU48" s="120">
        <f t="shared" si="19"/>
        <v>0</v>
      </c>
      <c r="CV48" s="120">
        <f t="shared" si="19"/>
        <v>0</v>
      </c>
      <c r="CW48" s="129">
        <f t="shared" si="19"/>
        <v>0</v>
      </c>
      <c r="CX48" s="130">
        <f t="shared" si="19"/>
        <v>0</v>
      </c>
      <c r="CY48" s="119">
        <f t="shared" si="19"/>
        <v>0</v>
      </c>
      <c r="CZ48" s="120">
        <f t="shared" si="19"/>
        <v>0</v>
      </c>
      <c r="DA48" s="129">
        <f t="shared" si="19"/>
        <v>0</v>
      </c>
      <c r="DB48" s="120">
        <f t="shared" si="19"/>
        <v>0</v>
      </c>
      <c r="DC48" s="120">
        <f t="shared" si="19"/>
        <v>0</v>
      </c>
      <c r="DD48" s="129">
        <f t="shared" si="19"/>
        <v>0</v>
      </c>
      <c r="DE48" s="120">
        <f t="shared" si="19"/>
        <v>0</v>
      </c>
      <c r="DF48" s="120">
        <f t="shared" si="19"/>
        <v>0</v>
      </c>
      <c r="DG48" s="129">
        <f t="shared" si="19"/>
        <v>0</v>
      </c>
      <c r="DH48" s="120">
        <f t="shared" si="19"/>
        <v>0</v>
      </c>
      <c r="DI48" s="120">
        <f t="shared" si="19"/>
        <v>0</v>
      </c>
      <c r="DJ48" s="129">
        <f t="shared" si="19"/>
        <v>0</v>
      </c>
      <c r="DK48" s="130">
        <f t="shared" si="19"/>
        <v>0</v>
      </c>
      <c r="DL48" s="204"/>
      <c r="DM48" s="205"/>
      <c r="DN48" s="205"/>
      <c r="DO48" s="205"/>
      <c r="DP48" s="205"/>
      <c r="DQ48" s="205"/>
      <c r="DR48" s="205"/>
      <c r="DS48" s="205"/>
      <c r="DT48" s="205"/>
      <c r="DU48" s="205"/>
      <c r="DV48" s="205"/>
      <c r="DW48" s="206"/>
      <c r="DX48" s="120">
        <f t="shared" ref="DX48:EW48" si="20">+SUM(DX3:DX47)</f>
        <v>0</v>
      </c>
      <c r="DY48" s="120">
        <f t="shared" si="20"/>
        <v>0</v>
      </c>
      <c r="DZ48" s="129">
        <f t="shared" si="20"/>
        <v>0</v>
      </c>
      <c r="EA48" s="120">
        <f t="shared" si="20"/>
        <v>0</v>
      </c>
      <c r="EB48" s="120">
        <f t="shared" si="20"/>
        <v>0</v>
      </c>
      <c r="EC48" s="129">
        <f t="shared" si="20"/>
        <v>0</v>
      </c>
      <c r="ED48" s="120">
        <f t="shared" si="20"/>
        <v>0</v>
      </c>
      <c r="EE48" s="120">
        <f t="shared" si="20"/>
        <v>0</v>
      </c>
      <c r="EF48" s="129">
        <f t="shared" si="20"/>
        <v>0</v>
      </c>
      <c r="EG48" s="120">
        <f t="shared" si="20"/>
        <v>0</v>
      </c>
      <c r="EH48" s="120">
        <f t="shared" si="20"/>
        <v>0</v>
      </c>
      <c r="EI48" s="129">
        <f t="shared" si="20"/>
        <v>0</v>
      </c>
      <c r="EJ48" s="130">
        <f t="shared" si="20"/>
        <v>0</v>
      </c>
      <c r="EK48" s="120">
        <f t="shared" si="20"/>
        <v>0</v>
      </c>
      <c r="EL48" s="120">
        <f t="shared" si="20"/>
        <v>0</v>
      </c>
      <c r="EM48" s="129">
        <f t="shared" si="20"/>
        <v>0</v>
      </c>
      <c r="EN48" s="120">
        <f t="shared" si="20"/>
        <v>0</v>
      </c>
      <c r="EO48" s="120">
        <f t="shared" si="20"/>
        <v>0</v>
      </c>
      <c r="EP48" s="129">
        <f t="shared" si="20"/>
        <v>0</v>
      </c>
      <c r="EQ48" s="120">
        <f t="shared" si="20"/>
        <v>0</v>
      </c>
      <c r="ER48" s="120">
        <f t="shared" si="20"/>
        <v>0</v>
      </c>
      <c r="ES48" s="129">
        <f t="shared" si="20"/>
        <v>0</v>
      </c>
      <c r="ET48" s="120">
        <f t="shared" si="20"/>
        <v>0</v>
      </c>
      <c r="EU48" s="120">
        <f t="shared" si="20"/>
        <v>0</v>
      </c>
      <c r="EV48" s="129">
        <f t="shared" si="20"/>
        <v>0</v>
      </c>
      <c r="EW48" s="130">
        <f t="shared" si="20"/>
        <v>0</v>
      </c>
    </row>
    <row r="49" spans="1:153" ht="20.100000000000001" customHeight="1" thickBot="1" x14ac:dyDescent="0.3">
      <c r="A49" s="174" t="s">
        <v>23</v>
      </c>
      <c r="B49" s="175"/>
      <c r="C49" s="132"/>
      <c r="D49" s="133">
        <f t="shared" ref="D49:P49" si="21">+SUMPRODUCT(D3:D47,$B$3:$B$47)</f>
        <v>0</v>
      </c>
      <c r="E49" s="134">
        <f t="shared" si="21"/>
        <v>0</v>
      </c>
      <c r="F49" s="142">
        <f t="shared" si="21"/>
        <v>0</v>
      </c>
      <c r="G49" s="134">
        <f t="shared" si="21"/>
        <v>0</v>
      </c>
      <c r="H49" s="134">
        <f t="shared" si="21"/>
        <v>0</v>
      </c>
      <c r="I49" s="142">
        <f t="shared" si="21"/>
        <v>0</v>
      </c>
      <c r="J49" s="134">
        <f t="shared" si="21"/>
        <v>0</v>
      </c>
      <c r="K49" s="134">
        <f t="shared" si="21"/>
        <v>0</v>
      </c>
      <c r="L49" s="142">
        <f t="shared" si="21"/>
        <v>0</v>
      </c>
      <c r="M49" s="134">
        <f t="shared" si="21"/>
        <v>0</v>
      </c>
      <c r="N49" s="134">
        <f t="shared" si="21"/>
        <v>0</v>
      </c>
      <c r="O49" s="142">
        <f t="shared" si="21"/>
        <v>0</v>
      </c>
      <c r="P49" s="143">
        <f t="shared" si="21"/>
        <v>0</v>
      </c>
      <c r="Q49" s="133">
        <f>+SUMPRODUCT(Q3:Q47,B3:B47)</f>
        <v>0</v>
      </c>
      <c r="R49" s="134">
        <f>+SUMPRODUCT(R3:R47,B3:B47)</f>
        <v>0</v>
      </c>
      <c r="S49" s="135">
        <f t="shared" ref="S49:AG49" si="22">+SUMPRODUCT(S3:S47,$B$3:$B$47)</f>
        <v>0</v>
      </c>
      <c r="T49" s="134">
        <f t="shared" si="22"/>
        <v>0</v>
      </c>
      <c r="U49" s="134">
        <f t="shared" si="22"/>
        <v>0</v>
      </c>
      <c r="V49" s="142">
        <f t="shared" si="22"/>
        <v>0</v>
      </c>
      <c r="W49" s="134">
        <f t="shared" si="22"/>
        <v>0</v>
      </c>
      <c r="X49" s="134">
        <f t="shared" si="22"/>
        <v>0</v>
      </c>
      <c r="Y49" s="142">
        <f t="shared" si="22"/>
        <v>0</v>
      </c>
      <c r="Z49" s="134">
        <f t="shared" si="22"/>
        <v>0</v>
      </c>
      <c r="AA49" s="134">
        <f t="shared" si="22"/>
        <v>0</v>
      </c>
      <c r="AB49" s="142">
        <f t="shared" si="22"/>
        <v>0</v>
      </c>
      <c r="AC49" s="134">
        <f t="shared" si="22"/>
        <v>0</v>
      </c>
      <c r="AD49" s="134">
        <f t="shared" si="22"/>
        <v>0</v>
      </c>
      <c r="AE49" s="142">
        <f t="shared" si="22"/>
        <v>0</v>
      </c>
      <c r="AF49" s="135">
        <f t="shared" si="22"/>
        <v>0</v>
      </c>
      <c r="AG49" s="143">
        <f t="shared" si="22"/>
        <v>0</v>
      </c>
      <c r="AH49" s="185"/>
      <c r="AI49" s="187"/>
      <c r="AJ49" s="192"/>
      <c r="AK49" s="194"/>
      <c r="AL49" s="187"/>
      <c r="AM49" s="187"/>
      <c r="AN49" s="187"/>
      <c r="AO49" s="187"/>
      <c r="AP49" s="187"/>
      <c r="AQ49" s="187"/>
      <c r="AR49" s="187"/>
      <c r="AS49" s="187"/>
      <c r="AT49" s="203"/>
      <c r="AU49" s="133">
        <f t="shared" ref="AU49:BH49" si="23">+SUMPRODUCT(AU3:AU47,$B$3:$B$47)</f>
        <v>0</v>
      </c>
      <c r="AV49" s="134">
        <f t="shared" si="23"/>
        <v>0</v>
      </c>
      <c r="AW49" s="142">
        <f t="shared" si="23"/>
        <v>0</v>
      </c>
      <c r="AX49" s="134">
        <f t="shared" si="23"/>
        <v>0</v>
      </c>
      <c r="AY49" s="134">
        <f t="shared" si="23"/>
        <v>0</v>
      </c>
      <c r="AZ49" s="142">
        <f t="shared" si="23"/>
        <v>0</v>
      </c>
      <c r="BA49" s="134">
        <f t="shared" si="23"/>
        <v>0</v>
      </c>
      <c r="BB49" s="134">
        <f t="shared" si="23"/>
        <v>0</v>
      </c>
      <c r="BC49" s="142">
        <f t="shared" si="23"/>
        <v>0</v>
      </c>
      <c r="BD49" s="134">
        <f t="shared" si="23"/>
        <v>0</v>
      </c>
      <c r="BE49" s="134">
        <f t="shared" si="23"/>
        <v>0</v>
      </c>
      <c r="BF49" s="142">
        <f t="shared" si="23"/>
        <v>0</v>
      </c>
      <c r="BG49" s="143">
        <f t="shared" si="23"/>
        <v>0</v>
      </c>
      <c r="BH49" s="133">
        <f t="shared" si="23"/>
        <v>0</v>
      </c>
      <c r="BI49" s="182"/>
      <c r="BJ49" s="144">
        <f t="shared" ref="BJ49:BW49" si="24">+SUMPRODUCT(BJ3:BJ47,$B$3:$B$47)</f>
        <v>0</v>
      </c>
      <c r="BK49" s="134">
        <f t="shared" si="24"/>
        <v>0</v>
      </c>
      <c r="BL49" s="142">
        <f t="shared" si="24"/>
        <v>0</v>
      </c>
      <c r="BM49" s="134">
        <f t="shared" si="24"/>
        <v>0</v>
      </c>
      <c r="BN49" s="134">
        <f t="shared" si="24"/>
        <v>0</v>
      </c>
      <c r="BO49" s="142">
        <f t="shared" si="24"/>
        <v>0</v>
      </c>
      <c r="BP49" s="134">
        <f t="shared" si="24"/>
        <v>0</v>
      </c>
      <c r="BQ49" s="134">
        <f t="shared" si="24"/>
        <v>0</v>
      </c>
      <c r="BR49" s="142">
        <f t="shared" si="24"/>
        <v>0</v>
      </c>
      <c r="BS49" s="134">
        <f t="shared" si="24"/>
        <v>0</v>
      </c>
      <c r="BT49" s="134">
        <f t="shared" si="24"/>
        <v>0</v>
      </c>
      <c r="BU49" s="142">
        <f t="shared" si="24"/>
        <v>0</v>
      </c>
      <c r="BV49" s="135">
        <f t="shared" si="24"/>
        <v>0</v>
      </c>
      <c r="BW49" s="134">
        <f t="shared" si="24"/>
        <v>0</v>
      </c>
      <c r="BX49" s="177"/>
      <c r="BY49" s="133">
        <f t="shared" ref="BY49:DK49" si="25">+SUMPRODUCT(BY3:BY47,$B$3:$B$47)</f>
        <v>0</v>
      </c>
      <c r="BZ49" s="134">
        <f t="shared" si="25"/>
        <v>0</v>
      </c>
      <c r="CA49" s="142">
        <f t="shared" si="25"/>
        <v>0</v>
      </c>
      <c r="CB49" s="134">
        <f t="shared" si="25"/>
        <v>0</v>
      </c>
      <c r="CC49" s="134">
        <f t="shared" si="25"/>
        <v>0</v>
      </c>
      <c r="CD49" s="142">
        <f t="shared" si="25"/>
        <v>0</v>
      </c>
      <c r="CE49" s="134">
        <f t="shared" si="25"/>
        <v>0</v>
      </c>
      <c r="CF49" s="134">
        <f t="shared" si="25"/>
        <v>0</v>
      </c>
      <c r="CG49" s="142">
        <f t="shared" si="25"/>
        <v>0</v>
      </c>
      <c r="CH49" s="134">
        <f t="shared" si="25"/>
        <v>0</v>
      </c>
      <c r="CI49" s="134">
        <f t="shared" si="25"/>
        <v>0</v>
      </c>
      <c r="CJ49" s="142">
        <f t="shared" si="25"/>
        <v>0</v>
      </c>
      <c r="CK49" s="143">
        <f t="shared" si="25"/>
        <v>0</v>
      </c>
      <c r="CL49" s="133">
        <f t="shared" si="25"/>
        <v>0</v>
      </c>
      <c r="CM49" s="134">
        <f t="shared" si="25"/>
        <v>0</v>
      </c>
      <c r="CN49" s="142">
        <f t="shared" si="25"/>
        <v>0</v>
      </c>
      <c r="CO49" s="134">
        <f t="shared" si="25"/>
        <v>0</v>
      </c>
      <c r="CP49" s="134">
        <f t="shared" si="25"/>
        <v>0</v>
      </c>
      <c r="CQ49" s="142">
        <f t="shared" si="25"/>
        <v>0</v>
      </c>
      <c r="CR49" s="134">
        <f t="shared" si="25"/>
        <v>0</v>
      </c>
      <c r="CS49" s="134">
        <f t="shared" si="25"/>
        <v>0</v>
      </c>
      <c r="CT49" s="142">
        <f t="shared" si="25"/>
        <v>0</v>
      </c>
      <c r="CU49" s="134">
        <f t="shared" si="25"/>
        <v>0</v>
      </c>
      <c r="CV49" s="134">
        <f t="shared" si="25"/>
        <v>0</v>
      </c>
      <c r="CW49" s="142">
        <f t="shared" si="25"/>
        <v>0</v>
      </c>
      <c r="CX49" s="143">
        <f t="shared" si="25"/>
        <v>0</v>
      </c>
      <c r="CY49" s="133">
        <f t="shared" si="25"/>
        <v>0</v>
      </c>
      <c r="CZ49" s="134">
        <f t="shared" si="25"/>
        <v>0</v>
      </c>
      <c r="DA49" s="142">
        <f t="shared" si="25"/>
        <v>0</v>
      </c>
      <c r="DB49" s="134">
        <f t="shared" si="25"/>
        <v>0</v>
      </c>
      <c r="DC49" s="134">
        <f t="shared" si="25"/>
        <v>0</v>
      </c>
      <c r="DD49" s="142">
        <f t="shared" si="25"/>
        <v>0</v>
      </c>
      <c r="DE49" s="134">
        <f t="shared" si="25"/>
        <v>0</v>
      </c>
      <c r="DF49" s="134">
        <f t="shared" si="25"/>
        <v>0</v>
      </c>
      <c r="DG49" s="142">
        <f t="shared" si="25"/>
        <v>0</v>
      </c>
      <c r="DH49" s="134">
        <f t="shared" si="25"/>
        <v>0</v>
      </c>
      <c r="DI49" s="134">
        <f t="shared" si="25"/>
        <v>0</v>
      </c>
      <c r="DJ49" s="142">
        <f t="shared" si="25"/>
        <v>0</v>
      </c>
      <c r="DK49" s="143">
        <f t="shared" si="25"/>
        <v>0</v>
      </c>
      <c r="DL49" s="207"/>
      <c r="DM49" s="208"/>
      <c r="DN49" s="208"/>
      <c r="DO49" s="208"/>
      <c r="DP49" s="208"/>
      <c r="DQ49" s="208"/>
      <c r="DR49" s="208"/>
      <c r="DS49" s="208"/>
      <c r="DT49" s="208"/>
      <c r="DU49" s="208"/>
      <c r="DV49" s="208"/>
      <c r="DW49" s="209"/>
      <c r="DX49" s="134">
        <f t="shared" ref="DX49:EW49" si="26">+SUMPRODUCT(DX3:DX47,$B$3:$B$47)</f>
        <v>0</v>
      </c>
      <c r="DY49" s="134">
        <f t="shared" si="26"/>
        <v>0</v>
      </c>
      <c r="DZ49" s="142">
        <f t="shared" si="26"/>
        <v>0</v>
      </c>
      <c r="EA49" s="134">
        <f t="shared" si="26"/>
        <v>0</v>
      </c>
      <c r="EB49" s="134">
        <f t="shared" si="26"/>
        <v>0</v>
      </c>
      <c r="EC49" s="142">
        <f t="shared" si="26"/>
        <v>0</v>
      </c>
      <c r="ED49" s="134">
        <f t="shared" si="26"/>
        <v>0</v>
      </c>
      <c r="EE49" s="134">
        <f t="shared" si="26"/>
        <v>0</v>
      </c>
      <c r="EF49" s="142">
        <f t="shared" si="26"/>
        <v>0</v>
      </c>
      <c r="EG49" s="134">
        <f t="shared" si="26"/>
        <v>0</v>
      </c>
      <c r="EH49" s="134">
        <f t="shared" si="26"/>
        <v>0</v>
      </c>
      <c r="EI49" s="142">
        <f t="shared" si="26"/>
        <v>0</v>
      </c>
      <c r="EJ49" s="143">
        <f t="shared" si="26"/>
        <v>0</v>
      </c>
      <c r="EK49" s="134">
        <f t="shared" si="26"/>
        <v>0</v>
      </c>
      <c r="EL49" s="134">
        <f t="shared" si="26"/>
        <v>0</v>
      </c>
      <c r="EM49" s="142">
        <f t="shared" si="26"/>
        <v>0</v>
      </c>
      <c r="EN49" s="134">
        <f t="shared" si="26"/>
        <v>0</v>
      </c>
      <c r="EO49" s="134">
        <f t="shared" si="26"/>
        <v>0</v>
      </c>
      <c r="EP49" s="142">
        <f t="shared" si="26"/>
        <v>0</v>
      </c>
      <c r="EQ49" s="134">
        <f t="shared" si="26"/>
        <v>0</v>
      </c>
      <c r="ER49" s="134">
        <f t="shared" si="26"/>
        <v>0</v>
      </c>
      <c r="ES49" s="142">
        <f t="shared" si="26"/>
        <v>0</v>
      </c>
      <c r="ET49" s="134">
        <f t="shared" si="26"/>
        <v>0</v>
      </c>
      <c r="EU49" s="134">
        <f t="shared" si="26"/>
        <v>0</v>
      </c>
      <c r="EV49" s="142">
        <f t="shared" si="26"/>
        <v>0</v>
      </c>
      <c r="EW49" s="143">
        <f t="shared" si="26"/>
        <v>0</v>
      </c>
    </row>
  </sheetData>
  <mergeCells count="30">
    <mergeCell ref="EK1:EW1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CL1:CX1"/>
    <mergeCell ref="CY1:DK1"/>
    <mergeCell ref="DL1:DW1"/>
    <mergeCell ref="DX1:EJ1"/>
    <mergeCell ref="A48:B48"/>
    <mergeCell ref="AT48:AT49"/>
    <mergeCell ref="BI48:BI49"/>
    <mergeCell ref="BX48:BX49"/>
    <mergeCell ref="DL48:DW49"/>
    <mergeCell ref="A1:C1"/>
    <mergeCell ref="Q1:AG1"/>
    <mergeCell ref="AH1:AT1"/>
    <mergeCell ref="AU1:BG1"/>
    <mergeCell ref="D1:P1"/>
    <mergeCell ref="BH1:BX1"/>
    <mergeCell ref="A49:B49"/>
    <mergeCell ref="BY1:CK1"/>
  </mergeCells>
  <pageMargins left="0.7" right="0.7" top="0.75" bottom="0.75" header="0.3" footer="0.3"/>
  <ignoredErrors>
    <ignoredError sqref="T48:AE49 AT49:BG49 BH49:EJ49 D48:O49 EK48:EV49 AU48:BG48 AH48:AS49 BH48:DJ48 DL48:EJ4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0576-9428-4C15-A48F-4495916A1B24}">
  <sheetPr>
    <tabColor theme="5" tint="0.79998168889431442"/>
  </sheetPr>
  <dimension ref="A1:AP49"/>
  <sheetViews>
    <sheetView showGridLines="0" zoomScale="55" zoomScaleNormal="55" workbookViewId="0">
      <pane xSplit="6" ySplit="2" topLeftCell="G12" activePane="bottomRight" state="frozen"/>
      <selection activeCell="Z21" sqref="Z21:Z23"/>
      <selection pane="topRight" activeCell="Z21" sqref="Z21:Z23"/>
      <selection pane="bottomLeft" activeCell="Z21" sqref="Z21:Z23"/>
      <selection pane="bottomRight" activeCell="H29" sqref="A1:AP49"/>
    </sheetView>
  </sheetViews>
  <sheetFormatPr defaultRowHeight="20.100000000000001" customHeight="1" x14ac:dyDescent="0.25"/>
  <cols>
    <col min="1" max="1" width="22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+'Dashboard - Overview &amp; Project'!H2</f>
        <v>Accumulated - 1-01/2026</v>
      </c>
      <c r="E1" s="213"/>
      <c r="F1" s="214"/>
      <c r="G1" s="215">
        <v>46023</v>
      </c>
      <c r="H1" s="216"/>
      <c r="I1" s="217"/>
      <c r="J1" s="215">
        <v>46054</v>
      </c>
      <c r="K1" s="216"/>
      <c r="L1" s="217"/>
      <c r="M1" s="215">
        <v>46082</v>
      </c>
      <c r="N1" s="216"/>
      <c r="O1" s="218"/>
      <c r="P1" s="215">
        <v>46113</v>
      </c>
      <c r="Q1" s="216"/>
      <c r="R1" s="217"/>
      <c r="S1" s="215">
        <v>46143</v>
      </c>
      <c r="T1" s="216"/>
      <c r="U1" s="217"/>
      <c r="V1" s="215">
        <v>46174</v>
      </c>
      <c r="W1" s="216"/>
      <c r="X1" s="218"/>
      <c r="Y1" s="215">
        <v>46204</v>
      </c>
      <c r="Z1" s="216"/>
      <c r="AA1" s="217"/>
      <c r="AB1" s="215">
        <v>46235</v>
      </c>
      <c r="AC1" s="216"/>
      <c r="AD1" s="217"/>
      <c r="AE1" s="215">
        <v>46266</v>
      </c>
      <c r="AF1" s="216"/>
      <c r="AG1" s="218"/>
      <c r="AH1" s="215">
        <v>46296</v>
      </c>
      <c r="AI1" s="216"/>
      <c r="AJ1" s="217"/>
      <c r="AK1" s="215">
        <v>46327</v>
      </c>
      <c r="AL1" s="216"/>
      <c r="AM1" s="217"/>
      <c r="AN1" s="215"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35">
        <f>+G3</f>
        <v>0</v>
      </c>
      <c r="E3" s="38">
        <f>+H3</f>
        <v>0</v>
      </c>
      <c r="F3" s="230" t="str">
        <f>IF(AND(D3&gt;0,E3&gt;0),D3/E3,IF(AND(D3&gt;0,E3=0),100%,IF(AND(D3=0,E3&gt;0),0,IF(AND(D3=0,E3=0),"***",0))))</f>
        <v>***</v>
      </c>
      <c r="G3" s="38"/>
      <c r="H3" s="38">
        <f>+IFERROR(VLOOKUP($A3,'Goals &amp; Budget 2026'!$A$2:$EJ$49,4,FALSE),0)</f>
        <v>0</v>
      </c>
      <c r="I3" s="49" t="str">
        <f>IF(AND(G3&gt;0,H3&gt;0),G3/H3,IF(AND(G3&gt;0,H3=0),100%,IF(AND(G3=0,H3&gt;0),0,IF(AND(G3=0,H3=0),"***",0))))</f>
        <v>***</v>
      </c>
      <c r="J3" s="38"/>
      <c r="K3" s="38">
        <f>+IFERROR(VLOOKUP($A3,'Goals &amp; Budget 2026'!$A$2:$EJ$49,5,FALSE),0)</f>
        <v>0</v>
      </c>
      <c r="L3" s="49" t="str">
        <f>IF(AND(J3&gt;0,K3&gt;0),J3/K3,IF(AND(J3&gt;0,K3=0),100%,IF(AND(J3=0,K3&gt;0),0,IF(AND(J3=0,K3=0),"***",0))))</f>
        <v>***</v>
      </c>
      <c r="M3" s="38"/>
      <c r="N3" s="38">
        <f>+IFERROR(VLOOKUP($A3,'Goals &amp; Budget 2026'!$A$2:$EJ$49,6,FALSE),0)</f>
        <v>0</v>
      </c>
      <c r="O3" s="230" t="str">
        <f>IF(AND(M3&gt;0,N3&gt;0),M3/N3,IF(AND(M3&gt;0,N3=0),100%,IF(AND(M3=0,N3&gt;0),0,IF(AND(M3=0,N3=0),"***",0))))</f>
        <v>***</v>
      </c>
      <c r="P3" s="38"/>
      <c r="Q3" s="38">
        <f>+IFERROR(VLOOKUP($A3,'Goals &amp; Budget 2026'!$A$2:$EJ$49,7,FALSE),0)</f>
        <v>0</v>
      </c>
      <c r="R3" s="49" t="str">
        <f>IF(AND(P3&gt;0,Q3&gt;0),P3/Q3,IF(AND(P3&gt;0,Q3=0),100%,IF(AND(P3=0,Q3&gt;0),0,IF(AND(P3=0,Q3=0),"***",0))))</f>
        <v>***</v>
      </c>
      <c r="S3" s="38"/>
      <c r="T3" s="38">
        <f>+IFERROR(VLOOKUP($A3,'Goals &amp; Budget 2026'!$A$2:$EJ$49,8,FALSE),0)</f>
        <v>0</v>
      </c>
      <c r="U3" s="49" t="str">
        <f>IF(AND(S3&gt;0,T3&gt;0),S3/T3,IF(AND(S3&gt;0,T3=0),100%,IF(AND(S3=0,T3&gt;0),0,IF(AND(S3=0,T3=0),"***",0))))</f>
        <v>***</v>
      </c>
      <c r="V3" s="38"/>
      <c r="W3" s="38">
        <f>+IFERROR(VLOOKUP($A3,'Goals &amp; Budget 2026'!$A$2:$EJ$49,9,FALSE),0)</f>
        <v>0</v>
      </c>
      <c r="X3" s="230" t="str">
        <f>IF(AND(V3&gt;0,W3&gt;0),V3/W3,IF(AND(V3&gt;0,W3=0),100%,IF(AND(V3=0,W3&gt;0),0,IF(AND(V3=0,W3=0),"***",0))))</f>
        <v>***</v>
      </c>
      <c r="Y3" s="38"/>
      <c r="Z3" s="38">
        <f>+IFERROR(VLOOKUP($A3,'Goals &amp; Budget 2026'!$A$2:$EJ$49,10,FALSE),0)</f>
        <v>0</v>
      </c>
      <c r="AA3" s="49" t="str">
        <f>IF(AND(Y3&gt;0,Z3&gt;0),Y3/Z3,IF(AND(Y3&gt;0,Z3=0),100%,IF(AND(Y3=0,Z3&gt;0),0,IF(AND(Y3=0,Z3=0),"***",0))))</f>
        <v>***</v>
      </c>
      <c r="AB3" s="38"/>
      <c r="AC3" s="38">
        <f>+IFERROR(VLOOKUP($A3,'Goals &amp; Budget 2026'!$A$2:$EJ$49,11,FALSE),0)</f>
        <v>0</v>
      </c>
      <c r="AD3" s="49" t="str">
        <f>IF(AND(AB3&gt;0,AC3&gt;0),AB3/AC3,IF(AND(AB3&gt;0,AC3=0),100%,IF(AND(AB3=0,AC3&gt;0),0,IF(AND(AB3=0,AC3=0),"***",0))))</f>
        <v>***</v>
      </c>
      <c r="AE3" s="38"/>
      <c r="AF3" s="38">
        <f>+IFERROR(VLOOKUP($A3,'Goals &amp; Budget 2026'!$A$2:$EJ$49,12,FALSE),0)</f>
        <v>0</v>
      </c>
      <c r="AG3" s="230" t="str">
        <f>IF(AND(AE3&gt;0,AF3&gt;0),AE3/AF3,IF(AND(AE3&gt;0,AF3=0),100%,IF(AND(AE3=0,AF3&gt;0),0,IF(AND(AE3=0,AF3=0),"***",0))))</f>
        <v>***</v>
      </c>
      <c r="AH3" s="38"/>
      <c r="AI3" s="38">
        <f>+IFERROR(VLOOKUP($A3,'Goals &amp; Budget 2026'!$A$2:$EJ$49,13,FALSE),0)</f>
        <v>0</v>
      </c>
      <c r="AJ3" s="49" t="str">
        <f>IF(AND(AH3&gt;0,AI3&gt;0),AH3/AI3,IF(AND(AH3&gt;0,AI3=0),100%,IF(AND(AH3=0,AI3&gt;0),0,IF(AND(AH3=0,AI3=0),"***",0))))</f>
        <v>***</v>
      </c>
      <c r="AK3" s="38"/>
      <c r="AL3" s="38">
        <f>+IFERROR(VLOOKUP($A3,'Goals &amp; Budget 2026'!$A$2:$EJ$49,14,FALSE),0)</f>
        <v>0</v>
      </c>
      <c r="AM3" s="49" t="str">
        <f>IF(AND(AK3&gt;0,AL3&gt;0),AK3/AL3,IF(AND(AK3&gt;0,AL3=0),100%,IF(AND(AK3=0,AL3&gt;0),0,IF(AND(AK3=0,AL3=0),"***",0))))</f>
        <v>***</v>
      </c>
      <c r="AN3" s="38"/>
      <c r="AO3" s="38">
        <f>+IFERROR(VLOOKUP($A3,'Goals &amp; Budget 2026'!$A$2:$EJ$49,15,FALSE),0)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0">
        <f t="shared" ref="D4:D24" si="0">+G4</f>
        <v>0</v>
      </c>
      <c r="E4" s="73">
        <f t="shared" ref="E4:E24" si="1">+H4</f>
        <v>0</v>
      </c>
      <c r="F4" s="231" t="str">
        <f t="shared" ref="F4:F24" si="2">IF(AND(D4&gt;0,E4&gt;0),D4/E4,IF(AND(D4&gt;0,E4=0),100%,IF(AND(D4=0,E4&gt;0),0,IF(AND(D4=0,E4=0),"***",0))))</f>
        <v>***</v>
      </c>
      <c r="G4" s="73"/>
      <c r="H4" s="73">
        <f>+IFERROR(VLOOKUP($A4,'Goals &amp; Budget 2026'!$A$2:$EJ$49,4,FALSE),0)</f>
        <v>0</v>
      </c>
      <c r="I4" s="84" t="str">
        <f t="shared" ref="I4:I24" si="3">IF(AND(G4&gt;0,H4&gt;0),G4/H4,IF(AND(G4&gt;0,H4=0),100%,IF(AND(G4=0,H4&gt;0),0,IF(AND(G4=0,H4=0),"***",0))))</f>
        <v>***</v>
      </c>
      <c r="J4" s="73"/>
      <c r="K4" s="73">
        <f>+IFERROR(VLOOKUP($A4,'Goals &amp; Budget 2026'!$A$2:$EJ$49,5,FALSE),0)</f>
        <v>0</v>
      </c>
      <c r="L4" s="84" t="str">
        <f t="shared" ref="L4:L24" si="4">IF(AND(J4&gt;0,K4&gt;0),J4/K4,IF(AND(J4&gt;0,K4=0),100%,IF(AND(J4=0,K4&gt;0),0,IF(AND(J4=0,K4=0),"***",0))))</f>
        <v>***</v>
      </c>
      <c r="M4" s="73"/>
      <c r="N4" s="73">
        <f>+IFERROR(VLOOKUP($A4,'Goals &amp; Budget 2026'!$A$2:$EJ$49,6,FALSE),0)</f>
        <v>0</v>
      </c>
      <c r="O4" s="231" t="str">
        <f t="shared" ref="O4:O24" si="5">IF(AND(M4&gt;0,N4&gt;0),M4/N4,IF(AND(M4&gt;0,N4=0),100%,IF(AND(M4=0,N4&gt;0),0,IF(AND(M4=0,N4=0),"***",0))))</f>
        <v>***</v>
      </c>
      <c r="P4" s="73"/>
      <c r="Q4" s="73">
        <f>+IFERROR(VLOOKUP($A4,'Goals &amp; Budget 2026'!$A$2:$EJ$49,7,FALSE),0)</f>
        <v>0</v>
      </c>
      <c r="R4" s="84" t="str">
        <f t="shared" ref="R4:R24" si="6">IF(AND(P4&gt;0,Q4&gt;0),P4/Q4,IF(AND(P4&gt;0,Q4=0),100%,IF(AND(P4=0,Q4&gt;0),0,IF(AND(P4=0,Q4=0),"***",0))))</f>
        <v>***</v>
      </c>
      <c r="S4" s="73"/>
      <c r="T4" s="73">
        <f>+IFERROR(VLOOKUP($A4,'Goals &amp; Budget 2026'!$A$2:$EJ$49,8,FALSE),0)</f>
        <v>0</v>
      </c>
      <c r="U4" s="84" t="str">
        <f t="shared" ref="U4:U24" si="7">IF(AND(S4&gt;0,T4&gt;0),S4/T4,IF(AND(S4&gt;0,T4=0),100%,IF(AND(S4=0,T4&gt;0),0,IF(AND(S4=0,T4=0),"***",0))))</f>
        <v>***</v>
      </c>
      <c r="V4" s="73"/>
      <c r="W4" s="73">
        <f>+IFERROR(VLOOKUP($A4,'Goals &amp; Budget 2026'!$A$2:$EJ$49,9,FALSE),0)</f>
        <v>0</v>
      </c>
      <c r="X4" s="231" t="str">
        <f t="shared" ref="X4:X24" si="8">IF(AND(V4&gt;0,W4&gt;0),V4/W4,IF(AND(V4&gt;0,W4=0),100%,IF(AND(V4=0,W4&gt;0),0,IF(AND(V4=0,W4=0),"***",0))))</f>
        <v>***</v>
      </c>
      <c r="Y4" s="73"/>
      <c r="Z4" s="73">
        <f>+IFERROR(VLOOKUP($A4,'Goals &amp; Budget 2026'!$A$2:$EJ$49,10,FALSE),0)</f>
        <v>0</v>
      </c>
      <c r="AA4" s="84" t="str">
        <f t="shared" ref="AA4:AA24" si="9">IF(AND(Y4&gt;0,Z4&gt;0),Y4/Z4,IF(AND(Y4&gt;0,Z4=0),100%,IF(AND(Y4=0,Z4&gt;0),0,IF(AND(Y4=0,Z4=0),"***",0))))</f>
        <v>***</v>
      </c>
      <c r="AB4" s="73"/>
      <c r="AC4" s="73">
        <f>+IFERROR(VLOOKUP($A4,'Goals &amp; Budget 2026'!$A$2:$EJ$49,11,FALSE),0)</f>
        <v>0</v>
      </c>
      <c r="AD4" s="84" t="str">
        <f t="shared" ref="AD4:AD24" si="10">IF(AND(AB4&gt;0,AC4&gt;0),AB4/AC4,IF(AND(AB4&gt;0,AC4=0),100%,IF(AND(AB4=0,AC4&gt;0),0,IF(AND(AB4=0,AC4=0),"***",0))))</f>
        <v>***</v>
      </c>
      <c r="AE4" s="73"/>
      <c r="AF4" s="73">
        <f>+IFERROR(VLOOKUP($A4,'Goals &amp; Budget 2026'!$A$2:$EJ$49,12,FALSE),0)</f>
        <v>0</v>
      </c>
      <c r="AG4" s="231" t="str">
        <f t="shared" ref="AG4:AG24" si="11">IF(AND(AE4&gt;0,AF4&gt;0),AE4/AF4,IF(AND(AE4&gt;0,AF4=0),100%,IF(AND(AE4=0,AF4&gt;0),0,IF(AND(AE4=0,AF4=0),"***",0))))</f>
        <v>***</v>
      </c>
      <c r="AH4" s="73"/>
      <c r="AI4" s="73">
        <f>+IFERROR(VLOOKUP($A4,'Goals &amp; Budget 2026'!$A$2:$EJ$49,13,FALSE),0)</f>
        <v>0</v>
      </c>
      <c r="AJ4" s="84" t="str">
        <f t="shared" ref="AJ4:AJ24" si="12">IF(AND(AH4&gt;0,AI4&gt;0),AH4/AI4,IF(AND(AH4&gt;0,AI4=0),100%,IF(AND(AH4=0,AI4&gt;0),0,IF(AND(AH4=0,AI4=0),"***",0))))</f>
        <v>***</v>
      </c>
      <c r="AK4" s="73"/>
      <c r="AL4" s="73">
        <f>+IFERROR(VLOOKUP($A4,'Goals &amp; Budget 2026'!$A$2:$EJ$49,14,FALSE),0)</f>
        <v>0</v>
      </c>
      <c r="AM4" s="84" t="str">
        <f t="shared" ref="AM4:AM24" si="13">IF(AND(AK4&gt;0,AL4&gt;0),AK4/AL4,IF(AND(AK4&gt;0,AL4=0),100%,IF(AND(AK4=0,AL4&gt;0),0,IF(AND(AK4=0,AL4=0),"***",0))))</f>
        <v>***</v>
      </c>
      <c r="AN4" s="73"/>
      <c r="AO4" s="73">
        <f>+IFERROR(VLOOKUP($A4,'Goals &amp; Budget 2026'!$A$2:$EJ$49,15,FALSE),0)</f>
        <v>0</v>
      </c>
      <c r="AP4" s="85" t="str">
        <f t="shared" ref="AP4:AP24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0">
        <f t="shared" si="0"/>
        <v>0</v>
      </c>
      <c r="E5" s="73">
        <f t="shared" si="1"/>
        <v>0</v>
      </c>
      <c r="F5" s="231" t="str">
        <f t="shared" si="2"/>
        <v>***</v>
      </c>
      <c r="G5" s="73"/>
      <c r="H5" s="73">
        <f>+IFERROR(VLOOKUP($A5,'Goals &amp; Budget 2026'!$A$2:$EJ$49,4,FALSE),0)</f>
        <v>0</v>
      </c>
      <c r="I5" s="84" t="str">
        <f t="shared" si="3"/>
        <v>***</v>
      </c>
      <c r="J5" s="73"/>
      <c r="K5" s="73">
        <f>+IFERROR(VLOOKUP($A5,'Goals &amp; Budget 2026'!$A$2:$EJ$49,5,FALSE),0)</f>
        <v>0</v>
      </c>
      <c r="L5" s="84" t="str">
        <f t="shared" si="4"/>
        <v>***</v>
      </c>
      <c r="M5" s="73"/>
      <c r="N5" s="73">
        <f>+IFERROR(VLOOKUP($A5,'Goals &amp; Budget 2026'!$A$2:$EJ$49,6,FALSE),0)</f>
        <v>0</v>
      </c>
      <c r="O5" s="231" t="str">
        <f t="shared" si="5"/>
        <v>***</v>
      </c>
      <c r="P5" s="73"/>
      <c r="Q5" s="73">
        <f>+IFERROR(VLOOKUP($A5,'Goals &amp; Budget 2026'!$A$2:$EJ$49,7,FALSE),0)</f>
        <v>0</v>
      </c>
      <c r="R5" s="84" t="str">
        <f t="shared" si="6"/>
        <v>***</v>
      </c>
      <c r="S5" s="73"/>
      <c r="T5" s="73">
        <f>+IFERROR(VLOOKUP($A5,'Goals &amp; Budget 2026'!$A$2:$EJ$49,8,FALSE),0)</f>
        <v>0</v>
      </c>
      <c r="U5" s="84" t="str">
        <f t="shared" si="7"/>
        <v>***</v>
      </c>
      <c r="V5" s="73"/>
      <c r="W5" s="73">
        <f>+IFERROR(VLOOKUP($A5,'Goals &amp; Budget 2026'!$A$2:$EJ$49,9,FALSE),0)</f>
        <v>0</v>
      </c>
      <c r="X5" s="231" t="str">
        <f t="shared" si="8"/>
        <v>***</v>
      </c>
      <c r="Y5" s="73"/>
      <c r="Z5" s="73">
        <f>+IFERROR(VLOOKUP($A5,'Goals &amp; Budget 2026'!$A$2:$EJ$49,10,FALSE),0)</f>
        <v>0</v>
      </c>
      <c r="AA5" s="84" t="str">
        <f t="shared" si="9"/>
        <v>***</v>
      </c>
      <c r="AB5" s="73"/>
      <c r="AC5" s="73">
        <f>+IFERROR(VLOOKUP($A5,'Goals &amp; Budget 2026'!$A$2:$EJ$49,11,FALSE),0)</f>
        <v>0</v>
      </c>
      <c r="AD5" s="84" t="str">
        <f t="shared" si="10"/>
        <v>***</v>
      </c>
      <c r="AE5" s="73"/>
      <c r="AF5" s="73">
        <f>+IFERROR(VLOOKUP($A5,'Goals &amp; Budget 2026'!$A$2:$EJ$49,12,FALSE),0)</f>
        <v>0</v>
      </c>
      <c r="AG5" s="231" t="str">
        <f t="shared" si="11"/>
        <v>***</v>
      </c>
      <c r="AH5" s="73"/>
      <c r="AI5" s="73">
        <f>+IFERROR(VLOOKUP($A5,'Goals &amp; Budget 2026'!$A$2:$EJ$49,13,FALSE),0)</f>
        <v>0</v>
      </c>
      <c r="AJ5" s="84" t="str">
        <f t="shared" si="12"/>
        <v>***</v>
      </c>
      <c r="AK5" s="73"/>
      <c r="AL5" s="73">
        <f>+IFERROR(VLOOKUP($A5,'Goals &amp; Budget 2026'!$A$2:$EJ$49,14,FALSE),0)</f>
        <v>0</v>
      </c>
      <c r="AM5" s="84" t="str">
        <f t="shared" si="13"/>
        <v>***</v>
      </c>
      <c r="AN5" s="73"/>
      <c r="AO5" s="73">
        <f>+IFERROR(VLOOKUP($A5,'Goals &amp; Budget 2026'!$A$2:$EJ$49,15,FALSE),0)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0">
        <f t="shared" si="0"/>
        <v>0</v>
      </c>
      <c r="E6" s="73">
        <f t="shared" si="1"/>
        <v>0</v>
      </c>
      <c r="F6" s="231" t="str">
        <f t="shared" si="2"/>
        <v>***</v>
      </c>
      <c r="G6" s="73"/>
      <c r="H6" s="73">
        <f>+IFERROR(VLOOKUP($A6,'Goals &amp; Budget 2026'!$A$2:$EJ$49,4,FALSE),0)</f>
        <v>0</v>
      </c>
      <c r="I6" s="84" t="str">
        <f t="shared" si="3"/>
        <v>***</v>
      </c>
      <c r="J6" s="73"/>
      <c r="K6" s="73">
        <f>+IFERROR(VLOOKUP($A6,'Goals &amp; Budget 2026'!$A$2:$EJ$49,5,FALSE),0)</f>
        <v>0</v>
      </c>
      <c r="L6" s="84" t="str">
        <f t="shared" si="4"/>
        <v>***</v>
      </c>
      <c r="M6" s="73"/>
      <c r="N6" s="73">
        <f>+IFERROR(VLOOKUP($A6,'Goals &amp; Budget 2026'!$A$2:$EJ$49,6,FALSE),0)</f>
        <v>0</v>
      </c>
      <c r="O6" s="231" t="str">
        <f t="shared" si="5"/>
        <v>***</v>
      </c>
      <c r="P6" s="73"/>
      <c r="Q6" s="73">
        <f>+IFERROR(VLOOKUP($A6,'Goals &amp; Budget 2026'!$A$2:$EJ$49,7,FALSE),0)</f>
        <v>0</v>
      </c>
      <c r="R6" s="84" t="str">
        <f t="shared" si="6"/>
        <v>***</v>
      </c>
      <c r="S6" s="73"/>
      <c r="T6" s="73">
        <f>+IFERROR(VLOOKUP($A6,'Goals &amp; Budget 2026'!$A$2:$EJ$49,8,FALSE),0)</f>
        <v>0</v>
      </c>
      <c r="U6" s="84" t="str">
        <f t="shared" si="7"/>
        <v>***</v>
      </c>
      <c r="V6" s="73"/>
      <c r="W6" s="73">
        <f>+IFERROR(VLOOKUP($A6,'Goals &amp; Budget 2026'!$A$2:$EJ$49,9,FALSE),0)</f>
        <v>0</v>
      </c>
      <c r="X6" s="231" t="str">
        <f t="shared" si="8"/>
        <v>***</v>
      </c>
      <c r="Y6" s="73"/>
      <c r="Z6" s="73">
        <f>+IFERROR(VLOOKUP($A6,'Goals &amp; Budget 2026'!$A$2:$EJ$49,10,FALSE),0)</f>
        <v>0</v>
      </c>
      <c r="AA6" s="84" t="str">
        <f t="shared" si="9"/>
        <v>***</v>
      </c>
      <c r="AB6" s="73"/>
      <c r="AC6" s="73">
        <f>+IFERROR(VLOOKUP($A6,'Goals &amp; Budget 2026'!$A$2:$EJ$49,11,FALSE),0)</f>
        <v>0</v>
      </c>
      <c r="AD6" s="84" t="str">
        <f t="shared" si="10"/>
        <v>***</v>
      </c>
      <c r="AE6" s="73"/>
      <c r="AF6" s="73">
        <f>+IFERROR(VLOOKUP($A6,'Goals &amp; Budget 2026'!$A$2:$EJ$49,12,FALSE),0)</f>
        <v>0</v>
      </c>
      <c r="AG6" s="231" t="str">
        <f t="shared" si="11"/>
        <v>***</v>
      </c>
      <c r="AH6" s="73"/>
      <c r="AI6" s="73">
        <f>+IFERROR(VLOOKUP($A6,'Goals &amp; Budget 2026'!$A$2:$EJ$49,13,FALSE),0)</f>
        <v>0</v>
      </c>
      <c r="AJ6" s="84" t="str">
        <f t="shared" si="12"/>
        <v>***</v>
      </c>
      <c r="AK6" s="73"/>
      <c r="AL6" s="73">
        <f>+IFERROR(VLOOKUP($A6,'Goals &amp; Budget 2026'!$A$2:$EJ$49,14,FALSE),0)</f>
        <v>0</v>
      </c>
      <c r="AM6" s="84" t="str">
        <f t="shared" si="13"/>
        <v>***</v>
      </c>
      <c r="AN6" s="73"/>
      <c r="AO6" s="73">
        <f>+IFERROR(VLOOKUP($A6,'Goals &amp; Budget 2026'!$A$2:$EJ$49,15,FALSE),0)</f>
        <v>0</v>
      </c>
      <c r="AP6" s="85" t="str">
        <f t="shared" si="14"/>
        <v>***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0">
        <f t="shared" si="0"/>
        <v>0</v>
      </c>
      <c r="E7" s="73">
        <f t="shared" si="1"/>
        <v>0</v>
      </c>
      <c r="F7" s="231" t="str">
        <f t="shared" si="2"/>
        <v>***</v>
      </c>
      <c r="G7" s="73"/>
      <c r="H7" s="73">
        <f>+IFERROR(VLOOKUP($A7,'Goals &amp; Budget 2026'!$A$2:$EJ$49,4,FALSE),0)</f>
        <v>0</v>
      </c>
      <c r="I7" s="84" t="str">
        <f t="shared" si="3"/>
        <v>***</v>
      </c>
      <c r="J7" s="73"/>
      <c r="K7" s="73">
        <f>+IFERROR(VLOOKUP($A7,'Goals &amp; Budget 2026'!$A$2:$EJ$49,5,FALSE),0)</f>
        <v>0</v>
      </c>
      <c r="L7" s="84" t="str">
        <f t="shared" si="4"/>
        <v>***</v>
      </c>
      <c r="M7" s="73"/>
      <c r="N7" s="73">
        <f>+IFERROR(VLOOKUP($A7,'Goals &amp; Budget 2026'!$A$2:$EJ$49,6,FALSE),0)</f>
        <v>0</v>
      </c>
      <c r="O7" s="231" t="str">
        <f t="shared" si="5"/>
        <v>***</v>
      </c>
      <c r="P7" s="73"/>
      <c r="Q7" s="73">
        <f>+IFERROR(VLOOKUP($A7,'Goals &amp; Budget 2026'!$A$2:$EJ$49,7,FALSE),0)</f>
        <v>0</v>
      </c>
      <c r="R7" s="84" t="str">
        <f t="shared" si="6"/>
        <v>***</v>
      </c>
      <c r="S7" s="73"/>
      <c r="T7" s="73">
        <f>+IFERROR(VLOOKUP($A7,'Goals &amp; Budget 2026'!$A$2:$EJ$49,8,FALSE),0)</f>
        <v>0</v>
      </c>
      <c r="U7" s="84" t="str">
        <f t="shared" si="7"/>
        <v>***</v>
      </c>
      <c r="V7" s="73"/>
      <c r="W7" s="73">
        <f>+IFERROR(VLOOKUP($A7,'Goals &amp; Budget 2026'!$A$2:$EJ$49,9,FALSE),0)</f>
        <v>0</v>
      </c>
      <c r="X7" s="231" t="str">
        <f t="shared" si="8"/>
        <v>***</v>
      </c>
      <c r="Y7" s="73"/>
      <c r="Z7" s="73">
        <f>+IFERROR(VLOOKUP($A7,'Goals &amp; Budget 2026'!$A$2:$EJ$49,10,FALSE),0)</f>
        <v>0</v>
      </c>
      <c r="AA7" s="84" t="str">
        <f t="shared" si="9"/>
        <v>***</v>
      </c>
      <c r="AB7" s="73"/>
      <c r="AC7" s="73">
        <f>+IFERROR(VLOOKUP($A7,'Goals &amp; Budget 2026'!$A$2:$EJ$49,11,FALSE),0)</f>
        <v>0</v>
      </c>
      <c r="AD7" s="84" t="str">
        <f t="shared" si="10"/>
        <v>***</v>
      </c>
      <c r="AE7" s="73"/>
      <c r="AF7" s="73">
        <f>+IFERROR(VLOOKUP($A7,'Goals &amp; Budget 2026'!$A$2:$EJ$49,12,FALSE),0)</f>
        <v>0</v>
      </c>
      <c r="AG7" s="231" t="str">
        <f t="shared" si="11"/>
        <v>***</v>
      </c>
      <c r="AH7" s="73"/>
      <c r="AI7" s="73">
        <f>+IFERROR(VLOOKUP($A7,'Goals &amp; Budget 2026'!$A$2:$EJ$49,13,FALSE),0)</f>
        <v>0</v>
      </c>
      <c r="AJ7" s="84" t="str">
        <f t="shared" si="12"/>
        <v>***</v>
      </c>
      <c r="AK7" s="73"/>
      <c r="AL7" s="73">
        <f>+IFERROR(VLOOKUP($A7,'Goals &amp; Budget 2026'!$A$2:$EJ$49,14,FALSE),0)</f>
        <v>0</v>
      </c>
      <c r="AM7" s="84" t="str">
        <f t="shared" si="13"/>
        <v>***</v>
      </c>
      <c r="AN7" s="73"/>
      <c r="AO7" s="73">
        <f>+IFERROR(VLOOKUP($A7,'Goals &amp; Budget 2026'!$A$2:$EJ$49,15,FALSE),0)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0">
        <f t="shared" si="0"/>
        <v>0</v>
      </c>
      <c r="E8" s="73">
        <f t="shared" si="1"/>
        <v>0</v>
      </c>
      <c r="F8" s="231" t="str">
        <f t="shared" si="2"/>
        <v>***</v>
      </c>
      <c r="G8" s="73"/>
      <c r="H8" s="73">
        <f>+IFERROR(VLOOKUP($A8,'Goals &amp; Budget 2026'!$A$2:$EJ$49,4,FALSE),0)</f>
        <v>0</v>
      </c>
      <c r="I8" s="84" t="str">
        <f t="shared" si="3"/>
        <v>***</v>
      </c>
      <c r="J8" s="73"/>
      <c r="K8" s="73">
        <f>+IFERROR(VLOOKUP($A8,'Goals &amp; Budget 2026'!$A$2:$EJ$49,5,FALSE),0)</f>
        <v>0</v>
      </c>
      <c r="L8" s="84" t="str">
        <f t="shared" si="4"/>
        <v>***</v>
      </c>
      <c r="M8" s="73"/>
      <c r="N8" s="73">
        <f>+IFERROR(VLOOKUP($A8,'Goals &amp; Budget 2026'!$A$2:$EJ$49,6,FALSE),0)</f>
        <v>0</v>
      </c>
      <c r="O8" s="231" t="str">
        <f t="shared" si="5"/>
        <v>***</v>
      </c>
      <c r="P8" s="73"/>
      <c r="Q8" s="73">
        <f>+IFERROR(VLOOKUP($A8,'Goals &amp; Budget 2026'!$A$2:$EJ$49,7,FALSE),0)</f>
        <v>0</v>
      </c>
      <c r="R8" s="84" t="str">
        <f t="shared" si="6"/>
        <v>***</v>
      </c>
      <c r="S8" s="73"/>
      <c r="T8" s="73">
        <f>+IFERROR(VLOOKUP($A8,'Goals &amp; Budget 2026'!$A$2:$EJ$49,8,FALSE),0)</f>
        <v>0</v>
      </c>
      <c r="U8" s="84" t="str">
        <f t="shared" si="7"/>
        <v>***</v>
      </c>
      <c r="V8" s="73"/>
      <c r="W8" s="73">
        <f>+IFERROR(VLOOKUP($A8,'Goals &amp; Budget 2026'!$A$2:$EJ$49,9,FALSE),0)</f>
        <v>0</v>
      </c>
      <c r="X8" s="231" t="str">
        <f t="shared" si="8"/>
        <v>***</v>
      </c>
      <c r="Y8" s="73"/>
      <c r="Z8" s="73">
        <f>+IFERROR(VLOOKUP($A8,'Goals &amp; Budget 2026'!$A$2:$EJ$49,10,FALSE),0)</f>
        <v>0</v>
      </c>
      <c r="AA8" s="84" t="str">
        <f t="shared" si="9"/>
        <v>***</v>
      </c>
      <c r="AB8" s="73"/>
      <c r="AC8" s="73">
        <f>+IFERROR(VLOOKUP($A8,'Goals &amp; Budget 2026'!$A$2:$EJ$49,11,FALSE),0)</f>
        <v>0</v>
      </c>
      <c r="AD8" s="84" t="str">
        <f t="shared" si="10"/>
        <v>***</v>
      </c>
      <c r="AE8" s="73"/>
      <c r="AF8" s="73">
        <f>+IFERROR(VLOOKUP($A8,'Goals &amp; Budget 2026'!$A$2:$EJ$49,12,FALSE),0)</f>
        <v>0</v>
      </c>
      <c r="AG8" s="231" t="str">
        <f t="shared" si="11"/>
        <v>***</v>
      </c>
      <c r="AH8" s="73"/>
      <c r="AI8" s="73">
        <f>+IFERROR(VLOOKUP($A8,'Goals &amp; Budget 2026'!$A$2:$EJ$49,13,FALSE),0)</f>
        <v>0</v>
      </c>
      <c r="AJ8" s="84" t="str">
        <f t="shared" si="12"/>
        <v>***</v>
      </c>
      <c r="AK8" s="73"/>
      <c r="AL8" s="73">
        <f>+IFERROR(VLOOKUP($A8,'Goals &amp; Budget 2026'!$A$2:$EJ$49,14,FALSE),0)</f>
        <v>0</v>
      </c>
      <c r="AM8" s="84" t="str">
        <f t="shared" si="13"/>
        <v>***</v>
      </c>
      <c r="AN8" s="73"/>
      <c r="AO8" s="73">
        <f>+IFERROR(VLOOKUP($A8,'Goals &amp; Budget 2026'!$A$2:$EJ$49,15,FALSE),0)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0">
        <f t="shared" si="0"/>
        <v>0</v>
      </c>
      <c r="E9" s="73">
        <f t="shared" si="1"/>
        <v>0</v>
      </c>
      <c r="F9" s="231" t="str">
        <f t="shared" si="2"/>
        <v>***</v>
      </c>
      <c r="G9" s="73"/>
      <c r="H9" s="73">
        <f>+IFERROR(VLOOKUP($A9,'Goals &amp; Budget 2026'!$A$2:$EJ$49,4,FALSE),0)</f>
        <v>0</v>
      </c>
      <c r="I9" s="84" t="str">
        <f t="shared" si="3"/>
        <v>***</v>
      </c>
      <c r="J9" s="73"/>
      <c r="K9" s="73">
        <f>+IFERROR(VLOOKUP($A9,'Goals &amp; Budget 2026'!$A$2:$EJ$49,5,FALSE),0)</f>
        <v>0</v>
      </c>
      <c r="L9" s="84" t="str">
        <f t="shared" si="4"/>
        <v>***</v>
      </c>
      <c r="M9" s="73"/>
      <c r="N9" s="73">
        <f>+IFERROR(VLOOKUP($A9,'Goals &amp; Budget 2026'!$A$2:$EJ$49,6,FALSE),0)</f>
        <v>0</v>
      </c>
      <c r="O9" s="231" t="str">
        <f t="shared" si="5"/>
        <v>***</v>
      </c>
      <c r="P9" s="73"/>
      <c r="Q9" s="73">
        <f>+IFERROR(VLOOKUP($A9,'Goals &amp; Budget 2026'!$A$2:$EJ$49,7,FALSE),0)</f>
        <v>0</v>
      </c>
      <c r="R9" s="84" t="str">
        <f t="shared" si="6"/>
        <v>***</v>
      </c>
      <c r="S9" s="73"/>
      <c r="T9" s="73">
        <f>+IFERROR(VLOOKUP($A9,'Goals &amp; Budget 2026'!$A$2:$EJ$49,8,FALSE),0)</f>
        <v>0</v>
      </c>
      <c r="U9" s="84" t="str">
        <f t="shared" si="7"/>
        <v>***</v>
      </c>
      <c r="V9" s="73"/>
      <c r="W9" s="73">
        <f>+IFERROR(VLOOKUP($A9,'Goals &amp; Budget 2026'!$A$2:$EJ$49,9,FALSE),0)</f>
        <v>0</v>
      </c>
      <c r="X9" s="231" t="str">
        <f t="shared" si="8"/>
        <v>***</v>
      </c>
      <c r="Y9" s="73"/>
      <c r="Z9" s="73">
        <f>+IFERROR(VLOOKUP($A9,'Goals &amp; Budget 2026'!$A$2:$EJ$49,10,FALSE),0)</f>
        <v>0</v>
      </c>
      <c r="AA9" s="84" t="str">
        <f t="shared" si="9"/>
        <v>***</v>
      </c>
      <c r="AB9" s="73"/>
      <c r="AC9" s="73">
        <f>+IFERROR(VLOOKUP($A9,'Goals &amp; Budget 2026'!$A$2:$EJ$49,11,FALSE),0)</f>
        <v>0</v>
      </c>
      <c r="AD9" s="84" t="str">
        <f t="shared" si="10"/>
        <v>***</v>
      </c>
      <c r="AE9" s="73"/>
      <c r="AF9" s="73">
        <f>+IFERROR(VLOOKUP($A9,'Goals &amp; Budget 2026'!$A$2:$EJ$49,12,FALSE),0)</f>
        <v>0</v>
      </c>
      <c r="AG9" s="231" t="str">
        <f t="shared" si="11"/>
        <v>***</v>
      </c>
      <c r="AH9" s="73"/>
      <c r="AI9" s="73">
        <f>+IFERROR(VLOOKUP($A9,'Goals &amp; Budget 2026'!$A$2:$EJ$49,13,FALSE),0)</f>
        <v>0</v>
      </c>
      <c r="AJ9" s="84" t="str">
        <f t="shared" si="12"/>
        <v>***</v>
      </c>
      <c r="AK9" s="73"/>
      <c r="AL9" s="73">
        <f>+IFERROR(VLOOKUP($A9,'Goals &amp; Budget 2026'!$A$2:$EJ$49,14,FALSE),0)</f>
        <v>0</v>
      </c>
      <c r="AM9" s="84" t="str">
        <f t="shared" si="13"/>
        <v>***</v>
      </c>
      <c r="AN9" s="73"/>
      <c r="AO9" s="73">
        <f>+IFERROR(VLOOKUP($A9,'Goals &amp; Budget 2026'!$A$2:$EJ$49,15,FALSE),0)</f>
        <v>0</v>
      </c>
      <c r="AP9" s="85" t="str">
        <f t="shared" si="14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0">
        <f t="shared" si="0"/>
        <v>0</v>
      </c>
      <c r="E10" s="73">
        <f t="shared" si="1"/>
        <v>0</v>
      </c>
      <c r="F10" s="231" t="str">
        <f t="shared" si="2"/>
        <v>***</v>
      </c>
      <c r="G10" s="73"/>
      <c r="H10" s="73">
        <f>+IFERROR(VLOOKUP($A10,'Goals &amp; Budget 2026'!$A$2:$EJ$49,4,FALSE),0)</f>
        <v>0</v>
      </c>
      <c r="I10" s="84" t="str">
        <f t="shared" si="3"/>
        <v>***</v>
      </c>
      <c r="J10" s="73"/>
      <c r="K10" s="73">
        <f>+IFERROR(VLOOKUP($A10,'Goals &amp; Budget 2026'!$A$2:$EJ$49,5,FALSE),0)</f>
        <v>0</v>
      </c>
      <c r="L10" s="84" t="str">
        <f t="shared" si="4"/>
        <v>***</v>
      </c>
      <c r="M10" s="73"/>
      <c r="N10" s="73">
        <f>+IFERROR(VLOOKUP($A10,'Goals &amp; Budget 2026'!$A$2:$EJ$49,6,FALSE),0)</f>
        <v>0</v>
      </c>
      <c r="O10" s="231" t="str">
        <f t="shared" si="5"/>
        <v>***</v>
      </c>
      <c r="P10" s="73"/>
      <c r="Q10" s="73">
        <f>+IFERROR(VLOOKUP($A10,'Goals &amp; Budget 2026'!$A$2:$EJ$49,7,FALSE),0)</f>
        <v>0</v>
      </c>
      <c r="R10" s="84" t="str">
        <f t="shared" si="6"/>
        <v>***</v>
      </c>
      <c r="S10" s="73"/>
      <c r="T10" s="73">
        <f>+IFERROR(VLOOKUP($A10,'Goals &amp; Budget 2026'!$A$2:$EJ$49,8,FALSE),0)</f>
        <v>0</v>
      </c>
      <c r="U10" s="84" t="str">
        <f t="shared" si="7"/>
        <v>***</v>
      </c>
      <c r="V10" s="73"/>
      <c r="W10" s="73">
        <f>+IFERROR(VLOOKUP($A10,'Goals &amp; Budget 2026'!$A$2:$EJ$49,9,FALSE),0)</f>
        <v>0</v>
      </c>
      <c r="X10" s="231" t="str">
        <f t="shared" si="8"/>
        <v>***</v>
      </c>
      <c r="Y10" s="73"/>
      <c r="Z10" s="73">
        <f>+IFERROR(VLOOKUP($A10,'Goals &amp; Budget 2026'!$A$2:$EJ$49,10,FALSE),0)</f>
        <v>0</v>
      </c>
      <c r="AA10" s="84" t="str">
        <f t="shared" si="9"/>
        <v>***</v>
      </c>
      <c r="AB10" s="73"/>
      <c r="AC10" s="73">
        <f>+IFERROR(VLOOKUP($A10,'Goals &amp; Budget 2026'!$A$2:$EJ$49,11,FALSE),0)</f>
        <v>0</v>
      </c>
      <c r="AD10" s="84" t="str">
        <f t="shared" si="10"/>
        <v>***</v>
      </c>
      <c r="AE10" s="73"/>
      <c r="AF10" s="73">
        <f>+IFERROR(VLOOKUP($A10,'Goals &amp; Budget 2026'!$A$2:$EJ$49,12,FALSE),0)</f>
        <v>0</v>
      </c>
      <c r="AG10" s="231" t="str">
        <f t="shared" si="11"/>
        <v>***</v>
      </c>
      <c r="AH10" s="73"/>
      <c r="AI10" s="73">
        <f>+IFERROR(VLOOKUP($A10,'Goals &amp; Budget 2026'!$A$2:$EJ$49,13,FALSE),0)</f>
        <v>0</v>
      </c>
      <c r="AJ10" s="84" t="str">
        <f t="shared" si="12"/>
        <v>***</v>
      </c>
      <c r="AK10" s="73"/>
      <c r="AL10" s="73">
        <f>+IFERROR(VLOOKUP($A10,'Goals &amp; Budget 2026'!$A$2:$EJ$49,14,FALSE),0)</f>
        <v>0</v>
      </c>
      <c r="AM10" s="84" t="str">
        <f t="shared" si="13"/>
        <v>***</v>
      </c>
      <c r="AN10" s="73"/>
      <c r="AO10" s="73">
        <f>+IFERROR(VLOOKUP($A10,'Goals &amp; Budget 2026'!$A$2:$EJ$49,15,FALSE),0)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0">
        <f t="shared" si="0"/>
        <v>0</v>
      </c>
      <c r="E11" s="73">
        <f t="shared" si="1"/>
        <v>0</v>
      </c>
      <c r="F11" s="231" t="str">
        <f t="shared" si="2"/>
        <v>***</v>
      </c>
      <c r="G11" s="73"/>
      <c r="H11" s="73">
        <f>+IFERROR(VLOOKUP($A11,'Goals &amp; Budget 2026'!$A$2:$EJ$49,4,FALSE),0)</f>
        <v>0</v>
      </c>
      <c r="I11" s="84" t="str">
        <f t="shared" si="3"/>
        <v>***</v>
      </c>
      <c r="J11" s="73"/>
      <c r="K11" s="73">
        <f>+IFERROR(VLOOKUP($A11,'Goals &amp; Budget 2026'!$A$2:$EJ$49,5,FALSE),0)</f>
        <v>0</v>
      </c>
      <c r="L11" s="84" t="str">
        <f t="shared" si="4"/>
        <v>***</v>
      </c>
      <c r="M11" s="73"/>
      <c r="N11" s="73">
        <f>+IFERROR(VLOOKUP($A11,'Goals &amp; Budget 2026'!$A$2:$EJ$49,6,FALSE),0)</f>
        <v>0</v>
      </c>
      <c r="O11" s="231" t="str">
        <f t="shared" si="5"/>
        <v>***</v>
      </c>
      <c r="P11" s="73"/>
      <c r="Q11" s="73">
        <f>+IFERROR(VLOOKUP($A11,'Goals &amp; Budget 2026'!$A$2:$EJ$49,7,FALSE),0)</f>
        <v>0</v>
      </c>
      <c r="R11" s="84" t="str">
        <f t="shared" si="6"/>
        <v>***</v>
      </c>
      <c r="S11" s="73"/>
      <c r="T11" s="73">
        <f>+IFERROR(VLOOKUP($A11,'Goals &amp; Budget 2026'!$A$2:$EJ$49,8,FALSE),0)</f>
        <v>0</v>
      </c>
      <c r="U11" s="84" t="str">
        <f t="shared" si="7"/>
        <v>***</v>
      </c>
      <c r="V11" s="73"/>
      <c r="W11" s="73">
        <f>+IFERROR(VLOOKUP($A11,'Goals &amp; Budget 2026'!$A$2:$EJ$49,9,FALSE),0)</f>
        <v>0</v>
      </c>
      <c r="X11" s="231" t="str">
        <f t="shared" si="8"/>
        <v>***</v>
      </c>
      <c r="Y11" s="73"/>
      <c r="Z11" s="73">
        <f>+IFERROR(VLOOKUP($A11,'Goals &amp; Budget 2026'!$A$2:$EJ$49,10,FALSE),0)</f>
        <v>0</v>
      </c>
      <c r="AA11" s="84" t="str">
        <f t="shared" si="9"/>
        <v>***</v>
      </c>
      <c r="AB11" s="73"/>
      <c r="AC11" s="73">
        <f>+IFERROR(VLOOKUP($A11,'Goals &amp; Budget 2026'!$A$2:$EJ$49,11,FALSE),0)</f>
        <v>0</v>
      </c>
      <c r="AD11" s="84" t="str">
        <f t="shared" si="10"/>
        <v>***</v>
      </c>
      <c r="AE11" s="73"/>
      <c r="AF11" s="73">
        <f>+IFERROR(VLOOKUP($A11,'Goals &amp; Budget 2026'!$A$2:$EJ$49,12,FALSE),0)</f>
        <v>0</v>
      </c>
      <c r="AG11" s="231" t="str">
        <f t="shared" si="11"/>
        <v>***</v>
      </c>
      <c r="AH11" s="73"/>
      <c r="AI11" s="73">
        <f>+IFERROR(VLOOKUP($A11,'Goals &amp; Budget 2026'!$A$2:$EJ$49,13,FALSE),0)</f>
        <v>0</v>
      </c>
      <c r="AJ11" s="84" t="str">
        <f t="shared" si="12"/>
        <v>***</v>
      </c>
      <c r="AK11" s="73"/>
      <c r="AL11" s="73">
        <f>+IFERROR(VLOOKUP($A11,'Goals &amp; Budget 2026'!$A$2:$EJ$49,14,FALSE),0)</f>
        <v>0</v>
      </c>
      <c r="AM11" s="84" t="str">
        <f t="shared" si="13"/>
        <v>***</v>
      </c>
      <c r="AN11" s="73"/>
      <c r="AO11" s="73">
        <f>+IFERROR(VLOOKUP($A11,'Goals &amp; Budget 2026'!$A$2:$EJ$49,15,FALSE),0)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0">
        <f t="shared" si="0"/>
        <v>0</v>
      </c>
      <c r="E12" s="73">
        <f t="shared" si="1"/>
        <v>0</v>
      </c>
      <c r="F12" s="231" t="str">
        <f t="shared" si="2"/>
        <v>***</v>
      </c>
      <c r="G12" s="73"/>
      <c r="H12" s="73">
        <f>+IFERROR(VLOOKUP($A12,'Goals &amp; Budget 2026'!$A$2:$EJ$49,4,FALSE),0)</f>
        <v>0</v>
      </c>
      <c r="I12" s="84" t="str">
        <f t="shared" si="3"/>
        <v>***</v>
      </c>
      <c r="J12" s="73"/>
      <c r="K12" s="73">
        <f>+IFERROR(VLOOKUP($A12,'Goals &amp; Budget 2026'!$A$2:$EJ$49,5,FALSE),0)</f>
        <v>0</v>
      </c>
      <c r="L12" s="84" t="str">
        <f t="shared" si="4"/>
        <v>***</v>
      </c>
      <c r="M12" s="73"/>
      <c r="N12" s="73">
        <f>+IFERROR(VLOOKUP($A12,'Goals &amp; Budget 2026'!$A$2:$EJ$49,6,FALSE),0)</f>
        <v>0</v>
      </c>
      <c r="O12" s="231" t="str">
        <f t="shared" si="5"/>
        <v>***</v>
      </c>
      <c r="P12" s="73"/>
      <c r="Q12" s="73">
        <f>+IFERROR(VLOOKUP($A12,'Goals &amp; Budget 2026'!$A$2:$EJ$49,7,FALSE),0)</f>
        <v>0</v>
      </c>
      <c r="R12" s="84" t="str">
        <f t="shared" si="6"/>
        <v>***</v>
      </c>
      <c r="S12" s="73"/>
      <c r="T12" s="73">
        <f>+IFERROR(VLOOKUP($A12,'Goals &amp; Budget 2026'!$A$2:$EJ$49,8,FALSE),0)</f>
        <v>0</v>
      </c>
      <c r="U12" s="84" t="str">
        <f t="shared" si="7"/>
        <v>***</v>
      </c>
      <c r="V12" s="73"/>
      <c r="W12" s="73">
        <f>+IFERROR(VLOOKUP($A12,'Goals &amp; Budget 2026'!$A$2:$EJ$49,9,FALSE),0)</f>
        <v>0</v>
      </c>
      <c r="X12" s="231" t="str">
        <f t="shared" si="8"/>
        <v>***</v>
      </c>
      <c r="Y12" s="73"/>
      <c r="Z12" s="73">
        <f>+IFERROR(VLOOKUP($A12,'Goals &amp; Budget 2026'!$A$2:$EJ$49,10,FALSE),0)</f>
        <v>0</v>
      </c>
      <c r="AA12" s="84" t="str">
        <f t="shared" si="9"/>
        <v>***</v>
      </c>
      <c r="AB12" s="73"/>
      <c r="AC12" s="73">
        <f>+IFERROR(VLOOKUP($A12,'Goals &amp; Budget 2026'!$A$2:$EJ$49,11,FALSE),0)</f>
        <v>0</v>
      </c>
      <c r="AD12" s="84" t="str">
        <f t="shared" si="10"/>
        <v>***</v>
      </c>
      <c r="AE12" s="73"/>
      <c r="AF12" s="73">
        <f>+IFERROR(VLOOKUP($A12,'Goals &amp; Budget 2026'!$A$2:$EJ$49,12,FALSE),0)</f>
        <v>0</v>
      </c>
      <c r="AG12" s="231" t="str">
        <f t="shared" si="11"/>
        <v>***</v>
      </c>
      <c r="AH12" s="73"/>
      <c r="AI12" s="73">
        <f>+IFERROR(VLOOKUP($A12,'Goals &amp; Budget 2026'!$A$2:$EJ$49,13,FALSE),0)</f>
        <v>0</v>
      </c>
      <c r="AJ12" s="84" t="str">
        <f t="shared" si="12"/>
        <v>***</v>
      </c>
      <c r="AK12" s="73"/>
      <c r="AL12" s="73">
        <f>+IFERROR(VLOOKUP($A12,'Goals &amp; Budget 2026'!$A$2:$EJ$49,14,FALSE),0)</f>
        <v>0</v>
      </c>
      <c r="AM12" s="84" t="str">
        <f t="shared" si="13"/>
        <v>***</v>
      </c>
      <c r="AN12" s="73"/>
      <c r="AO12" s="73">
        <f>+IFERROR(VLOOKUP($A12,'Goals &amp; Budget 2026'!$A$2:$EJ$49,15,FALSE),0)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0">
        <f t="shared" si="0"/>
        <v>0</v>
      </c>
      <c r="E13" s="73">
        <f t="shared" si="1"/>
        <v>0</v>
      </c>
      <c r="F13" s="231" t="str">
        <f t="shared" si="2"/>
        <v>***</v>
      </c>
      <c r="G13" s="73"/>
      <c r="H13" s="73">
        <f>+IFERROR(VLOOKUP($A13,'Goals &amp; Budget 2026'!$A$2:$EJ$49,4,FALSE),0)</f>
        <v>0</v>
      </c>
      <c r="I13" s="84" t="str">
        <f t="shared" si="3"/>
        <v>***</v>
      </c>
      <c r="J13" s="73"/>
      <c r="K13" s="73">
        <f>+IFERROR(VLOOKUP($A13,'Goals &amp; Budget 2026'!$A$2:$EJ$49,5,FALSE),0)</f>
        <v>0</v>
      </c>
      <c r="L13" s="84" t="str">
        <f t="shared" si="4"/>
        <v>***</v>
      </c>
      <c r="M13" s="73"/>
      <c r="N13" s="73">
        <f>+IFERROR(VLOOKUP($A13,'Goals &amp; Budget 2026'!$A$2:$EJ$49,6,FALSE),0)</f>
        <v>0</v>
      </c>
      <c r="O13" s="231" t="str">
        <f t="shared" si="5"/>
        <v>***</v>
      </c>
      <c r="P13" s="73"/>
      <c r="Q13" s="73">
        <f>+IFERROR(VLOOKUP($A13,'Goals &amp; Budget 2026'!$A$2:$EJ$49,7,FALSE),0)</f>
        <v>0</v>
      </c>
      <c r="R13" s="84" t="str">
        <f t="shared" si="6"/>
        <v>***</v>
      </c>
      <c r="S13" s="73"/>
      <c r="T13" s="73">
        <f>+IFERROR(VLOOKUP($A13,'Goals &amp; Budget 2026'!$A$2:$EJ$49,8,FALSE),0)</f>
        <v>0</v>
      </c>
      <c r="U13" s="84" t="str">
        <f t="shared" si="7"/>
        <v>***</v>
      </c>
      <c r="V13" s="73"/>
      <c r="W13" s="73">
        <f>+IFERROR(VLOOKUP($A13,'Goals &amp; Budget 2026'!$A$2:$EJ$49,9,FALSE),0)</f>
        <v>0</v>
      </c>
      <c r="X13" s="231" t="str">
        <f t="shared" si="8"/>
        <v>***</v>
      </c>
      <c r="Y13" s="73"/>
      <c r="Z13" s="73">
        <f>+IFERROR(VLOOKUP($A13,'Goals &amp; Budget 2026'!$A$2:$EJ$49,10,FALSE),0)</f>
        <v>0</v>
      </c>
      <c r="AA13" s="84" t="str">
        <f t="shared" si="9"/>
        <v>***</v>
      </c>
      <c r="AB13" s="73"/>
      <c r="AC13" s="73">
        <f>+IFERROR(VLOOKUP($A13,'Goals &amp; Budget 2026'!$A$2:$EJ$49,11,FALSE),0)</f>
        <v>0</v>
      </c>
      <c r="AD13" s="84" t="str">
        <f t="shared" si="10"/>
        <v>***</v>
      </c>
      <c r="AE13" s="73"/>
      <c r="AF13" s="73">
        <f>+IFERROR(VLOOKUP($A13,'Goals &amp; Budget 2026'!$A$2:$EJ$49,12,FALSE),0)</f>
        <v>0</v>
      </c>
      <c r="AG13" s="231" t="str">
        <f t="shared" si="11"/>
        <v>***</v>
      </c>
      <c r="AH13" s="73"/>
      <c r="AI13" s="73">
        <f>+IFERROR(VLOOKUP($A13,'Goals &amp; Budget 2026'!$A$2:$EJ$49,13,FALSE),0)</f>
        <v>0</v>
      </c>
      <c r="AJ13" s="84" t="str">
        <f t="shared" si="12"/>
        <v>***</v>
      </c>
      <c r="AK13" s="73"/>
      <c r="AL13" s="73">
        <f>+IFERROR(VLOOKUP($A13,'Goals &amp; Budget 2026'!$A$2:$EJ$49,14,FALSE),0)</f>
        <v>0</v>
      </c>
      <c r="AM13" s="84" t="str">
        <f t="shared" si="13"/>
        <v>***</v>
      </c>
      <c r="AN13" s="73"/>
      <c r="AO13" s="73">
        <f>+IFERROR(VLOOKUP($A13,'Goals &amp; Budget 2026'!$A$2:$EJ$49,15,FALSE),0)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0">
        <f t="shared" si="0"/>
        <v>0</v>
      </c>
      <c r="E14" s="73">
        <f t="shared" si="1"/>
        <v>0</v>
      </c>
      <c r="F14" s="231" t="str">
        <f t="shared" si="2"/>
        <v>***</v>
      </c>
      <c r="G14" s="73"/>
      <c r="H14" s="73">
        <f>+IFERROR(VLOOKUP($A14,'Goals &amp; Budget 2026'!$A$2:$EJ$49,4,FALSE),0)</f>
        <v>0</v>
      </c>
      <c r="I14" s="84" t="str">
        <f t="shared" si="3"/>
        <v>***</v>
      </c>
      <c r="J14" s="73"/>
      <c r="K14" s="73">
        <f>+IFERROR(VLOOKUP($A14,'Goals &amp; Budget 2026'!$A$2:$EJ$49,5,FALSE),0)</f>
        <v>0</v>
      </c>
      <c r="L14" s="84" t="str">
        <f t="shared" si="4"/>
        <v>***</v>
      </c>
      <c r="M14" s="73"/>
      <c r="N14" s="73">
        <f>+IFERROR(VLOOKUP($A14,'Goals &amp; Budget 2026'!$A$2:$EJ$49,6,FALSE),0)</f>
        <v>0</v>
      </c>
      <c r="O14" s="231" t="str">
        <f t="shared" si="5"/>
        <v>***</v>
      </c>
      <c r="P14" s="73"/>
      <c r="Q14" s="73">
        <f>+IFERROR(VLOOKUP($A14,'Goals &amp; Budget 2026'!$A$2:$EJ$49,7,FALSE),0)</f>
        <v>0</v>
      </c>
      <c r="R14" s="84" t="str">
        <f t="shared" si="6"/>
        <v>***</v>
      </c>
      <c r="S14" s="73"/>
      <c r="T14" s="73">
        <f>+IFERROR(VLOOKUP($A14,'Goals &amp; Budget 2026'!$A$2:$EJ$49,8,FALSE),0)</f>
        <v>0</v>
      </c>
      <c r="U14" s="84" t="str">
        <f t="shared" si="7"/>
        <v>***</v>
      </c>
      <c r="V14" s="73"/>
      <c r="W14" s="73">
        <f>+IFERROR(VLOOKUP($A14,'Goals &amp; Budget 2026'!$A$2:$EJ$49,9,FALSE),0)</f>
        <v>0</v>
      </c>
      <c r="X14" s="231" t="str">
        <f t="shared" si="8"/>
        <v>***</v>
      </c>
      <c r="Y14" s="73"/>
      <c r="Z14" s="73">
        <f>+IFERROR(VLOOKUP($A14,'Goals &amp; Budget 2026'!$A$2:$EJ$49,10,FALSE),0)</f>
        <v>0</v>
      </c>
      <c r="AA14" s="84" t="str">
        <f t="shared" si="9"/>
        <v>***</v>
      </c>
      <c r="AB14" s="73"/>
      <c r="AC14" s="73">
        <f>+IFERROR(VLOOKUP($A14,'Goals &amp; Budget 2026'!$A$2:$EJ$49,11,FALSE),0)</f>
        <v>0</v>
      </c>
      <c r="AD14" s="84" t="str">
        <f t="shared" si="10"/>
        <v>***</v>
      </c>
      <c r="AE14" s="73"/>
      <c r="AF14" s="73">
        <f>+IFERROR(VLOOKUP($A14,'Goals &amp; Budget 2026'!$A$2:$EJ$49,12,FALSE),0)</f>
        <v>0</v>
      </c>
      <c r="AG14" s="231" t="str">
        <f t="shared" si="11"/>
        <v>***</v>
      </c>
      <c r="AH14" s="73"/>
      <c r="AI14" s="73">
        <f>+IFERROR(VLOOKUP($A14,'Goals &amp; Budget 2026'!$A$2:$EJ$49,13,FALSE),0)</f>
        <v>0</v>
      </c>
      <c r="AJ14" s="84" t="str">
        <f t="shared" si="12"/>
        <v>***</v>
      </c>
      <c r="AK14" s="73"/>
      <c r="AL14" s="73">
        <f>+IFERROR(VLOOKUP($A14,'Goals &amp; Budget 2026'!$A$2:$EJ$49,14,FALSE),0)</f>
        <v>0</v>
      </c>
      <c r="AM14" s="84" t="str">
        <f t="shared" si="13"/>
        <v>***</v>
      </c>
      <c r="AN14" s="73"/>
      <c r="AO14" s="73">
        <f>+IFERROR(VLOOKUP($A14,'Goals &amp; Budget 2026'!$A$2:$EJ$49,15,FALSE),0)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0">
        <f t="shared" si="0"/>
        <v>0</v>
      </c>
      <c r="E15" s="73">
        <f t="shared" si="1"/>
        <v>0</v>
      </c>
      <c r="F15" s="231" t="str">
        <f t="shared" si="2"/>
        <v>***</v>
      </c>
      <c r="G15" s="73"/>
      <c r="H15" s="73">
        <f>+IFERROR(VLOOKUP($A15,'Goals &amp; Budget 2026'!$A$2:$EJ$49,4,FALSE),0)</f>
        <v>0</v>
      </c>
      <c r="I15" s="84" t="str">
        <f t="shared" si="3"/>
        <v>***</v>
      </c>
      <c r="J15" s="73"/>
      <c r="K15" s="73">
        <f>+IFERROR(VLOOKUP($A15,'Goals &amp; Budget 2026'!$A$2:$EJ$49,5,FALSE),0)</f>
        <v>0</v>
      </c>
      <c r="L15" s="84" t="str">
        <f t="shared" si="4"/>
        <v>***</v>
      </c>
      <c r="M15" s="73"/>
      <c r="N15" s="73">
        <f>+IFERROR(VLOOKUP($A15,'Goals &amp; Budget 2026'!$A$2:$EJ$49,6,FALSE),0)</f>
        <v>0</v>
      </c>
      <c r="O15" s="231" t="str">
        <f t="shared" si="5"/>
        <v>***</v>
      </c>
      <c r="P15" s="73"/>
      <c r="Q15" s="73">
        <f>+IFERROR(VLOOKUP($A15,'Goals &amp; Budget 2026'!$A$2:$EJ$49,7,FALSE),0)</f>
        <v>0</v>
      </c>
      <c r="R15" s="84" t="str">
        <f t="shared" si="6"/>
        <v>***</v>
      </c>
      <c r="S15" s="73"/>
      <c r="T15" s="73">
        <f>+IFERROR(VLOOKUP($A15,'Goals &amp; Budget 2026'!$A$2:$EJ$49,8,FALSE),0)</f>
        <v>0</v>
      </c>
      <c r="U15" s="84" t="str">
        <f t="shared" si="7"/>
        <v>***</v>
      </c>
      <c r="V15" s="73"/>
      <c r="W15" s="73">
        <f>+IFERROR(VLOOKUP($A15,'Goals &amp; Budget 2026'!$A$2:$EJ$49,9,FALSE),0)</f>
        <v>0</v>
      </c>
      <c r="X15" s="231" t="str">
        <f t="shared" si="8"/>
        <v>***</v>
      </c>
      <c r="Y15" s="73"/>
      <c r="Z15" s="73">
        <f>+IFERROR(VLOOKUP($A15,'Goals &amp; Budget 2026'!$A$2:$EJ$49,10,FALSE),0)</f>
        <v>0</v>
      </c>
      <c r="AA15" s="84" t="str">
        <f t="shared" si="9"/>
        <v>***</v>
      </c>
      <c r="AB15" s="73"/>
      <c r="AC15" s="73">
        <f>+IFERROR(VLOOKUP($A15,'Goals &amp; Budget 2026'!$A$2:$EJ$49,11,FALSE),0)</f>
        <v>0</v>
      </c>
      <c r="AD15" s="84" t="str">
        <f t="shared" si="10"/>
        <v>***</v>
      </c>
      <c r="AE15" s="73"/>
      <c r="AF15" s="73">
        <f>+IFERROR(VLOOKUP($A15,'Goals &amp; Budget 2026'!$A$2:$EJ$49,12,FALSE),0)</f>
        <v>0</v>
      </c>
      <c r="AG15" s="231" t="str">
        <f t="shared" si="11"/>
        <v>***</v>
      </c>
      <c r="AH15" s="73"/>
      <c r="AI15" s="73">
        <f>+IFERROR(VLOOKUP($A15,'Goals &amp; Budget 2026'!$A$2:$EJ$49,13,FALSE),0)</f>
        <v>0</v>
      </c>
      <c r="AJ15" s="84" t="str">
        <f t="shared" si="12"/>
        <v>***</v>
      </c>
      <c r="AK15" s="73"/>
      <c r="AL15" s="73">
        <f>+IFERROR(VLOOKUP($A15,'Goals &amp; Budget 2026'!$A$2:$EJ$49,14,FALSE),0)</f>
        <v>0</v>
      </c>
      <c r="AM15" s="84" t="str">
        <f t="shared" si="13"/>
        <v>***</v>
      </c>
      <c r="AN15" s="73"/>
      <c r="AO15" s="73">
        <f>+IFERROR(VLOOKUP($A15,'Goals &amp; Budget 2026'!$A$2:$EJ$49,15,FALSE),0)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0">
        <f t="shared" si="0"/>
        <v>0</v>
      </c>
      <c r="E16" s="73">
        <f t="shared" si="1"/>
        <v>0</v>
      </c>
      <c r="F16" s="231" t="str">
        <f t="shared" si="2"/>
        <v>***</v>
      </c>
      <c r="G16" s="73"/>
      <c r="H16" s="73">
        <f>+IFERROR(VLOOKUP($A16,'Goals &amp; Budget 2026'!$A$2:$EJ$49,4,FALSE),0)</f>
        <v>0</v>
      </c>
      <c r="I16" s="84" t="str">
        <f t="shared" si="3"/>
        <v>***</v>
      </c>
      <c r="J16" s="73"/>
      <c r="K16" s="73">
        <f>+IFERROR(VLOOKUP($A16,'Goals &amp; Budget 2026'!$A$2:$EJ$49,5,FALSE),0)</f>
        <v>0</v>
      </c>
      <c r="L16" s="84" t="str">
        <f t="shared" si="4"/>
        <v>***</v>
      </c>
      <c r="M16" s="73"/>
      <c r="N16" s="73">
        <f>+IFERROR(VLOOKUP($A16,'Goals &amp; Budget 2026'!$A$2:$EJ$49,6,FALSE),0)</f>
        <v>0</v>
      </c>
      <c r="O16" s="231" t="str">
        <f t="shared" si="5"/>
        <v>***</v>
      </c>
      <c r="P16" s="73"/>
      <c r="Q16" s="73">
        <f>+IFERROR(VLOOKUP($A16,'Goals &amp; Budget 2026'!$A$2:$EJ$49,7,FALSE),0)</f>
        <v>0</v>
      </c>
      <c r="R16" s="84" t="str">
        <f t="shared" si="6"/>
        <v>***</v>
      </c>
      <c r="S16" s="73"/>
      <c r="T16" s="73">
        <f>+IFERROR(VLOOKUP($A16,'Goals &amp; Budget 2026'!$A$2:$EJ$49,8,FALSE),0)</f>
        <v>0</v>
      </c>
      <c r="U16" s="84" t="str">
        <f t="shared" si="7"/>
        <v>***</v>
      </c>
      <c r="V16" s="73"/>
      <c r="W16" s="73">
        <f>+IFERROR(VLOOKUP($A16,'Goals &amp; Budget 2026'!$A$2:$EJ$49,9,FALSE),0)</f>
        <v>0</v>
      </c>
      <c r="X16" s="231" t="str">
        <f t="shared" si="8"/>
        <v>***</v>
      </c>
      <c r="Y16" s="73"/>
      <c r="Z16" s="73">
        <f>+IFERROR(VLOOKUP($A16,'Goals &amp; Budget 2026'!$A$2:$EJ$49,10,FALSE),0)</f>
        <v>0</v>
      </c>
      <c r="AA16" s="84" t="str">
        <f t="shared" si="9"/>
        <v>***</v>
      </c>
      <c r="AB16" s="73"/>
      <c r="AC16" s="73">
        <f>+IFERROR(VLOOKUP($A16,'Goals &amp; Budget 2026'!$A$2:$EJ$49,11,FALSE),0)</f>
        <v>0</v>
      </c>
      <c r="AD16" s="84" t="str">
        <f t="shared" si="10"/>
        <v>***</v>
      </c>
      <c r="AE16" s="73"/>
      <c r="AF16" s="73">
        <f>+IFERROR(VLOOKUP($A16,'Goals &amp; Budget 2026'!$A$2:$EJ$49,12,FALSE),0)</f>
        <v>0</v>
      </c>
      <c r="AG16" s="231" t="str">
        <f t="shared" si="11"/>
        <v>***</v>
      </c>
      <c r="AH16" s="73"/>
      <c r="AI16" s="73">
        <f>+IFERROR(VLOOKUP($A16,'Goals &amp; Budget 2026'!$A$2:$EJ$49,13,FALSE),0)</f>
        <v>0</v>
      </c>
      <c r="AJ16" s="84" t="str">
        <f t="shared" si="12"/>
        <v>***</v>
      </c>
      <c r="AK16" s="73"/>
      <c r="AL16" s="73">
        <f>+IFERROR(VLOOKUP($A16,'Goals &amp; Budget 2026'!$A$2:$EJ$49,14,FALSE),0)</f>
        <v>0</v>
      </c>
      <c r="AM16" s="84" t="str">
        <f t="shared" si="13"/>
        <v>***</v>
      </c>
      <c r="AN16" s="73"/>
      <c r="AO16" s="73">
        <f>+IFERROR(VLOOKUP($A16,'Goals &amp; Budget 2026'!$A$2:$EJ$49,15,FALSE),0)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0">
        <f t="shared" si="0"/>
        <v>0</v>
      </c>
      <c r="E17" s="73">
        <f t="shared" si="1"/>
        <v>0</v>
      </c>
      <c r="F17" s="231" t="str">
        <f t="shared" si="2"/>
        <v>***</v>
      </c>
      <c r="G17" s="73"/>
      <c r="H17" s="73">
        <f>+IFERROR(VLOOKUP($A17,'Goals &amp; Budget 2026'!$A$2:$EJ$49,4,FALSE),0)</f>
        <v>0</v>
      </c>
      <c r="I17" s="84" t="str">
        <f t="shared" si="3"/>
        <v>***</v>
      </c>
      <c r="J17" s="73"/>
      <c r="K17" s="73">
        <f>+IFERROR(VLOOKUP($A17,'Goals &amp; Budget 2026'!$A$2:$EJ$49,5,FALSE),0)</f>
        <v>0</v>
      </c>
      <c r="L17" s="84" t="str">
        <f t="shared" si="4"/>
        <v>***</v>
      </c>
      <c r="M17" s="73"/>
      <c r="N17" s="73">
        <f>+IFERROR(VLOOKUP($A17,'Goals &amp; Budget 2026'!$A$2:$EJ$49,6,FALSE),0)</f>
        <v>0</v>
      </c>
      <c r="O17" s="231" t="str">
        <f t="shared" si="5"/>
        <v>***</v>
      </c>
      <c r="P17" s="73"/>
      <c r="Q17" s="73">
        <f>+IFERROR(VLOOKUP($A17,'Goals &amp; Budget 2026'!$A$2:$EJ$49,7,FALSE),0)</f>
        <v>0</v>
      </c>
      <c r="R17" s="84" t="str">
        <f t="shared" si="6"/>
        <v>***</v>
      </c>
      <c r="S17" s="73"/>
      <c r="T17" s="73">
        <f>+IFERROR(VLOOKUP($A17,'Goals &amp; Budget 2026'!$A$2:$EJ$49,8,FALSE),0)</f>
        <v>0</v>
      </c>
      <c r="U17" s="84" t="str">
        <f t="shared" si="7"/>
        <v>***</v>
      </c>
      <c r="V17" s="73"/>
      <c r="W17" s="73">
        <f>+IFERROR(VLOOKUP($A17,'Goals &amp; Budget 2026'!$A$2:$EJ$49,9,FALSE),0)</f>
        <v>0</v>
      </c>
      <c r="X17" s="231" t="str">
        <f t="shared" si="8"/>
        <v>***</v>
      </c>
      <c r="Y17" s="73"/>
      <c r="Z17" s="73">
        <f>+IFERROR(VLOOKUP($A17,'Goals &amp; Budget 2026'!$A$2:$EJ$49,10,FALSE),0)</f>
        <v>0</v>
      </c>
      <c r="AA17" s="84" t="str">
        <f t="shared" si="9"/>
        <v>***</v>
      </c>
      <c r="AB17" s="73"/>
      <c r="AC17" s="73">
        <f>+IFERROR(VLOOKUP($A17,'Goals &amp; Budget 2026'!$A$2:$EJ$49,11,FALSE),0)</f>
        <v>0</v>
      </c>
      <c r="AD17" s="84" t="str">
        <f t="shared" si="10"/>
        <v>***</v>
      </c>
      <c r="AE17" s="73"/>
      <c r="AF17" s="73">
        <f>+IFERROR(VLOOKUP($A17,'Goals &amp; Budget 2026'!$A$2:$EJ$49,12,FALSE),0)</f>
        <v>0</v>
      </c>
      <c r="AG17" s="231" t="str">
        <f t="shared" si="11"/>
        <v>***</v>
      </c>
      <c r="AH17" s="73"/>
      <c r="AI17" s="73">
        <f>+IFERROR(VLOOKUP($A17,'Goals &amp; Budget 2026'!$A$2:$EJ$49,13,FALSE),0)</f>
        <v>0</v>
      </c>
      <c r="AJ17" s="84" t="str">
        <f t="shared" si="12"/>
        <v>***</v>
      </c>
      <c r="AK17" s="73"/>
      <c r="AL17" s="73">
        <f>+IFERROR(VLOOKUP($A17,'Goals &amp; Budget 2026'!$A$2:$EJ$49,14,FALSE),0)</f>
        <v>0</v>
      </c>
      <c r="AM17" s="84" t="str">
        <f t="shared" si="13"/>
        <v>***</v>
      </c>
      <c r="AN17" s="73"/>
      <c r="AO17" s="73">
        <f>+IFERROR(VLOOKUP($A17,'Goals &amp; Budget 2026'!$A$2:$EJ$49,15,FALSE),0)</f>
        <v>0</v>
      </c>
      <c r="AP17" s="85" t="str">
        <f t="shared" si="14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0">
        <f t="shared" si="0"/>
        <v>0</v>
      </c>
      <c r="E18" s="73">
        <f t="shared" si="1"/>
        <v>0</v>
      </c>
      <c r="F18" s="231" t="str">
        <f t="shared" si="2"/>
        <v>***</v>
      </c>
      <c r="G18" s="73"/>
      <c r="H18" s="73">
        <f>+IFERROR(VLOOKUP($A18,'Goals &amp; Budget 2026'!$A$2:$EJ$49,4,FALSE),0)</f>
        <v>0</v>
      </c>
      <c r="I18" s="84" t="str">
        <f t="shared" si="3"/>
        <v>***</v>
      </c>
      <c r="J18" s="73"/>
      <c r="K18" s="73">
        <f>+IFERROR(VLOOKUP($A18,'Goals &amp; Budget 2026'!$A$2:$EJ$49,5,FALSE),0)</f>
        <v>0</v>
      </c>
      <c r="L18" s="84" t="str">
        <f t="shared" si="4"/>
        <v>***</v>
      </c>
      <c r="M18" s="73"/>
      <c r="N18" s="73">
        <f>+IFERROR(VLOOKUP($A18,'Goals &amp; Budget 2026'!$A$2:$EJ$49,6,FALSE),0)</f>
        <v>0</v>
      </c>
      <c r="O18" s="231" t="str">
        <f t="shared" si="5"/>
        <v>***</v>
      </c>
      <c r="P18" s="73"/>
      <c r="Q18" s="73">
        <f>+IFERROR(VLOOKUP($A18,'Goals &amp; Budget 2026'!$A$2:$EJ$49,7,FALSE),0)</f>
        <v>0</v>
      </c>
      <c r="R18" s="84" t="str">
        <f t="shared" si="6"/>
        <v>***</v>
      </c>
      <c r="S18" s="73"/>
      <c r="T18" s="73">
        <f>+IFERROR(VLOOKUP($A18,'Goals &amp; Budget 2026'!$A$2:$EJ$49,8,FALSE),0)</f>
        <v>0</v>
      </c>
      <c r="U18" s="84" t="str">
        <f t="shared" si="7"/>
        <v>***</v>
      </c>
      <c r="V18" s="73"/>
      <c r="W18" s="73">
        <f>+IFERROR(VLOOKUP($A18,'Goals &amp; Budget 2026'!$A$2:$EJ$49,9,FALSE),0)</f>
        <v>0</v>
      </c>
      <c r="X18" s="231" t="str">
        <f t="shared" si="8"/>
        <v>***</v>
      </c>
      <c r="Y18" s="73"/>
      <c r="Z18" s="73">
        <f>+IFERROR(VLOOKUP($A18,'Goals &amp; Budget 2026'!$A$2:$EJ$49,10,FALSE),0)</f>
        <v>0</v>
      </c>
      <c r="AA18" s="84" t="str">
        <f t="shared" si="9"/>
        <v>***</v>
      </c>
      <c r="AB18" s="73"/>
      <c r="AC18" s="73">
        <f>+IFERROR(VLOOKUP($A18,'Goals &amp; Budget 2026'!$A$2:$EJ$49,11,FALSE),0)</f>
        <v>0</v>
      </c>
      <c r="AD18" s="84" t="str">
        <f t="shared" si="10"/>
        <v>***</v>
      </c>
      <c r="AE18" s="73"/>
      <c r="AF18" s="73">
        <f>+IFERROR(VLOOKUP($A18,'Goals &amp; Budget 2026'!$A$2:$EJ$49,12,FALSE),0)</f>
        <v>0</v>
      </c>
      <c r="AG18" s="231" t="str">
        <f t="shared" si="11"/>
        <v>***</v>
      </c>
      <c r="AH18" s="73"/>
      <c r="AI18" s="73">
        <f>+IFERROR(VLOOKUP($A18,'Goals &amp; Budget 2026'!$A$2:$EJ$49,13,FALSE),0)</f>
        <v>0</v>
      </c>
      <c r="AJ18" s="84" t="str">
        <f t="shared" si="12"/>
        <v>***</v>
      </c>
      <c r="AK18" s="73"/>
      <c r="AL18" s="73">
        <f>+IFERROR(VLOOKUP($A18,'Goals &amp; Budget 2026'!$A$2:$EJ$49,14,FALSE),0)</f>
        <v>0</v>
      </c>
      <c r="AM18" s="84" t="str">
        <f t="shared" si="13"/>
        <v>***</v>
      </c>
      <c r="AN18" s="73"/>
      <c r="AO18" s="73">
        <f>+IFERROR(VLOOKUP($A18,'Goals &amp; Budget 2026'!$A$2:$EJ$49,15,FALSE),0)</f>
        <v>0</v>
      </c>
      <c r="AP18" s="85" t="str">
        <f t="shared" si="14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0">
        <f t="shared" si="0"/>
        <v>0</v>
      </c>
      <c r="E19" s="73">
        <f t="shared" si="1"/>
        <v>0</v>
      </c>
      <c r="F19" s="231" t="str">
        <f t="shared" si="2"/>
        <v>***</v>
      </c>
      <c r="G19" s="73"/>
      <c r="H19" s="73">
        <f>+IFERROR(VLOOKUP($A19,'Goals &amp; Budget 2026'!$A$2:$EJ$49,4,FALSE),0)</f>
        <v>0</v>
      </c>
      <c r="I19" s="84" t="str">
        <f t="shared" si="3"/>
        <v>***</v>
      </c>
      <c r="J19" s="73"/>
      <c r="K19" s="73">
        <f>+IFERROR(VLOOKUP($A19,'Goals &amp; Budget 2026'!$A$2:$EJ$49,5,FALSE),0)</f>
        <v>0</v>
      </c>
      <c r="L19" s="84" t="str">
        <f t="shared" si="4"/>
        <v>***</v>
      </c>
      <c r="M19" s="73"/>
      <c r="N19" s="73">
        <f>+IFERROR(VLOOKUP($A19,'Goals &amp; Budget 2026'!$A$2:$EJ$49,6,FALSE),0)</f>
        <v>0</v>
      </c>
      <c r="O19" s="231" t="str">
        <f t="shared" si="5"/>
        <v>***</v>
      </c>
      <c r="P19" s="73"/>
      <c r="Q19" s="73">
        <f>+IFERROR(VLOOKUP($A19,'Goals &amp; Budget 2026'!$A$2:$EJ$49,7,FALSE),0)</f>
        <v>0</v>
      </c>
      <c r="R19" s="84" t="str">
        <f t="shared" si="6"/>
        <v>***</v>
      </c>
      <c r="S19" s="73"/>
      <c r="T19" s="73">
        <f>+IFERROR(VLOOKUP($A19,'Goals &amp; Budget 2026'!$A$2:$EJ$49,8,FALSE),0)</f>
        <v>0</v>
      </c>
      <c r="U19" s="84" t="str">
        <f t="shared" si="7"/>
        <v>***</v>
      </c>
      <c r="V19" s="73"/>
      <c r="W19" s="73">
        <f>+IFERROR(VLOOKUP($A19,'Goals &amp; Budget 2026'!$A$2:$EJ$49,9,FALSE),0)</f>
        <v>0</v>
      </c>
      <c r="X19" s="231" t="str">
        <f t="shared" si="8"/>
        <v>***</v>
      </c>
      <c r="Y19" s="73"/>
      <c r="Z19" s="73">
        <f>+IFERROR(VLOOKUP($A19,'Goals &amp; Budget 2026'!$A$2:$EJ$49,10,FALSE),0)</f>
        <v>0</v>
      </c>
      <c r="AA19" s="84" t="str">
        <f t="shared" si="9"/>
        <v>***</v>
      </c>
      <c r="AB19" s="73"/>
      <c r="AC19" s="73">
        <f>+IFERROR(VLOOKUP($A19,'Goals &amp; Budget 2026'!$A$2:$EJ$49,11,FALSE),0)</f>
        <v>0</v>
      </c>
      <c r="AD19" s="84" t="str">
        <f t="shared" si="10"/>
        <v>***</v>
      </c>
      <c r="AE19" s="73"/>
      <c r="AF19" s="73">
        <f>+IFERROR(VLOOKUP($A19,'Goals &amp; Budget 2026'!$A$2:$EJ$49,12,FALSE),0)</f>
        <v>0</v>
      </c>
      <c r="AG19" s="231" t="str">
        <f t="shared" si="11"/>
        <v>***</v>
      </c>
      <c r="AH19" s="73"/>
      <c r="AI19" s="73">
        <f>+IFERROR(VLOOKUP($A19,'Goals &amp; Budget 2026'!$A$2:$EJ$49,13,FALSE),0)</f>
        <v>0</v>
      </c>
      <c r="AJ19" s="84" t="str">
        <f t="shared" si="12"/>
        <v>***</v>
      </c>
      <c r="AK19" s="73"/>
      <c r="AL19" s="73">
        <f>+IFERROR(VLOOKUP($A19,'Goals &amp; Budget 2026'!$A$2:$EJ$49,14,FALSE),0)</f>
        <v>0</v>
      </c>
      <c r="AM19" s="84" t="str">
        <f t="shared" si="13"/>
        <v>***</v>
      </c>
      <c r="AN19" s="73"/>
      <c r="AO19" s="73">
        <f>+IFERROR(VLOOKUP($A19,'Goals &amp; Budget 2026'!$A$2:$EJ$49,15,FALSE),0)</f>
        <v>0</v>
      </c>
      <c r="AP19" s="85" t="str">
        <f t="shared" si="14"/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0">
        <f t="shared" si="0"/>
        <v>0</v>
      </c>
      <c r="E20" s="73">
        <f t="shared" si="1"/>
        <v>0</v>
      </c>
      <c r="F20" s="231" t="str">
        <f t="shared" si="2"/>
        <v>***</v>
      </c>
      <c r="G20" s="73"/>
      <c r="H20" s="73">
        <f>+IFERROR(VLOOKUP($A20,'Goals &amp; Budget 2026'!$A$2:$EJ$49,4,FALSE),0)</f>
        <v>0</v>
      </c>
      <c r="I20" s="84" t="str">
        <f t="shared" si="3"/>
        <v>***</v>
      </c>
      <c r="J20" s="73"/>
      <c r="K20" s="73">
        <f>+IFERROR(VLOOKUP($A20,'Goals &amp; Budget 2026'!$A$2:$EJ$49,5,FALSE),0)</f>
        <v>0</v>
      </c>
      <c r="L20" s="84" t="str">
        <f t="shared" si="4"/>
        <v>***</v>
      </c>
      <c r="M20" s="73"/>
      <c r="N20" s="73">
        <f>+IFERROR(VLOOKUP($A20,'Goals &amp; Budget 2026'!$A$2:$EJ$49,6,FALSE),0)</f>
        <v>0</v>
      </c>
      <c r="O20" s="231" t="str">
        <f t="shared" si="5"/>
        <v>***</v>
      </c>
      <c r="P20" s="73"/>
      <c r="Q20" s="73">
        <f>+IFERROR(VLOOKUP($A20,'Goals &amp; Budget 2026'!$A$2:$EJ$49,7,FALSE),0)</f>
        <v>0</v>
      </c>
      <c r="R20" s="84" t="str">
        <f t="shared" si="6"/>
        <v>***</v>
      </c>
      <c r="S20" s="73"/>
      <c r="T20" s="73">
        <f>+IFERROR(VLOOKUP($A20,'Goals &amp; Budget 2026'!$A$2:$EJ$49,8,FALSE),0)</f>
        <v>0</v>
      </c>
      <c r="U20" s="84" t="str">
        <f t="shared" si="7"/>
        <v>***</v>
      </c>
      <c r="V20" s="73"/>
      <c r="W20" s="73">
        <f>+IFERROR(VLOOKUP($A20,'Goals &amp; Budget 2026'!$A$2:$EJ$49,9,FALSE),0)</f>
        <v>0</v>
      </c>
      <c r="X20" s="231" t="str">
        <f t="shared" si="8"/>
        <v>***</v>
      </c>
      <c r="Y20" s="73"/>
      <c r="Z20" s="73">
        <f>+IFERROR(VLOOKUP($A20,'Goals &amp; Budget 2026'!$A$2:$EJ$49,10,FALSE),0)</f>
        <v>0</v>
      </c>
      <c r="AA20" s="84" t="str">
        <f t="shared" si="9"/>
        <v>***</v>
      </c>
      <c r="AB20" s="73"/>
      <c r="AC20" s="73">
        <f>+IFERROR(VLOOKUP($A20,'Goals &amp; Budget 2026'!$A$2:$EJ$49,11,FALSE),0)</f>
        <v>0</v>
      </c>
      <c r="AD20" s="84" t="str">
        <f t="shared" si="10"/>
        <v>***</v>
      </c>
      <c r="AE20" s="73"/>
      <c r="AF20" s="73">
        <f>+IFERROR(VLOOKUP($A20,'Goals &amp; Budget 2026'!$A$2:$EJ$49,12,FALSE),0)</f>
        <v>0</v>
      </c>
      <c r="AG20" s="231" t="str">
        <f t="shared" si="11"/>
        <v>***</v>
      </c>
      <c r="AH20" s="73"/>
      <c r="AI20" s="73">
        <f>+IFERROR(VLOOKUP($A20,'Goals &amp; Budget 2026'!$A$2:$EJ$49,13,FALSE),0)</f>
        <v>0</v>
      </c>
      <c r="AJ20" s="84" t="str">
        <f t="shared" si="12"/>
        <v>***</v>
      </c>
      <c r="AK20" s="73"/>
      <c r="AL20" s="73">
        <f>+IFERROR(VLOOKUP($A20,'Goals &amp; Budget 2026'!$A$2:$EJ$49,14,FALSE),0)</f>
        <v>0</v>
      </c>
      <c r="AM20" s="84" t="str">
        <f t="shared" si="13"/>
        <v>***</v>
      </c>
      <c r="AN20" s="73"/>
      <c r="AO20" s="73">
        <f>+IFERROR(VLOOKUP($A20,'Goals &amp; Budget 2026'!$A$2:$EJ$49,15,FALSE),0)</f>
        <v>0</v>
      </c>
      <c r="AP20" s="85" t="str">
        <f t="shared" si="14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0">
        <f t="shared" si="0"/>
        <v>0</v>
      </c>
      <c r="E21" s="73">
        <f t="shared" si="1"/>
        <v>0</v>
      </c>
      <c r="F21" s="231" t="str">
        <f t="shared" si="2"/>
        <v>***</v>
      </c>
      <c r="G21" s="73"/>
      <c r="H21" s="73">
        <f>+IFERROR(VLOOKUP($A21,'Goals &amp; Budget 2026'!$A$2:$EJ$49,4,FALSE),0)</f>
        <v>0</v>
      </c>
      <c r="I21" s="84" t="str">
        <f t="shared" si="3"/>
        <v>***</v>
      </c>
      <c r="J21" s="73"/>
      <c r="K21" s="73">
        <f>+IFERROR(VLOOKUP($A21,'Goals &amp; Budget 2026'!$A$2:$EJ$49,5,FALSE),0)</f>
        <v>0</v>
      </c>
      <c r="L21" s="84" t="str">
        <f t="shared" si="4"/>
        <v>***</v>
      </c>
      <c r="M21" s="73"/>
      <c r="N21" s="73">
        <f>+IFERROR(VLOOKUP($A21,'Goals &amp; Budget 2026'!$A$2:$EJ$49,6,FALSE),0)</f>
        <v>0</v>
      </c>
      <c r="O21" s="231" t="str">
        <f t="shared" si="5"/>
        <v>***</v>
      </c>
      <c r="P21" s="73"/>
      <c r="Q21" s="73">
        <f>+IFERROR(VLOOKUP($A21,'Goals &amp; Budget 2026'!$A$2:$EJ$49,7,FALSE),0)</f>
        <v>0</v>
      </c>
      <c r="R21" s="84" t="str">
        <f t="shared" si="6"/>
        <v>***</v>
      </c>
      <c r="S21" s="73"/>
      <c r="T21" s="73">
        <f>+IFERROR(VLOOKUP($A21,'Goals &amp; Budget 2026'!$A$2:$EJ$49,8,FALSE),0)</f>
        <v>0</v>
      </c>
      <c r="U21" s="84" t="str">
        <f t="shared" si="7"/>
        <v>***</v>
      </c>
      <c r="V21" s="73"/>
      <c r="W21" s="73">
        <f>+IFERROR(VLOOKUP($A21,'Goals &amp; Budget 2026'!$A$2:$EJ$49,9,FALSE),0)</f>
        <v>0</v>
      </c>
      <c r="X21" s="231" t="str">
        <f t="shared" si="8"/>
        <v>***</v>
      </c>
      <c r="Y21" s="73"/>
      <c r="Z21" s="73">
        <f>+IFERROR(VLOOKUP($A21,'Goals &amp; Budget 2026'!$A$2:$EJ$49,10,FALSE),0)</f>
        <v>0</v>
      </c>
      <c r="AA21" s="84" t="str">
        <f t="shared" si="9"/>
        <v>***</v>
      </c>
      <c r="AB21" s="73"/>
      <c r="AC21" s="73">
        <f>+IFERROR(VLOOKUP($A21,'Goals &amp; Budget 2026'!$A$2:$EJ$49,11,FALSE),0)</f>
        <v>0</v>
      </c>
      <c r="AD21" s="84" t="str">
        <f t="shared" si="10"/>
        <v>***</v>
      </c>
      <c r="AE21" s="73"/>
      <c r="AF21" s="73">
        <f>+IFERROR(VLOOKUP($A21,'Goals &amp; Budget 2026'!$A$2:$EJ$49,12,FALSE),0)</f>
        <v>0</v>
      </c>
      <c r="AG21" s="231" t="str">
        <f t="shared" si="11"/>
        <v>***</v>
      </c>
      <c r="AH21" s="73"/>
      <c r="AI21" s="73">
        <f>+IFERROR(VLOOKUP($A21,'Goals &amp; Budget 2026'!$A$2:$EJ$49,13,FALSE),0)</f>
        <v>0</v>
      </c>
      <c r="AJ21" s="84" t="str">
        <f t="shared" si="12"/>
        <v>***</v>
      </c>
      <c r="AK21" s="73"/>
      <c r="AL21" s="73">
        <f>+IFERROR(VLOOKUP($A21,'Goals &amp; Budget 2026'!$A$2:$EJ$49,14,FALSE),0)</f>
        <v>0</v>
      </c>
      <c r="AM21" s="84" t="str">
        <f t="shared" si="13"/>
        <v>***</v>
      </c>
      <c r="AN21" s="73"/>
      <c r="AO21" s="73">
        <f>+IFERROR(VLOOKUP($A21,'Goals &amp; Budget 2026'!$A$2:$EJ$49,15,FALSE),0)</f>
        <v>0</v>
      </c>
      <c r="AP21" s="85" t="str">
        <f t="shared" si="14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0">
        <f t="shared" ref="D22:D47" si="15">+G22</f>
        <v>0</v>
      </c>
      <c r="E22" s="73">
        <f t="shared" ref="E22:E47" si="16">+H22</f>
        <v>0</v>
      </c>
      <c r="F22" s="231" t="str">
        <f t="shared" ref="F22:F47" si="17">IF(AND(D22&gt;0,E22&gt;0),D22/E22,IF(AND(D22&gt;0,E22=0),100%,IF(AND(D22=0,E22&gt;0),0,IF(AND(D22=0,E22=0),"***",0))))</f>
        <v>***</v>
      </c>
      <c r="G22" s="73"/>
      <c r="H22" s="73">
        <f>+IFERROR(VLOOKUP($A22,'Goals &amp; Budget 2026'!$A$2:$EJ$49,4,FALSE),0)</f>
        <v>0</v>
      </c>
      <c r="I22" s="84" t="str">
        <f t="shared" ref="I22:I47" si="18">IF(AND(G22&gt;0,H22&gt;0),G22/H22,IF(AND(G22&gt;0,H22=0),100%,IF(AND(G22=0,H22&gt;0),0,IF(AND(G22=0,H22=0),"***",0))))</f>
        <v>***</v>
      </c>
      <c r="J22" s="73"/>
      <c r="K22" s="73">
        <f>+IFERROR(VLOOKUP($A22,'Goals &amp; Budget 2026'!$A$2:$EJ$49,5,FALSE),0)</f>
        <v>0</v>
      </c>
      <c r="L22" s="84" t="str">
        <f t="shared" ref="L22:L47" si="19">IF(AND(J22&gt;0,K22&gt;0),J22/K22,IF(AND(J22&gt;0,K22=0),100%,IF(AND(J22=0,K22&gt;0),0,IF(AND(J22=0,K22=0),"***",0))))</f>
        <v>***</v>
      </c>
      <c r="M22" s="73"/>
      <c r="N22" s="73">
        <f>+IFERROR(VLOOKUP($A22,'Goals &amp; Budget 2026'!$A$2:$EJ$49,6,FALSE),0)</f>
        <v>0</v>
      </c>
      <c r="O22" s="231" t="str">
        <f t="shared" ref="O22:O47" si="20">IF(AND(M22&gt;0,N22&gt;0),M22/N22,IF(AND(M22&gt;0,N22=0),100%,IF(AND(M22=0,N22&gt;0),0,IF(AND(M22=0,N22=0),"***",0))))</f>
        <v>***</v>
      </c>
      <c r="P22" s="73"/>
      <c r="Q22" s="73">
        <f>+IFERROR(VLOOKUP($A22,'Goals &amp; Budget 2026'!$A$2:$EJ$49,7,FALSE),0)</f>
        <v>0</v>
      </c>
      <c r="R22" s="84" t="str">
        <f t="shared" ref="R22:R47" si="21">IF(AND(P22&gt;0,Q22&gt;0),P22/Q22,IF(AND(P22&gt;0,Q22=0),100%,IF(AND(P22=0,Q22&gt;0),0,IF(AND(P22=0,Q22=0),"***",0))))</f>
        <v>***</v>
      </c>
      <c r="S22" s="73"/>
      <c r="T22" s="73">
        <f>+IFERROR(VLOOKUP($A22,'Goals &amp; Budget 2026'!$A$2:$EJ$49,8,FALSE),0)</f>
        <v>0</v>
      </c>
      <c r="U22" s="84" t="str">
        <f t="shared" ref="U22:U47" si="22">IF(AND(S22&gt;0,T22&gt;0),S22/T22,IF(AND(S22&gt;0,T22=0),100%,IF(AND(S22=0,T22&gt;0),0,IF(AND(S22=0,T22=0),"***",0))))</f>
        <v>***</v>
      </c>
      <c r="V22" s="73"/>
      <c r="W22" s="73">
        <f>+IFERROR(VLOOKUP($A22,'Goals &amp; Budget 2026'!$A$2:$EJ$49,9,FALSE),0)</f>
        <v>0</v>
      </c>
      <c r="X22" s="231" t="str">
        <f t="shared" ref="X22:X47" si="23">IF(AND(V22&gt;0,W22&gt;0),V22/W22,IF(AND(V22&gt;0,W22=0),100%,IF(AND(V22=0,W22&gt;0),0,IF(AND(V22=0,W22=0),"***",0))))</f>
        <v>***</v>
      </c>
      <c r="Y22" s="73"/>
      <c r="Z22" s="73">
        <f>+IFERROR(VLOOKUP($A22,'Goals &amp; Budget 2026'!$A$2:$EJ$49,10,FALSE),0)</f>
        <v>0</v>
      </c>
      <c r="AA22" s="84" t="str">
        <f t="shared" ref="AA22:AA47" si="24">IF(AND(Y22&gt;0,Z22&gt;0),Y22/Z22,IF(AND(Y22&gt;0,Z22=0),100%,IF(AND(Y22=0,Z22&gt;0),0,IF(AND(Y22=0,Z22=0),"***",0))))</f>
        <v>***</v>
      </c>
      <c r="AB22" s="73"/>
      <c r="AC22" s="73">
        <f>+IFERROR(VLOOKUP($A22,'Goals &amp; Budget 2026'!$A$2:$EJ$49,11,FALSE),0)</f>
        <v>0</v>
      </c>
      <c r="AD22" s="84" t="str">
        <f t="shared" ref="AD22:AD47" si="25">IF(AND(AB22&gt;0,AC22&gt;0),AB22/AC22,IF(AND(AB22&gt;0,AC22=0),100%,IF(AND(AB22=0,AC22&gt;0),0,IF(AND(AB22=0,AC22=0),"***",0))))</f>
        <v>***</v>
      </c>
      <c r="AE22" s="73"/>
      <c r="AF22" s="73">
        <f>+IFERROR(VLOOKUP($A22,'Goals &amp; Budget 2026'!$A$2:$EJ$49,12,FALSE),0)</f>
        <v>0</v>
      </c>
      <c r="AG22" s="231" t="str">
        <f t="shared" ref="AG22:AG47" si="26">IF(AND(AE22&gt;0,AF22&gt;0),AE22/AF22,IF(AND(AE22&gt;0,AF22=0),100%,IF(AND(AE22=0,AF22&gt;0),0,IF(AND(AE22=0,AF22=0),"***",0))))</f>
        <v>***</v>
      </c>
      <c r="AH22" s="73"/>
      <c r="AI22" s="73">
        <f>+IFERROR(VLOOKUP($A22,'Goals &amp; Budget 2026'!$A$2:$EJ$49,13,FALSE),0)</f>
        <v>0</v>
      </c>
      <c r="AJ22" s="84" t="str">
        <f t="shared" ref="AJ22:AJ47" si="27">IF(AND(AH22&gt;0,AI22&gt;0),AH22/AI22,IF(AND(AH22&gt;0,AI22=0),100%,IF(AND(AH22=0,AI22&gt;0),0,IF(AND(AH22=0,AI22=0),"***",0))))</f>
        <v>***</v>
      </c>
      <c r="AK22" s="73"/>
      <c r="AL22" s="73">
        <f>+IFERROR(VLOOKUP($A22,'Goals &amp; Budget 2026'!$A$2:$EJ$49,14,FALSE),0)</f>
        <v>0</v>
      </c>
      <c r="AM22" s="84" t="str">
        <f t="shared" ref="AM22:AM47" si="28">IF(AND(AK22&gt;0,AL22&gt;0),AK22/AL22,IF(AND(AK22&gt;0,AL22=0),100%,IF(AND(AK22=0,AL22&gt;0),0,IF(AND(AK22=0,AL22=0),"***",0))))</f>
        <v>***</v>
      </c>
      <c r="AN22" s="73"/>
      <c r="AO22" s="73">
        <f>+IFERROR(VLOOKUP($A22,'Goals &amp; Budget 2026'!$A$2:$EJ$49,15,FALSE),0)</f>
        <v>0</v>
      </c>
      <c r="AP22" s="85" t="str">
        <f t="shared" ref="AP22:AP47" si="29">IF(AND(AN22&gt;0,AO22&gt;0),AN22/AO22,IF(AND(AN22&gt;0,AO22=0),100%,IF(AND(AN22=0,AO22&gt;0),0,IF(AND(AN22=0,AO22=0),"***",0))))</f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0">
        <f t="shared" si="15"/>
        <v>0</v>
      </c>
      <c r="E23" s="73">
        <f t="shared" si="16"/>
        <v>0</v>
      </c>
      <c r="F23" s="231" t="str">
        <f t="shared" si="17"/>
        <v>***</v>
      </c>
      <c r="G23" s="73"/>
      <c r="H23" s="73">
        <f>+IFERROR(VLOOKUP($A23,'Goals &amp; Budget 2026'!$A$2:$EJ$49,4,FALSE),0)</f>
        <v>0</v>
      </c>
      <c r="I23" s="84" t="str">
        <f t="shared" si="18"/>
        <v>***</v>
      </c>
      <c r="J23" s="73"/>
      <c r="K23" s="73">
        <f>+IFERROR(VLOOKUP($A23,'Goals &amp; Budget 2026'!$A$2:$EJ$49,5,FALSE),0)</f>
        <v>0</v>
      </c>
      <c r="L23" s="84" t="str">
        <f t="shared" si="19"/>
        <v>***</v>
      </c>
      <c r="M23" s="73"/>
      <c r="N23" s="73">
        <f>+IFERROR(VLOOKUP($A23,'Goals &amp; Budget 2026'!$A$2:$EJ$49,6,FALSE),0)</f>
        <v>0</v>
      </c>
      <c r="O23" s="231" t="str">
        <f t="shared" si="20"/>
        <v>***</v>
      </c>
      <c r="P23" s="73"/>
      <c r="Q23" s="73">
        <f>+IFERROR(VLOOKUP($A23,'Goals &amp; Budget 2026'!$A$2:$EJ$49,7,FALSE),0)</f>
        <v>0</v>
      </c>
      <c r="R23" s="84" t="str">
        <f t="shared" si="21"/>
        <v>***</v>
      </c>
      <c r="S23" s="73"/>
      <c r="T23" s="73">
        <f>+IFERROR(VLOOKUP($A23,'Goals &amp; Budget 2026'!$A$2:$EJ$49,8,FALSE),0)</f>
        <v>0</v>
      </c>
      <c r="U23" s="84" t="str">
        <f t="shared" si="22"/>
        <v>***</v>
      </c>
      <c r="V23" s="73"/>
      <c r="W23" s="73">
        <f>+IFERROR(VLOOKUP($A23,'Goals &amp; Budget 2026'!$A$2:$EJ$49,9,FALSE),0)</f>
        <v>0</v>
      </c>
      <c r="X23" s="231" t="str">
        <f t="shared" si="23"/>
        <v>***</v>
      </c>
      <c r="Y23" s="73"/>
      <c r="Z23" s="73">
        <f>+IFERROR(VLOOKUP($A23,'Goals &amp; Budget 2026'!$A$2:$EJ$49,10,FALSE),0)</f>
        <v>0</v>
      </c>
      <c r="AA23" s="84" t="str">
        <f t="shared" si="24"/>
        <v>***</v>
      </c>
      <c r="AB23" s="73"/>
      <c r="AC23" s="73">
        <f>+IFERROR(VLOOKUP($A23,'Goals &amp; Budget 2026'!$A$2:$EJ$49,11,FALSE),0)</f>
        <v>0</v>
      </c>
      <c r="AD23" s="84" t="str">
        <f t="shared" si="25"/>
        <v>***</v>
      </c>
      <c r="AE23" s="73"/>
      <c r="AF23" s="73">
        <f>+IFERROR(VLOOKUP($A23,'Goals &amp; Budget 2026'!$A$2:$EJ$49,12,FALSE),0)</f>
        <v>0</v>
      </c>
      <c r="AG23" s="231" t="str">
        <f t="shared" si="26"/>
        <v>***</v>
      </c>
      <c r="AH23" s="73"/>
      <c r="AI23" s="73">
        <f>+IFERROR(VLOOKUP($A23,'Goals &amp; Budget 2026'!$A$2:$EJ$49,13,FALSE),0)</f>
        <v>0</v>
      </c>
      <c r="AJ23" s="84" t="str">
        <f t="shared" si="27"/>
        <v>***</v>
      </c>
      <c r="AK23" s="73"/>
      <c r="AL23" s="73">
        <f>+IFERROR(VLOOKUP($A23,'Goals &amp; Budget 2026'!$A$2:$EJ$49,14,FALSE),0)</f>
        <v>0</v>
      </c>
      <c r="AM23" s="84" t="str">
        <f t="shared" si="28"/>
        <v>***</v>
      </c>
      <c r="AN23" s="73"/>
      <c r="AO23" s="73">
        <f>+IFERROR(VLOOKUP($A23,'Goals &amp; Budget 2026'!$A$2:$EJ$49,15,FALSE),0)</f>
        <v>0</v>
      </c>
      <c r="AP23" s="85" t="str">
        <f t="shared" si="29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0">
        <f t="shared" si="15"/>
        <v>0</v>
      </c>
      <c r="E24" s="73">
        <f t="shared" si="16"/>
        <v>0</v>
      </c>
      <c r="F24" s="231" t="str">
        <f t="shared" si="17"/>
        <v>***</v>
      </c>
      <c r="G24" s="73"/>
      <c r="H24" s="73">
        <f>+IFERROR(VLOOKUP($A24,'Goals &amp; Budget 2026'!$A$2:$EJ$49,4,FALSE),0)</f>
        <v>0</v>
      </c>
      <c r="I24" s="84" t="str">
        <f t="shared" si="18"/>
        <v>***</v>
      </c>
      <c r="J24" s="73"/>
      <c r="K24" s="73">
        <f>+IFERROR(VLOOKUP($A24,'Goals &amp; Budget 2026'!$A$2:$EJ$49,5,FALSE),0)</f>
        <v>0</v>
      </c>
      <c r="L24" s="84" t="str">
        <f t="shared" si="19"/>
        <v>***</v>
      </c>
      <c r="M24" s="73"/>
      <c r="N24" s="73">
        <f>+IFERROR(VLOOKUP($A24,'Goals &amp; Budget 2026'!$A$2:$EJ$49,6,FALSE),0)</f>
        <v>0</v>
      </c>
      <c r="O24" s="231" t="str">
        <f t="shared" si="20"/>
        <v>***</v>
      </c>
      <c r="P24" s="73"/>
      <c r="Q24" s="73">
        <f>+IFERROR(VLOOKUP($A24,'Goals &amp; Budget 2026'!$A$2:$EJ$49,7,FALSE),0)</f>
        <v>0</v>
      </c>
      <c r="R24" s="84" t="str">
        <f t="shared" si="21"/>
        <v>***</v>
      </c>
      <c r="S24" s="73"/>
      <c r="T24" s="73">
        <f>+IFERROR(VLOOKUP($A24,'Goals &amp; Budget 2026'!$A$2:$EJ$49,8,FALSE),0)</f>
        <v>0</v>
      </c>
      <c r="U24" s="84" t="str">
        <f t="shared" si="22"/>
        <v>***</v>
      </c>
      <c r="V24" s="73"/>
      <c r="W24" s="73">
        <f>+IFERROR(VLOOKUP($A24,'Goals &amp; Budget 2026'!$A$2:$EJ$49,9,FALSE),0)</f>
        <v>0</v>
      </c>
      <c r="X24" s="231" t="str">
        <f t="shared" si="23"/>
        <v>***</v>
      </c>
      <c r="Y24" s="73"/>
      <c r="Z24" s="73">
        <f>+IFERROR(VLOOKUP($A24,'Goals &amp; Budget 2026'!$A$2:$EJ$49,10,FALSE),0)</f>
        <v>0</v>
      </c>
      <c r="AA24" s="84" t="str">
        <f t="shared" si="24"/>
        <v>***</v>
      </c>
      <c r="AB24" s="73"/>
      <c r="AC24" s="73">
        <f>+IFERROR(VLOOKUP($A24,'Goals &amp; Budget 2026'!$A$2:$EJ$49,11,FALSE),0)</f>
        <v>0</v>
      </c>
      <c r="AD24" s="84" t="str">
        <f t="shared" si="25"/>
        <v>***</v>
      </c>
      <c r="AE24" s="73"/>
      <c r="AF24" s="73">
        <f>+IFERROR(VLOOKUP($A24,'Goals &amp; Budget 2026'!$A$2:$EJ$49,12,FALSE),0)</f>
        <v>0</v>
      </c>
      <c r="AG24" s="231" t="str">
        <f t="shared" si="26"/>
        <v>***</v>
      </c>
      <c r="AH24" s="73"/>
      <c r="AI24" s="73">
        <f>+IFERROR(VLOOKUP($A24,'Goals &amp; Budget 2026'!$A$2:$EJ$49,13,FALSE),0)</f>
        <v>0</v>
      </c>
      <c r="AJ24" s="84" t="str">
        <f t="shared" si="27"/>
        <v>***</v>
      </c>
      <c r="AK24" s="73"/>
      <c r="AL24" s="73">
        <f>+IFERROR(VLOOKUP($A24,'Goals &amp; Budget 2026'!$A$2:$EJ$49,14,FALSE),0)</f>
        <v>0</v>
      </c>
      <c r="AM24" s="84" t="str">
        <f t="shared" si="28"/>
        <v>***</v>
      </c>
      <c r="AN24" s="73"/>
      <c r="AO24" s="73">
        <f>+IFERROR(VLOOKUP($A24,'Goals &amp; Budget 2026'!$A$2:$EJ$49,15,FALSE),0)</f>
        <v>0</v>
      </c>
      <c r="AP24" s="85" t="str">
        <f t="shared" si="29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0">
        <f t="shared" si="15"/>
        <v>0</v>
      </c>
      <c r="E25" s="73">
        <f t="shared" si="16"/>
        <v>0</v>
      </c>
      <c r="F25" s="231" t="str">
        <f t="shared" si="17"/>
        <v>***</v>
      </c>
      <c r="G25" s="73"/>
      <c r="H25" s="73">
        <f>+IFERROR(VLOOKUP($A25,'Goals &amp; Budget 2026'!$A$2:$EJ$49,4,FALSE),0)</f>
        <v>0</v>
      </c>
      <c r="I25" s="84" t="str">
        <f t="shared" si="18"/>
        <v>***</v>
      </c>
      <c r="J25" s="73"/>
      <c r="K25" s="73">
        <f>+IFERROR(VLOOKUP($A25,'Goals &amp; Budget 2026'!$A$2:$EJ$49,5,FALSE),0)</f>
        <v>0</v>
      </c>
      <c r="L25" s="84" t="str">
        <f t="shared" si="19"/>
        <v>***</v>
      </c>
      <c r="M25" s="73"/>
      <c r="N25" s="73">
        <f>+IFERROR(VLOOKUP($A25,'Goals &amp; Budget 2026'!$A$2:$EJ$49,6,FALSE),0)</f>
        <v>0</v>
      </c>
      <c r="O25" s="231" t="str">
        <f t="shared" si="20"/>
        <v>***</v>
      </c>
      <c r="P25" s="73"/>
      <c r="Q25" s="73">
        <f>+IFERROR(VLOOKUP($A25,'Goals &amp; Budget 2026'!$A$2:$EJ$49,7,FALSE),0)</f>
        <v>0</v>
      </c>
      <c r="R25" s="84" t="str">
        <f t="shared" si="21"/>
        <v>***</v>
      </c>
      <c r="S25" s="73"/>
      <c r="T25" s="73">
        <f>+IFERROR(VLOOKUP($A25,'Goals &amp; Budget 2026'!$A$2:$EJ$49,8,FALSE),0)</f>
        <v>0</v>
      </c>
      <c r="U25" s="84" t="str">
        <f t="shared" si="22"/>
        <v>***</v>
      </c>
      <c r="V25" s="73"/>
      <c r="W25" s="73">
        <f>+IFERROR(VLOOKUP($A25,'Goals &amp; Budget 2026'!$A$2:$EJ$49,9,FALSE),0)</f>
        <v>0</v>
      </c>
      <c r="X25" s="231" t="str">
        <f t="shared" si="23"/>
        <v>***</v>
      </c>
      <c r="Y25" s="73"/>
      <c r="Z25" s="73">
        <f>+IFERROR(VLOOKUP($A25,'Goals &amp; Budget 2026'!$A$2:$EJ$49,10,FALSE),0)</f>
        <v>0</v>
      </c>
      <c r="AA25" s="84" t="str">
        <f t="shared" si="24"/>
        <v>***</v>
      </c>
      <c r="AB25" s="73"/>
      <c r="AC25" s="73">
        <f>+IFERROR(VLOOKUP($A25,'Goals &amp; Budget 2026'!$A$2:$EJ$49,11,FALSE),0)</f>
        <v>0</v>
      </c>
      <c r="AD25" s="84" t="str">
        <f t="shared" si="25"/>
        <v>***</v>
      </c>
      <c r="AE25" s="73"/>
      <c r="AF25" s="73">
        <f>+IFERROR(VLOOKUP($A25,'Goals &amp; Budget 2026'!$A$2:$EJ$49,12,FALSE),0)</f>
        <v>0</v>
      </c>
      <c r="AG25" s="231" t="str">
        <f t="shared" si="26"/>
        <v>***</v>
      </c>
      <c r="AH25" s="73"/>
      <c r="AI25" s="73">
        <f>+IFERROR(VLOOKUP($A25,'Goals &amp; Budget 2026'!$A$2:$EJ$49,13,FALSE),0)</f>
        <v>0</v>
      </c>
      <c r="AJ25" s="84" t="str">
        <f t="shared" si="27"/>
        <v>***</v>
      </c>
      <c r="AK25" s="73"/>
      <c r="AL25" s="73">
        <f>+IFERROR(VLOOKUP($A25,'Goals &amp; Budget 2026'!$A$2:$EJ$49,14,FALSE),0)</f>
        <v>0</v>
      </c>
      <c r="AM25" s="84" t="str">
        <f t="shared" si="28"/>
        <v>***</v>
      </c>
      <c r="AN25" s="73"/>
      <c r="AO25" s="73">
        <f>+IFERROR(VLOOKUP($A25,'Goals &amp; Budget 2026'!$A$2:$EJ$49,15,FALSE),0)</f>
        <v>0</v>
      </c>
      <c r="AP25" s="85" t="str">
        <f t="shared" si="29"/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51">
        <f t="shared" si="15"/>
        <v>0</v>
      </c>
      <c r="E26" s="54">
        <f t="shared" si="16"/>
        <v>0</v>
      </c>
      <c r="F26" s="232" t="str">
        <f t="shared" si="17"/>
        <v>***</v>
      </c>
      <c r="G26" s="54"/>
      <c r="H26" s="54">
        <f>+IFERROR(VLOOKUP($A26,'Goals &amp; Budget 2026'!$A$2:$EJ$49,4,FALSE),0)</f>
        <v>0</v>
      </c>
      <c r="I26" s="65" t="str">
        <f t="shared" si="18"/>
        <v>***</v>
      </c>
      <c r="J26" s="54"/>
      <c r="K26" s="54">
        <f>+IFERROR(VLOOKUP($A26,'Goals &amp; Budget 2026'!$A$2:$EJ$49,5,FALSE),0)</f>
        <v>0</v>
      </c>
      <c r="L26" s="65" t="str">
        <f t="shared" si="19"/>
        <v>***</v>
      </c>
      <c r="M26" s="54"/>
      <c r="N26" s="54">
        <f>+IFERROR(VLOOKUP($A26,'Goals &amp; Budget 2026'!$A$2:$EJ$49,6,FALSE),0)</f>
        <v>0</v>
      </c>
      <c r="O26" s="232" t="str">
        <f t="shared" si="20"/>
        <v>***</v>
      </c>
      <c r="P26" s="54"/>
      <c r="Q26" s="54">
        <f>+IFERROR(VLOOKUP($A26,'Goals &amp; Budget 2026'!$A$2:$EJ$49,7,FALSE),0)</f>
        <v>0</v>
      </c>
      <c r="R26" s="65" t="str">
        <f t="shared" si="21"/>
        <v>***</v>
      </c>
      <c r="S26" s="54"/>
      <c r="T26" s="54">
        <f>+IFERROR(VLOOKUP($A26,'Goals &amp; Budget 2026'!$A$2:$EJ$49,8,FALSE),0)</f>
        <v>0</v>
      </c>
      <c r="U26" s="65" t="str">
        <f t="shared" si="22"/>
        <v>***</v>
      </c>
      <c r="V26" s="54"/>
      <c r="W26" s="54">
        <f>+IFERROR(VLOOKUP($A26,'Goals &amp; Budget 2026'!$A$2:$EJ$49,9,FALSE),0)</f>
        <v>0</v>
      </c>
      <c r="X26" s="232" t="str">
        <f t="shared" si="23"/>
        <v>***</v>
      </c>
      <c r="Y26" s="54"/>
      <c r="Z26" s="54">
        <f>+IFERROR(VLOOKUP($A26,'Goals &amp; Budget 2026'!$A$2:$EJ$49,10,FALSE),0)</f>
        <v>0</v>
      </c>
      <c r="AA26" s="65" t="str">
        <f t="shared" si="24"/>
        <v>***</v>
      </c>
      <c r="AB26" s="54"/>
      <c r="AC26" s="54">
        <f>+IFERROR(VLOOKUP($A26,'Goals &amp; Budget 2026'!$A$2:$EJ$49,11,FALSE),0)</f>
        <v>0</v>
      </c>
      <c r="AD26" s="65" t="str">
        <f t="shared" si="25"/>
        <v>***</v>
      </c>
      <c r="AE26" s="54"/>
      <c r="AF26" s="54">
        <f>+IFERROR(VLOOKUP($A26,'Goals &amp; Budget 2026'!$A$2:$EJ$49,12,FALSE),0)</f>
        <v>0</v>
      </c>
      <c r="AG26" s="232" t="str">
        <f t="shared" si="26"/>
        <v>***</v>
      </c>
      <c r="AH26" s="54"/>
      <c r="AI26" s="54">
        <f>+IFERROR(VLOOKUP($A26,'Goals &amp; Budget 2026'!$A$2:$EJ$49,13,FALSE),0)</f>
        <v>0</v>
      </c>
      <c r="AJ26" s="65" t="str">
        <f t="shared" si="27"/>
        <v>***</v>
      </c>
      <c r="AK26" s="54"/>
      <c r="AL26" s="54">
        <f>+IFERROR(VLOOKUP($A26,'Goals &amp; Budget 2026'!$A$2:$EJ$49,14,FALSE),0)</f>
        <v>0</v>
      </c>
      <c r="AM26" s="65" t="str">
        <f t="shared" si="28"/>
        <v>***</v>
      </c>
      <c r="AN26" s="54"/>
      <c r="AO26" s="54">
        <f>+IFERROR(VLOOKUP($A26,'Goals &amp; Budget 2026'!$A$2:$EJ$49,15,FALSE),0)</f>
        <v>0</v>
      </c>
      <c r="AP26" s="66" t="str">
        <f t="shared" si="29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51">
        <f t="shared" si="15"/>
        <v>0</v>
      </c>
      <c r="E27" s="54">
        <f t="shared" si="16"/>
        <v>0</v>
      </c>
      <c r="F27" s="232" t="str">
        <f t="shared" si="17"/>
        <v>***</v>
      </c>
      <c r="G27" s="54"/>
      <c r="H27" s="54">
        <f>+IFERROR(VLOOKUP($A27,'Goals &amp; Budget 2026'!$A$2:$EJ$49,4,FALSE),0)</f>
        <v>0</v>
      </c>
      <c r="I27" s="65" t="str">
        <f t="shared" si="18"/>
        <v>***</v>
      </c>
      <c r="J27" s="54"/>
      <c r="K27" s="54">
        <f>+IFERROR(VLOOKUP($A27,'Goals &amp; Budget 2026'!$A$2:$EJ$49,5,FALSE),0)</f>
        <v>0</v>
      </c>
      <c r="L27" s="65" t="str">
        <f t="shared" si="19"/>
        <v>***</v>
      </c>
      <c r="M27" s="54"/>
      <c r="N27" s="54">
        <f>+IFERROR(VLOOKUP($A27,'Goals &amp; Budget 2026'!$A$2:$EJ$49,6,FALSE),0)</f>
        <v>0</v>
      </c>
      <c r="O27" s="232" t="str">
        <f t="shared" si="20"/>
        <v>***</v>
      </c>
      <c r="P27" s="54"/>
      <c r="Q27" s="54">
        <f>+IFERROR(VLOOKUP($A27,'Goals &amp; Budget 2026'!$A$2:$EJ$49,7,FALSE),0)</f>
        <v>0</v>
      </c>
      <c r="R27" s="65" t="str">
        <f t="shared" si="21"/>
        <v>***</v>
      </c>
      <c r="S27" s="54"/>
      <c r="T27" s="54">
        <f>+IFERROR(VLOOKUP($A27,'Goals &amp; Budget 2026'!$A$2:$EJ$49,8,FALSE),0)</f>
        <v>0</v>
      </c>
      <c r="U27" s="65" t="str">
        <f t="shared" si="22"/>
        <v>***</v>
      </c>
      <c r="V27" s="54"/>
      <c r="W27" s="54">
        <f>+IFERROR(VLOOKUP($A27,'Goals &amp; Budget 2026'!$A$2:$EJ$49,9,FALSE),0)</f>
        <v>0</v>
      </c>
      <c r="X27" s="232" t="str">
        <f t="shared" si="23"/>
        <v>***</v>
      </c>
      <c r="Y27" s="54"/>
      <c r="Z27" s="54">
        <f>+IFERROR(VLOOKUP($A27,'Goals &amp; Budget 2026'!$A$2:$EJ$49,10,FALSE),0)</f>
        <v>0</v>
      </c>
      <c r="AA27" s="65" t="str">
        <f t="shared" si="24"/>
        <v>***</v>
      </c>
      <c r="AB27" s="54"/>
      <c r="AC27" s="54">
        <f>+IFERROR(VLOOKUP($A27,'Goals &amp; Budget 2026'!$A$2:$EJ$49,11,FALSE),0)</f>
        <v>0</v>
      </c>
      <c r="AD27" s="65" t="str">
        <f t="shared" si="25"/>
        <v>***</v>
      </c>
      <c r="AE27" s="54"/>
      <c r="AF27" s="54">
        <f>+IFERROR(VLOOKUP($A27,'Goals &amp; Budget 2026'!$A$2:$EJ$49,12,FALSE),0)</f>
        <v>0</v>
      </c>
      <c r="AG27" s="232" t="str">
        <f t="shared" si="26"/>
        <v>***</v>
      </c>
      <c r="AH27" s="54"/>
      <c r="AI27" s="54">
        <f>+IFERROR(VLOOKUP($A27,'Goals &amp; Budget 2026'!$A$2:$EJ$49,13,FALSE),0)</f>
        <v>0</v>
      </c>
      <c r="AJ27" s="65" t="str">
        <f t="shared" si="27"/>
        <v>***</v>
      </c>
      <c r="AK27" s="54"/>
      <c r="AL27" s="54">
        <f>+IFERROR(VLOOKUP($A27,'Goals &amp; Budget 2026'!$A$2:$EJ$49,14,FALSE),0)</f>
        <v>0</v>
      </c>
      <c r="AM27" s="65" t="str">
        <f t="shared" si="28"/>
        <v>***</v>
      </c>
      <c r="AN27" s="54"/>
      <c r="AO27" s="54">
        <f>+IFERROR(VLOOKUP($A27,'Goals &amp; Budget 2026'!$A$2:$EJ$49,15,FALSE),0)</f>
        <v>0</v>
      </c>
      <c r="AP27" s="66" t="str">
        <f t="shared" si="29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51">
        <f t="shared" si="15"/>
        <v>0</v>
      </c>
      <c r="E28" s="54">
        <f t="shared" si="16"/>
        <v>0</v>
      </c>
      <c r="F28" s="232" t="str">
        <f t="shared" si="17"/>
        <v>***</v>
      </c>
      <c r="G28" s="54"/>
      <c r="H28" s="54">
        <f>+IFERROR(VLOOKUP($A28,'Goals &amp; Budget 2026'!$A$2:$EJ$49,4,FALSE),0)</f>
        <v>0</v>
      </c>
      <c r="I28" s="65" t="str">
        <f t="shared" si="18"/>
        <v>***</v>
      </c>
      <c r="J28" s="54"/>
      <c r="K28" s="54">
        <f>+IFERROR(VLOOKUP($A28,'Goals &amp; Budget 2026'!$A$2:$EJ$49,5,FALSE),0)</f>
        <v>0</v>
      </c>
      <c r="L28" s="65" t="str">
        <f t="shared" si="19"/>
        <v>***</v>
      </c>
      <c r="M28" s="54"/>
      <c r="N28" s="54">
        <f>+IFERROR(VLOOKUP($A28,'Goals &amp; Budget 2026'!$A$2:$EJ$49,6,FALSE),0)</f>
        <v>0</v>
      </c>
      <c r="O28" s="232" t="str">
        <f t="shared" si="20"/>
        <v>***</v>
      </c>
      <c r="P28" s="54"/>
      <c r="Q28" s="54">
        <f>+IFERROR(VLOOKUP($A28,'Goals &amp; Budget 2026'!$A$2:$EJ$49,7,FALSE),0)</f>
        <v>0</v>
      </c>
      <c r="R28" s="65" t="str">
        <f t="shared" si="21"/>
        <v>***</v>
      </c>
      <c r="S28" s="54"/>
      <c r="T28" s="54">
        <f>+IFERROR(VLOOKUP($A28,'Goals &amp; Budget 2026'!$A$2:$EJ$49,8,FALSE),0)</f>
        <v>0</v>
      </c>
      <c r="U28" s="65" t="str">
        <f t="shared" si="22"/>
        <v>***</v>
      </c>
      <c r="V28" s="54"/>
      <c r="W28" s="54">
        <f>+IFERROR(VLOOKUP($A28,'Goals &amp; Budget 2026'!$A$2:$EJ$49,9,FALSE),0)</f>
        <v>0</v>
      </c>
      <c r="X28" s="232" t="str">
        <f t="shared" si="23"/>
        <v>***</v>
      </c>
      <c r="Y28" s="54"/>
      <c r="Z28" s="54">
        <f>+IFERROR(VLOOKUP($A28,'Goals &amp; Budget 2026'!$A$2:$EJ$49,10,FALSE),0)</f>
        <v>0</v>
      </c>
      <c r="AA28" s="65" t="str">
        <f t="shared" si="24"/>
        <v>***</v>
      </c>
      <c r="AB28" s="54"/>
      <c r="AC28" s="54">
        <f>+IFERROR(VLOOKUP($A28,'Goals &amp; Budget 2026'!$A$2:$EJ$49,11,FALSE),0)</f>
        <v>0</v>
      </c>
      <c r="AD28" s="65" t="str">
        <f t="shared" si="25"/>
        <v>***</v>
      </c>
      <c r="AE28" s="54"/>
      <c r="AF28" s="54">
        <f>+IFERROR(VLOOKUP($A28,'Goals &amp; Budget 2026'!$A$2:$EJ$49,12,FALSE),0)</f>
        <v>0</v>
      </c>
      <c r="AG28" s="232" t="str">
        <f t="shared" si="26"/>
        <v>***</v>
      </c>
      <c r="AH28" s="54"/>
      <c r="AI28" s="54">
        <f>+IFERROR(VLOOKUP($A28,'Goals &amp; Budget 2026'!$A$2:$EJ$49,13,FALSE),0)</f>
        <v>0</v>
      </c>
      <c r="AJ28" s="65" t="str">
        <f t="shared" si="27"/>
        <v>***</v>
      </c>
      <c r="AK28" s="54"/>
      <c r="AL28" s="54">
        <f>+IFERROR(VLOOKUP($A28,'Goals &amp; Budget 2026'!$A$2:$EJ$49,14,FALSE),0)</f>
        <v>0</v>
      </c>
      <c r="AM28" s="65" t="str">
        <f t="shared" si="28"/>
        <v>***</v>
      </c>
      <c r="AN28" s="54"/>
      <c r="AO28" s="54">
        <f>+IFERROR(VLOOKUP($A28,'Goals &amp; Budget 2026'!$A$2:$EJ$49,15,FALSE),0)</f>
        <v>0</v>
      </c>
      <c r="AP28" s="66" t="str">
        <f t="shared" si="29"/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51">
        <f t="shared" si="15"/>
        <v>0</v>
      </c>
      <c r="E29" s="54">
        <f t="shared" si="16"/>
        <v>0</v>
      </c>
      <c r="F29" s="232" t="str">
        <f t="shared" si="17"/>
        <v>***</v>
      </c>
      <c r="G29" s="54"/>
      <c r="H29" s="54">
        <f>+IFERROR(VLOOKUP($A29,'Goals &amp; Budget 2026'!$A$2:$EJ$49,4,FALSE),0)</f>
        <v>0</v>
      </c>
      <c r="I29" s="65" t="str">
        <f t="shared" si="18"/>
        <v>***</v>
      </c>
      <c r="J29" s="54"/>
      <c r="K29" s="54">
        <f>+IFERROR(VLOOKUP($A29,'Goals &amp; Budget 2026'!$A$2:$EJ$49,5,FALSE),0)</f>
        <v>0</v>
      </c>
      <c r="L29" s="65" t="str">
        <f t="shared" si="19"/>
        <v>***</v>
      </c>
      <c r="M29" s="54"/>
      <c r="N29" s="54">
        <f>+IFERROR(VLOOKUP($A29,'Goals &amp; Budget 2026'!$A$2:$EJ$49,6,FALSE),0)</f>
        <v>0</v>
      </c>
      <c r="O29" s="232" t="str">
        <f t="shared" si="20"/>
        <v>***</v>
      </c>
      <c r="P29" s="54"/>
      <c r="Q29" s="54">
        <f>+IFERROR(VLOOKUP($A29,'Goals &amp; Budget 2026'!$A$2:$EJ$49,7,FALSE),0)</f>
        <v>0</v>
      </c>
      <c r="R29" s="65" t="str">
        <f t="shared" si="21"/>
        <v>***</v>
      </c>
      <c r="S29" s="54"/>
      <c r="T29" s="54">
        <f>+IFERROR(VLOOKUP($A29,'Goals &amp; Budget 2026'!$A$2:$EJ$49,8,FALSE),0)</f>
        <v>0</v>
      </c>
      <c r="U29" s="65" t="str">
        <f t="shared" si="22"/>
        <v>***</v>
      </c>
      <c r="V29" s="54"/>
      <c r="W29" s="54">
        <f>+IFERROR(VLOOKUP($A29,'Goals &amp; Budget 2026'!$A$2:$EJ$49,9,FALSE),0)</f>
        <v>0</v>
      </c>
      <c r="X29" s="232" t="str">
        <f t="shared" si="23"/>
        <v>***</v>
      </c>
      <c r="Y29" s="54"/>
      <c r="Z29" s="54">
        <f>+IFERROR(VLOOKUP($A29,'Goals &amp; Budget 2026'!$A$2:$EJ$49,10,FALSE),0)</f>
        <v>0</v>
      </c>
      <c r="AA29" s="65" t="str">
        <f t="shared" si="24"/>
        <v>***</v>
      </c>
      <c r="AB29" s="54"/>
      <c r="AC29" s="54">
        <f>+IFERROR(VLOOKUP($A29,'Goals &amp; Budget 2026'!$A$2:$EJ$49,11,FALSE),0)</f>
        <v>0</v>
      </c>
      <c r="AD29" s="65" t="str">
        <f t="shared" si="25"/>
        <v>***</v>
      </c>
      <c r="AE29" s="54"/>
      <c r="AF29" s="54">
        <f>+IFERROR(VLOOKUP($A29,'Goals &amp; Budget 2026'!$A$2:$EJ$49,12,FALSE),0)</f>
        <v>0</v>
      </c>
      <c r="AG29" s="232" t="str">
        <f t="shared" si="26"/>
        <v>***</v>
      </c>
      <c r="AH29" s="54"/>
      <c r="AI29" s="54">
        <f>+IFERROR(VLOOKUP($A29,'Goals &amp; Budget 2026'!$A$2:$EJ$49,13,FALSE),0)</f>
        <v>0</v>
      </c>
      <c r="AJ29" s="65" t="str">
        <f t="shared" si="27"/>
        <v>***</v>
      </c>
      <c r="AK29" s="54"/>
      <c r="AL29" s="54">
        <f>+IFERROR(VLOOKUP($A29,'Goals &amp; Budget 2026'!$A$2:$EJ$49,14,FALSE),0)</f>
        <v>0</v>
      </c>
      <c r="AM29" s="65" t="str">
        <f t="shared" si="28"/>
        <v>***</v>
      </c>
      <c r="AN29" s="54"/>
      <c r="AO29" s="54">
        <f>+IFERROR(VLOOKUP($A29,'Goals &amp; Budget 2026'!$A$2:$EJ$49,15,FALSE),0)</f>
        <v>0</v>
      </c>
      <c r="AP29" s="66" t="str">
        <f t="shared" si="29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51">
        <f t="shared" si="15"/>
        <v>0</v>
      </c>
      <c r="E30" s="54">
        <f t="shared" si="16"/>
        <v>0</v>
      </c>
      <c r="F30" s="232" t="str">
        <f t="shared" si="17"/>
        <v>***</v>
      </c>
      <c r="G30" s="54"/>
      <c r="H30" s="54">
        <f>+IFERROR(VLOOKUP($A30,'Goals &amp; Budget 2026'!$A$2:$EJ$49,4,FALSE),0)</f>
        <v>0</v>
      </c>
      <c r="I30" s="65" t="str">
        <f t="shared" si="18"/>
        <v>***</v>
      </c>
      <c r="J30" s="54"/>
      <c r="K30" s="54">
        <f>+IFERROR(VLOOKUP($A30,'Goals &amp; Budget 2026'!$A$2:$EJ$49,5,FALSE),0)</f>
        <v>0</v>
      </c>
      <c r="L30" s="65" t="str">
        <f t="shared" si="19"/>
        <v>***</v>
      </c>
      <c r="M30" s="54"/>
      <c r="N30" s="54">
        <f>+IFERROR(VLOOKUP($A30,'Goals &amp; Budget 2026'!$A$2:$EJ$49,6,FALSE),0)</f>
        <v>0</v>
      </c>
      <c r="O30" s="232" t="str">
        <f t="shared" si="20"/>
        <v>***</v>
      </c>
      <c r="P30" s="54"/>
      <c r="Q30" s="54">
        <f>+IFERROR(VLOOKUP($A30,'Goals &amp; Budget 2026'!$A$2:$EJ$49,7,FALSE),0)</f>
        <v>0</v>
      </c>
      <c r="R30" s="65" t="str">
        <f t="shared" si="21"/>
        <v>***</v>
      </c>
      <c r="S30" s="54"/>
      <c r="T30" s="54">
        <f>+IFERROR(VLOOKUP($A30,'Goals &amp; Budget 2026'!$A$2:$EJ$49,8,FALSE),0)</f>
        <v>0</v>
      </c>
      <c r="U30" s="65" t="str">
        <f t="shared" si="22"/>
        <v>***</v>
      </c>
      <c r="V30" s="54"/>
      <c r="W30" s="54">
        <f>+IFERROR(VLOOKUP($A30,'Goals &amp; Budget 2026'!$A$2:$EJ$49,9,FALSE),0)</f>
        <v>0</v>
      </c>
      <c r="X30" s="232" t="str">
        <f t="shared" si="23"/>
        <v>***</v>
      </c>
      <c r="Y30" s="54"/>
      <c r="Z30" s="54">
        <f>+IFERROR(VLOOKUP($A30,'Goals &amp; Budget 2026'!$A$2:$EJ$49,10,FALSE),0)</f>
        <v>0</v>
      </c>
      <c r="AA30" s="65" t="str">
        <f t="shared" si="24"/>
        <v>***</v>
      </c>
      <c r="AB30" s="54"/>
      <c r="AC30" s="54">
        <f>+IFERROR(VLOOKUP($A30,'Goals &amp; Budget 2026'!$A$2:$EJ$49,11,FALSE),0)</f>
        <v>0</v>
      </c>
      <c r="AD30" s="65" t="str">
        <f t="shared" si="25"/>
        <v>***</v>
      </c>
      <c r="AE30" s="54"/>
      <c r="AF30" s="54">
        <f>+IFERROR(VLOOKUP($A30,'Goals &amp; Budget 2026'!$A$2:$EJ$49,12,FALSE),0)</f>
        <v>0</v>
      </c>
      <c r="AG30" s="232" t="str">
        <f t="shared" si="26"/>
        <v>***</v>
      </c>
      <c r="AH30" s="54"/>
      <c r="AI30" s="54">
        <f>+IFERROR(VLOOKUP($A30,'Goals &amp; Budget 2026'!$A$2:$EJ$49,13,FALSE),0)</f>
        <v>0</v>
      </c>
      <c r="AJ30" s="65" t="str">
        <f t="shared" si="27"/>
        <v>***</v>
      </c>
      <c r="AK30" s="54"/>
      <c r="AL30" s="54">
        <f>+IFERROR(VLOOKUP($A30,'Goals &amp; Budget 2026'!$A$2:$EJ$49,14,FALSE),0)</f>
        <v>0</v>
      </c>
      <c r="AM30" s="65" t="str">
        <f t="shared" si="28"/>
        <v>***</v>
      </c>
      <c r="AN30" s="54"/>
      <c r="AO30" s="54">
        <f>+IFERROR(VLOOKUP($A30,'Goals &amp; Budget 2026'!$A$2:$EJ$49,15,FALSE),0)</f>
        <v>0</v>
      </c>
      <c r="AP30" s="66" t="str">
        <f t="shared" si="29"/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51">
        <f t="shared" si="15"/>
        <v>0</v>
      </c>
      <c r="E31" s="54">
        <f t="shared" si="16"/>
        <v>0</v>
      </c>
      <c r="F31" s="232" t="str">
        <f t="shared" si="17"/>
        <v>***</v>
      </c>
      <c r="G31" s="54"/>
      <c r="H31" s="54">
        <f>+IFERROR(VLOOKUP($A31,'Goals &amp; Budget 2026'!$A$2:$EJ$49,4,FALSE),0)</f>
        <v>0</v>
      </c>
      <c r="I31" s="65" t="str">
        <f t="shared" si="18"/>
        <v>***</v>
      </c>
      <c r="J31" s="54"/>
      <c r="K31" s="54">
        <f>+IFERROR(VLOOKUP($A31,'Goals &amp; Budget 2026'!$A$2:$EJ$49,5,FALSE),0)</f>
        <v>0</v>
      </c>
      <c r="L31" s="65" t="str">
        <f t="shared" si="19"/>
        <v>***</v>
      </c>
      <c r="M31" s="54"/>
      <c r="N31" s="54">
        <f>+IFERROR(VLOOKUP($A31,'Goals &amp; Budget 2026'!$A$2:$EJ$49,6,FALSE),0)</f>
        <v>0</v>
      </c>
      <c r="O31" s="232" t="str">
        <f t="shared" si="20"/>
        <v>***</v>
      </c>
      <c r="P31" s="54"/>
      <c r="Q31" s="54">
        <f>+IFERROR(VLOOKUP($A31,'Goals &amp; Budget 2026'!$A$2:$EJ$49,7,FALSE),0)</f>
        <v>0</v>
      </c>
      <c r="R31" s="65" t="str">
        <f t="shared" si="21"/>
        <v>***</v>
      </c>
      <c r="S31" s="54"/>
      <c r="T31" s="54">
        <f>+IFERROR(VLOOKUP($A31,'Goals &amp; Budget 2026'!$A$2:$EJ$49,8,FALSE),0)</f>
        <v>0</v>
      </c>
      <c r="U31" s="65" t="str">
        <f t="shared" si="22"/>
        <v>***</v>
      </c>
      <c r="V31" s="54"/>
      <c r="W31" s="54">
        <f>+IFERROR(VLOOKUP($A31,'Goals &amp; Budget 2026'!$A$2:$EJ$49,9,FALSE),0)</f>
        <v>0</v>
      </c>
      <c r="X31" s="232" t="str">
        <f t="shared" si="23"/>
        <v>***</v>
      </c>
      <c r="Y31" s="54"/>
      <c r="Z31" s="54">
        <f>+IFERROR(VLOOKUP($A31,'Goals &amp; Budget 2026'!$A$2:$EJ$49,10,FALSE),0)</f>
        <v>0</v>
      </c>
      <c r="AA31" s="65" t="str">
        <f t="shared" si="24"/>
        <v>***</v>
      </c>
      <c r="AB31" s="54"/>
      <c r="AC31" s="54">
        <f>+IFERROR(VLOOKUP($A31,'Goals &amp; Budget 2026'!$A$2:$EJ$49,11,FALSE),0)</f>
        <v>0</v>
      </c>
      <c r="AD31" s="65" t="str">
        <f t="shared" si="25"/>
        <v>***</v>
      </c>
      <c r="AE31" s="54"/>
      <c r="AF31" s="54">
        <f>+IFERROR(VLOOKUP($A31,'Goals &amp; Budget 2026'!$A$2:$EJ$49,12,FALSE),0)</f>
        <v>0</v>
      </c>
      <c r="AG31" s="232" t="str">
        <f t="shared" si="26"/>
        <v>***</v>
      </c>
      <c r="AH31" s="54"/>
      <c r="AI31" s="54">
        <f>+IFERROR(VLOOKUP($A31,'Goals &amp; Budget 2026'!$A$2:$EJ$49,13,FALSE),0)</f>
        <v>0</v>
      </c>
      <c r="AJ31" s="65" t="str">
        <f t="shared" si="27"/>
        <v>***</v>
      </c>
      <c r="AK31" s="54"/>
      <c r="AL31" s="54">
        <f>+IFERROR(VLOOKUP($A31,'Goals &amp; Budget 2026'!$A$2:$EJ$49,14,FALSE),0)</f>
        <v>0</v>
      </c>
      <c r="AM31" s="65" t="str">
        <f t="shared" si="28"/>
        <v>***</v>
      </c>
      <c r="AN31" s="54"/>
      <c r="AO31" s="54">
        <f>+IFERROR(VLOOKUP($A31,'Goals &amp; Budget 2026'!$A$2:$EJ$49,15,FALSE),0)</f>
        <v>0</v>
      </c>
      <c r="AP31" s="66" t="str">
        <f t="shared" si="29"/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51">
        <f t="shared" si="15"/>
        <v>0</v>
      </c>
      <c r="E32" s="54">
        <f t="shared" si="16"/>
        <v>0</v>
      </c>
      <c r="F32" s="232" t="str">
        <f t="shared" si="17"/>
        <v>***</v>
      </c>
      <c r="G32" s="54"/>
      <c r="H32" s="54">
        <f>+IFERROR(VLOOKUP($A32,'Goals &amp; Budget 2026'!$A$2:$EJ$49,4,FALSE),0)</f>
        <v>0</v>
      </c>
      <c r="I32" s="65" t="str">
        <f t="shared" si="18"/>
        <v>***</v>
      </c>
      <c r="J32" s="54"/>
      <c r="K32" s="54">
        <f>+IFERROR(VLOOKUP($A32,'Goals &amp; Budget 2026'!$A$2:$EJ$49,5,FALSE),0)</f>
        <v>0</v>
      </c>
      <c r="L32" s="65" t="str">
        <f t="shared" si="19"/>
        <v>***</v>
      </c>
      <c r="M32" s="54"/>
      <c r="N32" s="54">
        <f>+IFERROR(VLOOKUP($A32,'Goals &amp; Budget 2026'!$A$2:$EJ$49,6,FALSE),0)</f>
        <v>0</v>
      </c>
      <c r="O32" s="232" t="str">
        <f t="shared" si="20"/>
        <v>***</v>
      </c>
      <c r="P32" s="54"/>
      <c r="Q32" s="54">
        <f>+IFERROR(VLOOKUP($A32,'Goals &amp; Budget 2026'!$A$2:$EJ$49,7,FALSE),0)</f>
        <v>0</v>
      </c>
      <c r="R32" s="65" t="str">
        <f t="shared" si="21"/>
        <v>***</v>
      </c>
      <c r="S32" s="54"/>
      <c r="T32" s="54">
        <f>+IFERROR(VLOOKUP($A32,'Goals &amp; Budget 2026'!$A$2:$EJ$49,8,FALSE),0)</f>
        <v>0</v>
      </c>
      <c r="U32" s="65" t="str">
        <f t="shared" si="22"/>
        <v>***</v>
      </c>
      <c r="V32" s="54"/>
      <c r="W32" s="54">
        <f>+IFERROR(VLOOKUP($A32,'Goals &amp; Budget 2026'!$A$2:$EJ$49,9,FALSE),0)</f>
        <v>0</v>
      </c>
      <c r="X32" s="232" t="str">
        <f t="shared" si="23"/>
        <v>***</v>
      </c>
      <c r="Y32" s="54"/>
      <c r="Z32" s="54">
        <f>+IFERROR(VLOOKUP($A32,'Goals &amp; Budget 2026'!$A$2:$EJ$49,10,FALSE),0)</f>
        <v>0</v>
      </c>
      <c r="AA32" s="65" t="str">
        <f t="shared" si="24"/>
        <v>***</v>
      </c>
      <c r="AB32" s="54"/>
      <c r="AC32" s="54">
        <f>+IFERROR(VLOOKUP($A32,'Goals &amp; Budget 2026'!$A$2:$EJ$49,11,FALSE),0)</f>
        <v>0</v>
      </c>
      <c r="AD32" s="65" t="str">
        <f t="shared" si="25"/>
        <v>***</v>
      </c>
      <c r="AE32" s="54"/>
      <c r="AF32" s="54">
        <f>+IFERROR(VLOOKUP($A32,'Goals &amp; Budget 2026'!$A$2:$EJ$49,12,FALSE),0)</f>
        <v>0</v>
      </c>
      <c r="AG32" s="232" t="str">
        <f t="shared" si="26"/>
        <v>***</v>
      </c>
      <c r="AH32" s="54"/>
      <c r="AI32" s="54">
        <f>+IFERROR(VLOOKUP($A32,'Goals &amp; Budget 2026'!$A$2:$EJ$49,13,FALSE),0)</f>
        <v>0</v>
      </c>
      <c r="AJ32" s="65" t="str">
        <f t="shared" si="27"/>
        <v>***</v>
      </c>
      <c r="AK32" s="54"/>
      <c r="AL32" s="54">
        <f>+IFERROR(VLOOKUP($A32,'Goals &amp; Budget 2026'!$A$2:$EJ$49,14,FALSE),0)</f>
        <v>0</v>
      </c>
      <c r="AM32" s="65" t="str">
        <f t="shared" si="28"/>
        <v>***</v>
      </c>
      <c r="AN32" s="54"/>
      <c r="AO32" s="54">
        <f>+IFERROR(VLOOKUP($A32,'Goals &amp; Budget 2026'!$A$2:$EJ$49,15,FALSE),0)</f>
        <v>0</v>
      </c>
      <c r="AP32" s="66" t="str">
        <f t="shared" si="29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51">
        <f t="shared" si="15"/>
        <v>0</v>
      </c>
      <c r="E33" s="54">
        <f t="shared" si="16"/>
        <v>0</v>
      </c>
      <c r="F33" s="232" t="str">
        <f t="shared" si="17"/>
        <v>***</v>
      </c>
      <c r="G33" s="54"/>
      <c r="H33" s="54">
        <f>+IFERROR(VLOOKUP($A33,'Goals &amp; Budget 2026'!$A$2:$EJ$49,4,FALSE),0)</f>
        <v>0</v>
      </c>
      <c r="I33" s="65" t="str">
        <f t="shared" si="18"/>
        <v>***</v>
      </c>
      <c r="J33" s="54"/>
      <c r="K33" s="54">
        <f>+IFERROR(VLOOKUP($A33,'Goals &amp; Budget 2026'!$A$2:$EJ$49,5,FALSE),0)</f>
        <v>0</v>
      </c>
      <c r="L33" s="65" t="str">
        <f t="shared" si="19"/>
        <v>***</v>
      </c>
      <c r="M33" s="54"/>
      <c r="N33" s="54">
        <f>+IFERROR(VLOOKUP($A33,'Goals &amp; Budget 2026'!$A$2:$EJ$49,6,FALSE),0)</f>
        <v>0</v>
      </c>
      <c r="O33" s="232" t="str">
        <f t="shared" si="20"/>
        <v>***</v>
      </c>
      <c r="P33" s="54"/>
      <c r="Q33" s="54">
        <f>+IFERROR(VLOOKUP($A33,'Goals &amp; Budget 2026'!$A$2:$EJ$49,7,FALSE),0)</f>
        <v>0</v>
      </c>
      <c r="R33" s="65" t="str">
        <f t="shared" si="21"/>
        <v>***</v>
      </c>
      <c r="S33" s="54"/>
      <c r="T33" s="54">
        <f>+IFERROR(VLOOKUP($A33,'Goals &amp; Budget 2026'!$A$2:$EJ$49,8,FALSE),0)</f>
        <v>0</v>
      </c>
      <c r="U33" s="65" t="str">
        <f t="shared" si="22"/>
        <v>***</v>
      </c>
      <c r="V33" s="54"/>
      <c r="W33" s="54">
        <f>+IFERROR(VLOOKUP($A33,'Goals &amp; Budget 2026'!$A$2:$EJ$49,9,FALSE),0)</f>
        <v>0</v>
      </c>
      <c r="X33" s="232" t="str">
        <f t="shared" si="23"/>
        <v>***</v>
      </c>
      <c r="Y33" s="54"/>
      <c r="Z33" s="54">
        <f>+IFERROR(VLOOKUP($A33,'Goals &amp; Budget 2026'!$A$2:$EJ$49,10,FALSE),0)</f>
        <v>0</v>
      </c>
      <c r="AA33" s="65" t="str">
        <f t="shared" si="24"/>
        <v>***</v>
      </c>
      <c r="AB33" s="54"/>
      <c r="AC33" s="54">
        <f>+IFERROR(VLOOKUP($A33,'Goals &amp; Budget 2026'!$A$2:$EJ$49,11,FALSE),0)</f>
        <v>0</v>
      </c>
      <c r="AD33" s="65" t="str">
        <f t="shared" si="25"/>
        <v>***</v>
      </c>
      <c r="AE33" s="54"/>
      <c r="AF33" s="54">
        <f>+IFERROR(VLOOKUP($A33,'Goals &amp; Budget 2026'!$A$2:$EJ$49,12,FALSE),0)</f>
        <v>0</v>
      </c>
      <c r="AG33" s="232" t="str">
        <f t="shared" si="26"/>
        <v>***</v>
      </c>
      <c r="AH33" s="54"/>
      <c r="AI33" s="54">
        <f>+IFERROR(VLOOKUP($A33,'Goals &amp; Budget 2026'!$A$2:$EJ$49,13,FALSE),0)</f>
        <v>0</v>
      </c>
      <c r="AJ33" s="65" t="str">
        <f t="shared" si="27"/>
        <v>***</v>
      </c>
      <c r="AK33" s="54"/>
      <c r="AL33" s="54">
        <f>+IFERROR(VLOOKUP($A33,'Goals &amp; Budget 2026'!$A$2:$EJ$49,14,FALSE),0)</f>
        <v>0</v>
      </c>
      <c r="AM33" s="65" t="str">
        <f t="shared" si="28"/>
        <v>***</v>
      </c>
      <c r="AN33" s="54"/>
      <c r="AO33" s="54">
        <f>+IFERROR(VLOOKUP($A33,'Goals &amp; Budget 2026'!$A$2:$EJ$49,15,FALSE),0)</f>
        <v>0</v>
      </c>
      <c r="AP33" s="66" t="str">
        <f t="shared" si="29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51">
        <f t="shared" si="15"/>
        <v>0</v>
      </c>
      <c r="E34" s="54">
        <f t="shared" si="16"/>
        <v>0</v>
      </c>
      <c r="F34" s="232" t="str">
        <f t="shared" si="17"/>
        <v>***</v>
      </c>
      <c r="G34" s="54"/>
      <c r="H34" s="54">
        <f>+IFERROR(VLOOKUP($A34,'Goals &amp; Budget 2026'!$A$2:$EJ$49,4,FALSE),0)</f>
        <v>0</v>
      </c>
      <c r="I34" s="65" t="str">
        <f t="shared" si="18"/>
        <v>***</v>
      </c>
      <c r="J34" s="54"/>
      <c r="K34" s="54">
        <f>+IFERROR(VLOOKUP($A34,'Goals &amp; Budget 2026'!$A$2:$EJ$49,5,FALSE),0)</f>
        <v>0</v>
      </c>
      <c r="L34" s="65" t="str">
        <f t="shared" si="19"/>
        <v>***</v>
      </c>
      <c r="M34" s="54"/>
      <c r="N34" s="54">
        <f>+IFERROR(VLOOKUP($A34,'Goals &amp; Budget 2026'!$A$2:$EJ$49,6,FALSE),0)</f>
        <v>0</v>
      </c>
      <c r="O34" s="232" t="str">
        <f t="shared" si="20"/>
        <v>***</v>
      </c>
      <c r="P34" s="54"/>
      <c r="Q34" s="54">
        <f>+IFERROR(VLOOKUP($A34,'Goals &amp; Budget 2026'!$A$2:$EJ$49,7,FALSE),0)</f>
        <v>0</v>
      </c>
      <c r="R34" s="65" t="str">
        <f t="shared" si="21"/>
        <v>***</v>
      </c>
      <c r="S34" s="54"/>
      <c r="T34" s="54">
        <f>+IFERROR(VLOOKUP($A34,'Goals &amp; Budget 2026'!$A$2:$EJ$49,8,FALSE),0)</f>
        <v>0</v>
      </c>
      <c r="U34" s="65" t="str">
        <f t="shared" si="22"/>
        <v>***</v>
      </c>
      <c r="V34" s="54"/>
      <c r="W34" s="54">
        <f>+IFERROR(VLOOKUP($A34,'Goals &amp; Budget 2026'!$A$2:$EJ$49,9,FALSE),0)</f>
        <v>0</v>
      </c>
      <c r="X34" s="232" t="str">
        <f t="shared" si="23"/>
        <v>***</v>
      </c>
      <c r="Y34" s="54"/>
      <c r="Z34" s="54">
        <f>+IFERROR(VLOOKUP($A34,'Goals &amp; Budget 2026'!$A$2:$EJ$49,10,FALSE),0)</f>
        <v>0</v>
      </c>
      <c r="AA34" s="65" t="str">
        <f t="shared" si="24"/>
        <v>***</v>
      </c>
      <c r="AB34" s="54"/>
      <c r="AC34" s="54">
        <f>+IFERROR(VLOOKUP($A34,'Goals &amp; Budget 2026'!$A$2:$EJ$49,11,FALSE),0)</f>
        <v>0</v>
      </c>
      <c r="AD34" s="65" t="str">
        <f t="shared" si="25"/>
        <v>***</v>
      </c>
      <c r="AE34" s="54"/>
      <c r="AF34" s="54">
        <f>+IFERROR(VLOOKUP($A34,'Goals &amp; Budget 2026'!$A$2:$EJ$49,12,FALSE),0)</f>
        <v>0</v>
      </c>
      <c r="AG34" s="232" t="str">
        <f t="shared" si="26"/>
        <v>***</v>
      </c>
      <c r="AH34" s="54"/>
      <c r="AI34" s="54">
        <f>+IFERROR(VLOOKUP($A34,'Goals &amp; Budget 2026'!$A$2:$EJ$49,13,FALSE),0)</f>
        <v>0</v>
      </c>
      <c r="AJ34" s="65" t="str">
        <f t="shared" si="27"/>
        <v>***</v>
      </c>
      <c r="AK34" s="54"/>
      <c r="AL34" s="54">
        <f>+IFERROR(VLOOKUP($A34,'Goals &amp; Budget 2026'!$A$2:$EJ$49,14,FALSE),0)</f>
        <v>0</v>
      </c>
      <c r="AM34" s="65" t="str">
        <f t="shared" si="28"/>
        <v>***</v>
      </c>
      <c r="AN34" s="54"/>
      <c r="AO34" s="54">
        <f>+IFERROR(VLOOKUP($A34,'Goals &amp; Budget 2026'!$A$2:$EJ$49,15,FALSE),0)</f>
        <v>0</v>
      </c>
      <c r="AP34" s="66" t="str">
        <f t="shared" si="29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51">
        <f t="shared" si="15"/>
        <v>0</v>
      </c>
      <c r="E35" s="54">
        <f t="shared" si="16"/>
        <v>0</v>
      </c>
      <c r="F35" s="232" t="str">
        <f t="shared" si="17"/>
        <v>***</v>
      </c>
      <c r="G35" s="54"/>
      <c r="H35" s="54">
        <f>+IFERROR(VLOOKUP($A35,'Goals &amp; Budget 2026'!$A$2:$EJ$49,4,FALSE),0)</f>
        <v>0</v>
      </c>
      <c r="I35" s="65" t="str">
        <f t="shared" si="18"/>
        <v>***</v>
      </c>
      <c r="J35" s="54"/>
      <c r="K35" s="54">
        <f>+IFERROR(VLOOKUP($A35,'Goals &amp; Budget 2026'!$A$2:$EJ$49,5,FALSE),0)</f>
        <v>0</v>
      </c>
      <c r="L35" s="65" t="str">
        <f t="shared" si="19"/>
        <v>***</v>
      </c>
      <c r="M35" s="54"/>
      <c r="N35" s="54">
        <f>+IFERROR(VLOOKUP($A35,'Goals &amp; Budget 2026'!$A$2:$EJ$49,6,FALSE),0)</f>
        <v>0</v>
      </c>
      <c r="O35" s="232" t="str">
        <f t="shared" si="20"/>
        <v>***</v>
      </c>
      <c r="P35" s="54"/>
      <c r="Q35" s="54">
        <f>+IFERROR(VLOOKUP($A35,'Goals &amp; Budget 2026'!$A$2:$EJ$49,7,FALSE),0)</f>
        <v>0</v>
      </c>
      <c r="R35" s="65" t="str">
        <f t="shared" si="21"/>
        <v>***</v>
      </c>
      <c r="S35" s="54"/>
      <c r="T35" s="54">
        <f>+IFERROR(VLOOKUP($A35,'Goals &amp; Budget 2026'!$A$2:$EJ$49,8,FALSE),0)</f>
        <v>0</v>
      </c>
      <c r="U35" s="65" t="str">
        <f t="shared" si="22"/>
        <v>***</v>
      </c>
      <c r="V35" s="54"/>
      <c r="W35" s="54">
        <f>+IFERROR(VLOOKUP($A35,'Goals &amp; Budget 2026'!$A$2:$EJ$49,9,FALSE),0)</f>
        <v>0</v>
      </c>
      <c r="X35" s="232" t="str">
        <f t="shared" si="23"/>
        <v>***</v>
      </c>
      <c r="Y35" s="54"/>
      <c r="Z35" s="54">
        <f>+IFERROR(VLOOKUP($A35,'Goals &amp; Budget 2026'!$A$2:$EJ$49,10,FALSE),0)</f>
        <v>0</v>
      </c>
      <c r="AA35" s="65" t="str">
        <f t="shared" si="24"/>
        <v>***</v>
      </c>
      <c r="AB35" s="54"/>
      <c r="AC35" s="54">
        <f>+IFERROR(VLOOKUP($A35,'Goals &amp; Budget 2026'!$A$2:$EJ$49,11,FALSE),0)</f>
        <v>0</v>
      </c>
      <c r="AD35" s="65" t="str">
        <f t="shared" si="25"/>
        <v>***</v>
      </c>
      <c r="AE35" s="54"/>
      <c r="AF35" s="54">
        <f>+IFERROR(VLOOKUP($A35,'Goals &amp; Budget 2026'!$A$2:$EJ$49,12,FALSE),0)</f>
        <v>0</v>
      </c>
      <c r="AG35" s="232" t="str">
        <f t="shared" si="26"/>
        <v>***</v>
      </c>
      <c r="AH35" s="54"/>
      <c r="AI35" s="54">
        <f>+IFERROR(VLOOKUP($A35,'Goals &amp; Budget 2026'!$A$2:$EJ$49,13,FALSE),0)</f>
        <v>0</v>
      </c>
      <c r="AJ35" s="65" t="str">
        <f t="shared" si="27"/>
        <v>***</v>
      </c>
      <c r="AK35" s="54"/>
      <c r="AL35" s="54">
        <f>+IFERROR(VLOOKUP($A35,'Goals &amp; Budget 2026'!$A$2:$EJ$49,14,FALSE),0)</f>
        <v>0</v>
      </c>
      <c r="AM35" s="65" t="str">
        <f t="shared" si="28"/>
        <v>***</v>
      </c>
      <c r="AN35" s="54"/>
      <c r="AO35" s="54">
        <f>+IFERROR(VLOOKUP($A35,'Goals &amp; Budget 2026'!$A$2:$EJ$49,15,FALSE),0)</f>
        <v>0</v>
      </c>
      <c r="AP35" s="66" t="str">
        <f t="shared" si="29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51">
        <f t="shared" si="15"/>
        <v>0</v>
      </c>
      <c r="E36" s="54">
        <f t="shared" si="16"/>
        <v>0</v>
      </c>
      <c r="F36" s="232" t="str">
        <f t="shared" si="17"/>
        <v>***</v>
      </c>
      <c r="G36" s="54"/>
      <c r="H36" s="54">
        <f>+IFERROR(VLOOKUP($A36,'Goals &amp; Budget 2026'!$A$2:$EJ$49,4,FALSE),0)</f>
        <v>0</v>
      </c>
      <c r="I36" s="65" t="str">
        <f t="shared" si="18"/>
        <v>***</v>
      </c>
      <c r="J36" s="54"/>
      <c r="K36" s="54">
        <f>+IFERROR(VLOOKUP($A36,'Goals &amp; Budget 2026'!$A$2:$EJ$49,5,FALSE),0)</f>
        <v>0</v>
      </c>
      <c r="L36" s="65" t="str">
        <f t="shared" si="19"/>
        <v>***</v>
      </c>
      <c r="M36" s="54"/>
      <c r="N36" s="54">
        <f>+IFERROR(VLOOKUP($A36,'Goals &amp; Budget 2026'!$A$2:$EJ$49,6,FALSE),0)</f>
        <v>0</v>
      </c>
      <c r="O36" s="232" t="str">
        <f t="shared" si="20"/>
        <v>***</v>
      </c>
      <c r="P36" s="54"/>
      <c r="Q36" s="54">
        <f>+IFERROR(VLOOKUP($A36,'Goals &amp; Budget 2026'!$A$2:$EJ$49,7,FALSE),0)</f>
        <v>0</v>
      </c>
      <c r="R36" s="65" t="str">
        <f t="shared" si="21"/>
        <v>***</v>
      </c>
      <c r="S36" s="54"/>
      <c r="T36" s="54">
        <f>+IFERROR(VLOOKUP($A36,'Goals &amp; Budget 2026'!$A$2:$EJ$49,8,FALSE),0)</f>
        <v>0</v>
      </c>
      <c r="U36" s="65" t="str">
        <f t="shared" si="22"/>
        <v>***</v>
      </c>
      <c r="V36" s="54"/>
      <c r="W36" s="54">
        <f>+IFERROR(VLOOKUP($A36,'Goals &amp; Budget 2026'!$A$2:$EJ$49,9,FALSE),0)</f>
        <v>0</v>
      </c>
      <c r="X36" s="232" t="str">
        <f t="shared" si="23"/>
        <v>***</v>
      </c>
      <c r="Y36" s="54"/>
      <c r="Z36" s="54">
        <f>+IFERROR(VLOOKUP($A36,'Goals &amp; Budget 2026'!$A$2:$EJ$49,10,FALSE),0)</f>
        <v>0</v>
      </c>
      <c r="AA36" s="65" t="str">
        <f t="shared" si="24"/>
        <v>***</v>
      </c>
      <c r="AB36" s="54"/>
      <c r="AC36" s="54">
        <f>+IFERROR(VLOOKUP($A36,'Goals &amp; Budget 2026'!$A$2:$EJ$49,11,FALSE),0)</f>
        <v>0</v>
      </c>
      <c r="AD36" s="65" t="str">
        <f t="shared" si="25"/>
        <v>***</v>
      </c>
      <c r="AE36" s="54"/>
      <c r="AF36" s="54">
        <f>+IFERROR(VLOOKUP($A36,'Goals &amp; Budget 2026'!$A$2:$EJ$49,12,FALSE),0)</f>
        <v>0</v>
      </c>
      <c r="AG36" s="232" t="str">
        <f t="shared" si="26"/>
        <v>***</v>
      </c>
      <c r="AH36" s="54"/>
      <c r="AI36" s="54">
        <f>+IFERROR(VLOOKUP($A36,'Goals &amp; Budget 2026'!$A$2:$EJ$49,13,FALSE),0)</f>
        <v>0</v>
      </c>
      <c r="AJ36" s="65" t="str">
        <f t="shared" si="27"/>
        <v>***</v>
      </c>
      <c r="AK36" s="54"/>
      <c r="AL36" s="54">
        <f>+IFERROR(VLOOKUP($A36,'Goals &amp; Budget 2026'!$A$2:$EJ$49,14,FALSE),0)</f>
        <v>0</v>
      </c>
      <c r="AM36" s="65" t="str">
        <f t="shared" si="28"/>
        <v>***</v>
      </c>
      <c r="AN36" s="54"/>
      <c r="AO36" s="54">
        <f>+IFERROR(VLOOKUP($A36,'Goals &amp; Budget 2026'!$A$2:$EJ$49,15,FALSE),0)</f>
        <v>0</v>
      </c>
      <c r="AP36" s="66" t="str">
        <f t="shared" si="29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51">
        <f t="shared" si="15"/>
        <v>0</v>
      </c>
      <c r="E37" s="54">
        <f t="shared" si="16"/>
        <v>0</v>
      </c>
      <c r="F37" s="232" t="str">
        <f t="shared" si="17"/>
        <v>***</v>
      </c>
      <c r="G37" s="54"/>
      <c r="H37" s="54">
        <f>+IFERROR(VLOOKUP($A37,'Goals &amp; Budget 2026'!$A$2:$EJ$49,4,FALSE),0)</f>
        <v>0</v>
      </c>
      <c r="I37" s="65" t="str">
        <f t="shared" si="18"/>
        <v>***</v>
      </c>
      <c r="J37" s="54"/>
      <c r="K37" s="54">
        <f>+IFERROR(VLOOKUP($A37,'Goals &amp; Budget 2026'!$A$2:$EJ$49,5,FALSE),0)</f>
        <v>0</v>
      </c>
      <c r="L37" s="65" t="str">
        <f t="shared" si="19"/>
        <v>***</v>
      </c>
      <c r="M37" s="54"/>
      <c r="N37" s="54">
        <f>+IFERROR(VLOOKUP($A37,'Goals &amp; Budget 2026'!$A$2:$EJ$49,6,FALSE),0)</f>
        <v>0</v>
      </c>
      <c r="O37" s="232" t="str">
        <f t="shared" si="20"/>
        <v>***</v>
      </c>
      <c r="P37" s="54"/>
      <c r="Q37" s="54">
        <f>+IFERROR(VLOOKUP($A37,'Goals &amp; Budget 2026'!$A$2:$EJ$49,7,FALSE),0)</f>
        <v>0</v>
      </c>
      <c r="R37" s="65" t="str">
        <f t="shared" si="21"/>
        <v>***</v>
      </c>
      <c r="S37" s="54"/>
      <c r="T37" s="54">
        <f>+IFERROR(VLOOKUP($A37,'Goals &amp; Budget 2026'!$A$2:$EJ$49,8,FALSE),0)</f>
        <v>0</v>
      </c>
      <c r="U37" s="65" t="str">
        <f t="shared" si="22"/>
        <v>***</v>
      </c>
      <c r="V37" s="54"/>
      <c r="W37" s="54">
        <f>+IFERROR(VLOOKUP($A37,'Goals &amp; Budget 2026'!$A$2:$EJ$49,9,FALSE),0)</f>
        <v>0</v>
      </c>
      <c r="X37" s="232" t="str">
        <f t="shared" si="23"/>
        <v>***</v>
      </c>
      <c r="Y37" s="54"/>
      <c r="Z37" s="54">
        <f>+IFERROR(VLOOKUP($A37,'Goals &amp; Budget 2026'!$A$2:$EJ$49,10,FALSE),0)</f>
        <v>0</v>
      </c>
      <c r="AA37" s="65" t="str">
        <f t="shared" si="24"/>
        <v>***</v>
      </c>
      <c r="AB37" s="54"/>
      <c r="AC37" s="54">
        <f>+IFERROR(VLOOKUP($A37,'Goals &amp; Budget 2026'!$A$2:$EJ$49,11,FALSE),0)</f>
        <v>0</v>
      </c>
      <c r="AD37" s="65" t="str">
        <f t="shared" si="25"/>
        <v>***</v>
      </c>
      <c r="AE37" s="54"/>
      <c r="AF37" s="54">
        <f>+IFERROR(VLOOKUP($A37,'Goals &amp; Budget 2026'!$A$2:$EJ$49,12,FALSE),0)</f>
        <v>0</v>
      </c>
      <c r="AG37" s="232" t="str">
        <f t="shared" si="26"/>
        <v>***</v>
      </c>
      <c r="AH37" s="54"/>
      <c r="AI37" s="54">
        <f>+IFERROR(VLOOKUP($A37,'Goals &amp; Budget 2026'!$A$2:$EJ$49,13,FALSE),0)</f>
        <v>0</v>
      </c>
      <c r="AJ37" s="65" t="str">
        <f t="shared" si="27"/>
        <v>***</v>
      </c>
      <c r="AK37" s="54"/>
      <c r="AL37" s="54">
        <f>+IFERROR(VLOOKUP($A37,'Goals &amp; Budget 2026'!$A$2:$EJ$49,14,FALSE),0)</f>
        <v>0</v>
      </c>
      <c r="AM37" s="65" t="str">
        <f t="shared" si="28"/>
        <v>***</v>
      </c>
      <c r="AN37" s="54"/>
      <c r="AO37" s="54">
        <f>+IFERROR(VLOOKUP($A37,'Goals &amp; Budget 2026'!$A$2:$EJ$49,15,FALSE),0)</f>
        <v>0</v>
      </c>
      <c r="AP37" s="66" t="str">
        <f t="shared" si="29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51">
        <f t="shared" si="15"/>
        <v>0</v>
      </c>
      <c r="E38" s="54">
        <f t="shared" si="16"/>
        <v>0</v>
      </c>
      <c r="F38" s="232" t="str">
        <f t="shared" si="17"/>
        <v>***</v>
      </c>
      <c r="G38" s="54"/>
      <c r="H38" s="54">
        <f>+IFERROR(VLOOKUP($A38,'Goals &amp; Budget 2026'!$A$2:$EJ$49,4,FALSE),0)</f>
        <v>0</v>
      </c>
      <c r="I38" s="65" t="str">
        <f t="shared" si="18"/>
        <v>***</v>
      </c>
      <c r="J38" s="54"/>
      <c r="K38" s="54">
        <f>+IFERROR(VLOOKUP($A38,'Goals &amp; Budget 2026'!$A$2:$EJ$49,5,FALSE),0)</f>
        <v>0</v>
      </c>
      <c r="L38" s="65" t="str">
        <f t="shared" si="19"/>
        <v>***</v>
      </c>
      <c r="M38" s="54"/>
      <c r="N38" s="54">
        <f>+IFERROR(VLOOKUP($A38,'Goals &amp; Budget 2026'!$A$2:$EJ$49,6,FALSE),0)</f>
        <v>0</v>
      </c>
      <c r="O38" s="232" t="str">
        <f t="shared" si="20"/>
        <v>***</v>
      </c>
      <c r="P38" s="54"/>
      <c r="Q38" s="54">
        <f>+IFERROR(VLOOKUP($A38,'Goals &amp; Budget 2026'!$A$2:$EJ$49,7,FALSE),0)</f>
        <v>0</v>
      </c>
      <c r="R38" s="65" t="str">
        <f t="shared" si="21"/>
        <v>***</v>
      </c>
      <c r="S38" s="54"/>
      <c r="T38" s="54">
        <f>+IFERROR(VLOOKUP($A38,'Goals &amp; Budget 2026'!$A$2:$EJ$49,8,FALSE),0)</f>
        <v>0</v>
      </c>
      <c r="U38" s="65" t="str">
        <f t="shared" si="22"/>
        <v>***</v>
      </c>
      <c r="V38" s="54"/>
      <c r="W38" s="54">
        <f>+IFERROR(VLOOKUP($A38,'Goals &amp; Budget 2026'!$A$2:$EJ$49,9,FALSE),0)</f>
        <v>0</v>
      </c>
      <c r="X38" s="232" t="str">
        <f t="shared" si="23"/>
        <v>***</v>
      </c>
      <c r="Y38" s="54"/>
      <c r="Z38" s="54">
        <f>+IFERROR(VLOOKUP($A38,'Goals &amp; Budget 2026'!$A$2:$EJ$49,10,FALSE),0)</f>
        <v>0</v>
      </c>
      <c r="AA38" s="65" t="str">
        <f t="shared" si="24"/>
        <v>***</v>
      </c>
      <c r="AB38" s="54"/>
      <c r="AC38" s="54">
        <f>+IFERROR(VLOOKUP($A38,'Goals &amp; Budget 2026'!$A$2:$EJ$49,11,FALSE),0)</f>
        <v>0</v>
      </c>
      <c r="AD38" s="65" t="str">
        <f t="shared" si="25"/>
        <v>***</v>
      </c>
      <c r="AE38" s="54"/>
      <c r="AF38" s="54">
        <f>+IFERROR(VLOOKUP($A38,'Goals &amp; Budget 2026'!$A$2:$EJ$49,12,FALSE),0)</f>
        <v>0</v>
      </c>
      <c r="AG38" s="232" t="str">
        <f t="shared" si="26"/>
        <v>***</v>
      </c>
      <c r="AH38" s="54"/>
      <c r="AI38" s="54">
        <f>+IFERROR(VLOOKUP($A38,'Goals &amp; Budget 2026'!$A$2:$EJ$49,13,FALSE),0)</f>
        <v>0</v>
      </c>
      <c r="AJ38" s="65" t="str">
        <f t="shared" si="27"/>
        <v>***</v>
      </c>
      <c r="AK38" s="54"/>
      <c r="AL38" s="54">
        <f>+IFERROR(VLOOKUP($A38,'Goals &amp; Budget 2026'!$A$2:$EJ$49,14,FALSE),0)</f>
        <v>0</v>
      </c>
      <c r="AM38" s="65" t="str">
        <f t="shared" si="28"/>
        <v>***</v>
      </c>
      <c r="AN38" s="54"/>
      <c r="AO38" s="54">
        <f>+IFERROR(VLOOKUP($A38,'Goals &amp; Budget 2026'!$A$2:$EJ$49,15,FALSE),0)</f>
        <v>0</v>
      </c>
      <c r="AP38" s="66" t="str">
        <f t="shared" si="29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51">
        <f t="shared" si="15"/>
        <v>0</v>
      </c>
      <c r="E39" s="54">
        <f t="shared" si="16"/>
        <v>0</v>
      </c>
      <c r="F39" s="232" t="str">
        <f t="shared" si="17"/>
        <v>***</v>
      </c>
      <c r="G39" s="54"/>
      <c r="H39" s="54">
        <f>+IFERROR(VLOOKUP($A39,'Goals &amp; Budget 2026'!$A$2:$EJ$49,4,FALSE),0)</f>
        <v>0</v>
      </c>
      <c r="I39" s="65" t="str">
        <f t="shared" si="18"/>
        <v>***</v>
      </c>
      <c r="J39" s="54"/>
      <c r="K39" s="54">
        <f>+IFERROR(VLOOKUP($A39,'Goals &amp; Budget 2026'!$A$2:$EJ$49,5,FALSE),0)</f>
        <v>0</v>
      </c>
      <c r="L39" s="65" t="str">
        <f t="shared" si="19"/>
        <v>***</v>
      </c>
      <c r="M39" s="54"/>
      <c r="N39" s="54">
        <f>+IFERROR(VLOOKUP($A39,'Goals &amp; Budget 2026'!$A$2:$EJ$49,6,FALSE),0)</f>
        <v>0</v>
      </c>
      <c r="O39" s="232" t="str">
        <f t="shared" si="20"/>
        <v>***</v>
      </c>
      <c r="P39" s="54"/>
      <c r="Q39" s="54">
        <f>+IFERROR(VLOOKUP($A39,'Goals &amp; Budget 2026'!$A$2:$EJ$49,7,FALSE),0)</f>
        <v>0</v>
      </c>
      <c r="R39" s="65" t="str">
        <f t="shared" si="21"/>
        <v>***</v>
      </c>
      <c r="S39" s="54"/>
      <c r="T39" s="54">
        <f>+IFERROR(VLOOKUP($A39,'Goals &amp; Budget 2026'!$A$2:$EJ$49,8,FALSE),0)</f>
        <v>0</v>
      </c>
      <c r="U39" s="65" t="str">
        <f t="shared" si="22"/>
        <v>***</v>
      </c>
      <c r="V39" s="54"/>
      <c r="W39" s="54">
        <f>+IFERROR(VLOOKUP($A39,'Goals &amp; Budget 2026'!$A$2:$EJ$49,9,FALSE),0)</f>
        <v>0</v>
      </c>
      <c r="X39" s="232" t="str">
        <f t="shared" si="23"/>
        <v>***</v>
      </c>
      <c r="Y39" s="54"/>
      <c r="Z39" s="54">
        <f>+IFERROR(VLOOKUP($A39,'Goals &amp; Budget 2026'!$A$2:$EJ$49,10,FALSE),0)</f>
        <v>0</v>
      </c>
      <c r="AA39" s="65" t="str">
        <f t="shared" si="24"/>
        <v>***</v>
      </c>
      <c r="AB39" s="54"/>
      <c r="AC39" s="54">
        <f>+IFERROR(VLOOKUP($A39,'Goals &amp; Budget 2026'!$A$2:$EJ$49,11,FALSE),0)</f>
        <v>0</v>
      </c>
      <c r="AD39" s="65" t="str">
        <f t="shared" si="25"/>
        <v>***</v>
      </c>
      <c r="AE39" s="54"/>
      <c r="AF39" s="54">
        <f>+IFERROR(VLOOKUP($A39,'Goals &amp; Budget 2026'!$A$2:$EJ$49,12,FALSE),0)</f>
        <v>0</v>
      </c>
      <c r="AG39" s="232" t="str">
        <f t="shared" si="26"/>
        <v>***</v>
      </c>
      <c r="AH39" s="54"/>
      <c r="AI39" s="54">
        <f>+IFERROR(VLOOKUP($A39,'Goals &amp; Budget 2026'!$A$2:$EJ$49,13,FALSE),0)</f>
        <v>0</v>
      </c>
      <c r="AJ39" s="65" t="str">
        <f t="shared" si="27"/>
        <v>***</v>
      </c>
      <c r="AK39" s="54"/>
      <c r="AL39" s="54">
        <f>+IFERROR(VLOOKUP($A39,'Goals &amp; Budget 2026'!$A$2:$EJ$49,14,FALSE),0)</f>
        <v>0</v>
      </c>
      <c r="AM39" s="65" t="str">
        <f t="shared" si="28"/>
        <v>***</v>
      </c>
      <c r="AN39" s="54"/>
      <c r="AO39" s="54">
        <f>+IFERROR(VLOOKUP($A39,'Goals &amp; Budget 2026'!$A$2:$EJ$49,15,FALSE),0)</f>
        <v>0</v>
      </c>
      <c r="AP39" s="66" t="str">
        <f t="shared" si="29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51">
        <f t="shared" si="15"/>
        <v>0</v>
      </c>
      <c r="E40" s="54">
        <f t="shared" si="16"/>
        <v>0</v>
      </c>
      <c r="F40" s="232" t="str">
        <f t="shared" si="17"/>
        <v>***</v>
      </c>
      <c r="G40" s="54"/>
      <c r="H40" s="54">
        <f>+IFERROR(VLOOKUP($A40,'Goals &amp; Budget 2026'!$A$2:$EJ$49,4,FALSE),0)</f>
        <v>0</v>
      </c>
      <c r="I40" s="65" t="str">
        <f t="shared" si="18"/>
        <v>***</v>
      </c>
      <c r="J40" s="54"/>
      <c r="K40" s="54">
        <f>+IFERROR(VLOOKUP($A40,'Goals &amp; Budget 2026'!$A$2:$EJ$49,5,FALSE),0)</f>
        <v>0</v>
      </c>
      <c r="L40" s="65" t="str">
        <f t="shared" si="19"/>
        <v>***</v>
      </c>
      <c r="M40" s="54"/>
      <c r="N40" s="54">
        <f>+IFERROR(VLOOKUP($A40,'Goals &amp; Budget 2026'!$A$2:$EJ$49,6,FALSE),0)</f>
        <v>0</v>
      </c>
      <c r="O40" s="232" t="str">
        <f t="shared" si="20"/>
        <v>***</v>
      </c>
      <c r="P40" s="54"/>
      <c r="Q40" s="54">
        <f>+IFERROR(VLOOKUP($A40,'Goals &amp; Budget 2026'!$A$2:$EJ$49,7,FALSE),0)</f>
        <v>0</v>
      </c>
      <c r="R40" s="65" t="str">
        <f t="shared" si="21"/>
        <v>***</v>
      </c>
      <c r="S40" s="54"/>
      <c r="T40" s="54">
        <f>+IFERROR(VLOOKUP($A40,'Goals &amp; Budget 2026'!$A$2:$EJ$49,8,FALSE),0)</f>
        <v>0</v>
      </c>
      <c r="U40" s="65" t="str">
        <f t="shared" si="22"/>
        <v>***</v>
      </c>
      <c r="V40" s="54"/>
      <c r="W40" s="54">
        <f>+IFERROR(VLOOKUP($A40,'Goals &amp; Budget 2026'!$A$2:$EJ$49,9,FALSE),0)</f>
        <v>0</v>
      </c>
      <c r="X40" s="232" t="str">
        <f t="shared" si="23"/>
        <v>***</v>
      </c>
      <c r="Y40" s="54"/>
      <c r="Z40" s="54">
        <f>+IFERROR(VLOOKUP($A40,'Goals &amp; Budget 2026'!$A$2:$EJ$49,10,FALSE),0)</f>
        <v>0</v>
      </c>
      <c r="AA40" s="65" t="str">
        <f t="shared" si="24"/>
        <v>***</v>
      </c>
      <c r="AB40" s="54"/>
      <c r="AC40" s="54">
        <f>+IFERROR(VLOOKUP($A40,'Goals &amp; Budget 2026'!$A$2:$EJ$49,11,FALSE),0)</f>
        <v>0</v>
      </c>
      <c r="AD40" s="65" t="str">
        <f t="shared" si="25"/>
        <v>***</v>
      </c>
      <c r="AE40" s="54"/>
      <c r="AF40" s="54">
        <f>+IFERROR(VLOOKUP($A40,'Goals &amp; Budget 2026'!$A$2:$EJ$49,12,FALSE),0)</f>
        <v>0</v>
      </c>
      <c r="AG40" s="232" t="str">
        <f t="shared" si="26"/>
        <v>***</v>
      </c>
      <c r="AH40" s="54"/>
      <c r="AI40" s="54">
        <f>+IFERROR(VLOOKUP($A40,'Goals &amp; Budget 2026'!$A$2:$EJ$49,13,FALSE),0)</f>
        <v>0</v>
      </c>
      <c r="AJ40" s="65" t="str">
        <f t="shared" si="27"/>
        <v>***</v>
      </c>
      <c r="AK40" s="54"/>
      <c r="AL40" s="54">
        <f>+IFERROR(VLOOKUP($A40,'Goals &amp; Budget 2026'!$A$2:$EJ$49,14,FALSE),0)</f>
        <v>0</v>
      </c>
      <c r="AM40" s="65" t="str">
        <f t="shared" si="28"/>
        <v>***</v>
      </c>
      <c r="AN40" s="54"/>
      <c r="AO40" s="54">
        <f>+IFERROR(VLOOKUP($A40,'Goals &amp; Budget 2026'!$A$2:$EJ$49,15,FALSE),0)</f>
        <v>0</v>
      </c>
      <c r="AP40" s="66" t="str">
        <f t="shared" si="29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1">
        <f t="shared" si="15"/>
        <v>0</v>
      </c>
      <c r="E41" s="54">
        <f t="shared" si="16"/>
        <v>0</v>
      </c>
      <c r="F41" s="232" t="str">
        <f t="shared" si="17"/>
        <v>***</v>
      </c>
      <c r="G41" s="54"/>
      <c r="H41" s="54">
        <f>+IFERROR(VLOOKUP($A41,'Goals &amp; Budget 2026'!$A$2:$EJ$49,4,FALSE),0)</f>
        <v>0</v>
      </c>
      <c r="I41" s="65" t="str">
        <f t="shared" si="18"/>
        <v>***</v>
      </c>
      <c r="J41" s="54"/>
      <c r="K41" s="54">
        <f>+IFERROR(VLOOKUP($A41,'Goals &amp; Budget 2026'!$A$2:$EJ$49,5,FALSE),0)</f>
        <v>0</v>
      </c>
      <c r="L41" s="65" t="str">
        <f t="shared" si="19"/>
        <v>***</v>
      </c>
      <c r="M41" s="54"/>
      <c r="N41" s="54">
        <f>+IFERROR(VLOOKUP($A41,'Goals &amp; Budget 2026'!$A$2:$EJ$49,6,FALSE),0)</f>
        <v>0</v>
      </c>
      <c r="O41" s="232" t="str">
        <f t="shared" si="20"/>
        <v>***</v>
      </c>
      <c r="P41" s="54"/>
      <c r="Q41" s="54">
        <f>+IFERROR(VLOOKUP($A41,'Goals &amp; Budget 2026'!$A$2:$EJ$49,7,FALSE),0)</f>
        <v>0</v>
      </c>
      <c r="R41" s="65" t="str">
        <f t="shared" si="21"/>
        <v>***</v>
      </c>
      <c r="S41" s="54"/>
      <c r="T41" s="54">
        <f>+IFERROR(VLOOKUP($A41,'Goals &amp; Budget 2026'!$A$2:$EJ$49,8,FALSE),0)</f>
        <v>0</v>
      </c>
      <c r="U41" s="65" t="str">
        <f t="shared" si="22"/>
        <v>***</v>
      </c>
      <c r="V41" s="54"/>
      <c r="W41" s="54">
        <f>+IFERROR(VLOOKUP($A41,'Goals &amp; Budget 2026'!$A$2:$EJ$49,9,FALSE),0)</f>
        <v>0</v>
      </c>
      <c r="X41" s="232" t="str">
        <f t="shared" si="23"/>
        <v>***</v>
      </c>
      <c r="Y41" s="54"/>
      <c r="Z41" s="54">
        <f>+IFERROR(VLOOKUP($A41,'Goals &amp; Budget 2026'!$A$2:$EJ$49,10,FALSE),0)</f>
        <v>0</v>
      </c>
      <c r="AA41" s="65" t="str">
        <f t="shared" si="24"/>
        <v>***</v>
      </c>
      <c r="AB41" s="54"/>
      <c r="AC41" s="54">
        <f>+IFERROR(VLOOKUP($A41,'Goals &amp; Budget 2026'!$A$2:$EJ$49,11,FALSE),0)</f>
        <v>0</v>
      </c>
      <c r="AD41" s="65" t="str">
        <f t="shared" si="25"/>
        <v>***</v>
      </c>
      <c r="AE41" s="54"/>
      <c r="AF41" s="54">
        <f>+IFERROR(VLOOKUP($A41,'Goals &amp; Budget 2026'!$A$2:$EJ$49,12,FALSE),0)</f>
        <v>0</v>
      </c>
      <c r="AG41" s="232" t="str">
        <f t="shared" si="26"/>
        <v>***</v>
      </c>
      <c r="AH41" s="54"/>
      <c r="AI41" s="54">
        <f>+IFERROR(VLOOKUP($A41,'Goals &amp; Budget 2026'!$A$2:$EJ$49,13,FALSE),0)</f>
        <v>0</v>
      </c>
      <c r="AJ41" s="65" t="str">
        <f t="shared" si="27"/>
        <v>***</v>
      </c>
      <c r="AK41" s="54"/>
      <c r="AL41" s="54">
        <f>+IFERROR(VLOOKUP($A41,'Goals &amp; Budget 2026'!$A$2:$EJ$49,14,FALSE),0)</f>
        <v>0</v>
      </c>
      <c r="AM41" s="65" t="str">
        <f t="shared" si="28"/>
        <v>***</v>
      </c>
      <c r="AN41" s="54"/>
      <c r="AO41" s="54">
        <f>+IFERROR(VLOOKUP($A41,'Goals &amp; Budget 2026'!$A$2:$EJ$49,15,FALSE),0)</f>
        <v>0</v>
      </c>
      <c r="AP41" s="66" t="str">
        <f t="shared" si="29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1">
        <f t="shared" si="15"/>
        <v>0</v>
      </c>
      <c r="E42" s="54">
        <f t="shared" si="16"/>
        <v>0</v>
      </c>
      <c r="F42" s="232" t="str">
        <f t="shared" si="17"/>
        <v>***</v>
      </c>
      <c r="G42" s="54"/>
      <c r="H42" s="54">
        <f>+IFERROR(VLOOKUP($A42,'Goals &amp; Budget 2026'!$A$2:$EJ$49,4,FALSE),0)</f>
        <v>0</v>
      </c>
      <c r="I42" s="65" t="str">
        <f t="shared" si="18"/>
        <v>***</v>
      </c>
      <c r="J42" s="54"/>
      <c r="K42" s="54">
        <f>+IFERROR(VLOOKUP($A42,'Goals &amp; Budget 2026'!$A$2:$EJ$49,5,FALSE),0)</f>
        <v>0</v>
      </c>
      <c r="L42" s="65" t="str">
        <f t="shared" si="19"/>
        <v>***</v>
      </c>
      <c r="M42" s="54"/>
      <c r="N42" s="54">
        <f>+IFERROR(VLOOKUP($A42,'Goals &amp; Budget 2026'!$A$2:$EJ$49,6,FALSE),0)</f>
        <v>0</v>
      </c>
      <c r="O42" s="232" t="str">
        <f t="shared" si="20"/>
        <v>***</v>
      </c>
      <c r="P42" s="54"/>
      <c r="Q42" s="54">
        <f>+IFERROR(VLOOKUP($A42,'Goals &amp; Budget 2026'!$A$2:$EJ$49,7,FALSE),0)</f>
        <v>0</v>
      </c>
      <c r="R42" s="65" t="str">
        <f t="shared" si="21"/>
        <v>***</v>
      </c>
      <c r="S42" s="54"/>
      <c r="T42" s="54">
        <f>+IFERROR(VLOOKUP($A42,'Goals &amp; Budget 2026'!$A$2:$EJ$49,8,FALSE),0)</f>
        <v>0</v>
      </c>
      <c r="U42" s="65" t="str">
        <f t="shared" si="22"/>
        <v>***</v>
      </c>
      <c r="V42" s="54"/>
      <c r="W42" s="54">
        <f>+IFERROR(VLOOKUP($A42,'Goals &amp; Budget 2026'!$A$2:$EJ$49,9,FALSE),0)</f>
        <v>0</v>
      </c>
      <c r="X42" s="232" t="str">
        <f t="shared" si="23"/>
        <v>***</v>
      </c>
      <c r="Y42" s="54"/>
      <c r="Z42" s="54">
        <f>+IFERROR(VLOOKUP($A42,'Goals &amp; Budget 2026'!$A$2:$EJ$49,10,FALSE),0)</f>
        <v>0</v>
      </c>
      <c r="AA42" s="65" t="str">
        <f t="shared" si="24"/>
        <v>***</v>
      </c>
      <c r="AB42" s="54"/>
      <c r="AC42" s="54">
        <f>+IFERROR(VLOOKUP($A42,'Goals &amp; Budget 2026'!$A$2:$EJ$49,11,FALSE),0)</f>
        <v>0</v>
      </c>
      <c r="AD42" s="65" t="str">
        <f t="shared" si="25"/>
        <v>***</v>
      </c>
      <c r="AE42" s="54"/>
      <c r="AF42" s="54">
        <f>+IFERROR(VLOOKUP($A42,'Goals &amp; Budget 2026'!$A$2:$EJ$49,12,FALSE),0)</f>
        <v>0</v>
      </c>
      <c r="AG42" s="232" t="str">
        <f t="shared" si="26"/>
        <v>***</v>
      </c>
      <c r="AH42" s="54"/>
      <c r="AI42" s="54">
        <f>+IFERROR(VLOOKUP($A42,'Goals &amp; Budget 2026'!$A$2:$EJ$49,13,FALSE),0)</f>
        <v>0</v>
      </c>
      <c r="AJ42" s="65" t="str">
        <f t="shared" si="27"/>
        <v>***</v>
      </c>
      <c r="AK42" s="54"/>
      <c r="AL42" s="54">
        <f>+IFERROR(VLOOKUP($A42,'Goals &amp; Budget 2026'!$A$2:$EJ$49,14,FALSE),0)</f>
        <v>0</v>
      </c>
      <c r="AM42" s="65" t="str">
        <f t="shared" si="28"/>
        <v>***</v>
      </c>
      <c r="AN42" s="54"/>
      <c r="AO42" s="54">
        <f>+IFERROR(VLOOKUP($A42,'Goals &amp; Budget 2026'!$A$2:$EJ$49,15,FALSE),0)</f>
        <v>0</v>
      </c>
      <c r="AP42" s="66" t="str">
        <f t="shared" si="29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51">
        <f t="shared" si="15"/>
        <v>0</v>
      </c>
      <c r="E43" s="54">
        <f t="shared" si="16"/>
        <v>0</v>
      </c>
      <c r="F43" s="232" t="str">
        <f t="shared" si="17"/>
        <v>***</v>
      </c>
      <c r="G43" s="54"/>
      <c r="H43" s="54">
        <f>+IFERROR(VLOOKUP($A43,'Goals &amp; Budget 2026'!$A$2:$EJ$49,4,FALSE),0)</f>
        <v>0</v>
      </c>
      <c r="I43" s="65" t="str">
        <f t="shared" si="18"/>
        <v>***</v>
      </c>
      <c r="J43" s="54"/>
      <c r="K43" s="54">
        <f>+IFERROR(VLOOKUP($A43,'Goals &amp; Budget 2026'!$A$2:$EJ$49,5,FALSE),0)</f>
        <v>0</v>
      </c>
      <c r="L43" s="65" t="str">
        <f t="shared" si="19"/>
        <v>***</v>
      </c>
      <c r="M43" s="54"/>
      <c r="N43" s="54">
        <f>+IFERROR(VLOOKUP($A43,'Goals &amp; Budget 2026'!$A$2:$EJ$49,6,FALSE),0)</f>
        <v>0</v>
      </c>
      <c r="O43" s="232" t="str">
        <f t="shared" si="20"/>
        <v>***</v>
      </c>
      <c r="P43" s="54"/>
      <c r="Q43" s="54">
        <f>+IFERROR(VLOOKUP($A43,'Goals &amp; Budget 2026'!$A$2:$EJ$49,7,FALSE),0)</f>
        <v>0</v>
      </c>
      <c r="R43" s="65" t="str">
        <f t="shared" si="21"/>
        <v>***</v>
      </c>
      <c r="S43" s="54"/>
      <c r="T43" s="54">
        <f>+IFERROR(VLOOKUP($A43,'Goals &amp; Budget 2026'!$A$2:$EJ$49,8,FALSE),0)</f>
        <v>0</v>
      </c>
      <c r="U43" s="65" t="str">
        <f t="shared" si="22"/>
        <v>***</v>
      </c>
      <c r="V43" s="54"/>
      <c r="W43" s="54">
        <f>+IFERROR(VLOOKUP($A43,'Goals &amp; Budget 2026'!$A$2:$EJ$49,9,FALSE),0)</f>
        <v>0</v>
      </c>
      <c r="X43" s="232" t="str">
        <f t="shared" si="23"/>
        <v>***</v>
      </c>
      <c r="Y43" s="54"/>
      <c r="Z43" s="54">
        <f>+IFERROR(VLOOKUP($A43,'Goals &amp; Budget 2026'!$A$2:$EJ$49,10,FALSE),0)</f>
        <v>0</v>
      </c>
      <c r="AA43" s="65" t="str">
        <f t="shared" si="24"/>
        <v>***</v>
      </c>
      <c r="AB43" s="54"/>
      <c r="AC43" s="54">
        <f>+IFERROR(VLOOKUP($A43,'Goals &amp; Budget 2026'!$A$2:$EJ$49,11,FALSE),0)</f>
        <v>0</v>
      </c>
      <c r="AD43" s="65" t="str">
        <f t="shared" si="25"/>
        <v>***</v>
      </c>
      <c r="AE43" s="54"/>
      <c r="AF43" s="54">
        <f>+IFERROR(VLOOKUP($A43,'Goals &amp; Budget 2026'!$A$2:$EJ$49,12,FALSE),0)</f>
        <v>0</v>
      </c>
      <c r="AG43" s="232" t="str">
        <f t="shared" si="26"/>
        <v>***</v>
      </c>
      <c r="AH43" s="54"/>
      <c r="AI43" s="54">
        <f>+IFERROR(VLOOKUP($A43,'Goals &amp; Budget 2026'!$A$2:$EJ$49,13,FALSE),0)</f>
        <v>0</v>
      </c>
      <c r="AJ43" s="65" t="str">
        <f t="shared" si="27"/>
        <v>***</v>
      </c>
      <c r="AK43" s="54"/>
      <c r="AL43" s="54">
        <f>+IFERROR(VLOOKUP($A43,'Goals &amp; Budget 2026'!$A$2:$EJ$49,14,FALSE),0)</f>
        <v>0</v>
      </c>
      <c r="AM43" s="65" t="str">
        <f t="shared" si="28"/>
        <v>***</v>
      </c>
      <c r="AN43" s="54"/>
      <c r="AO43" s="54">
        <f>+IFERROR(VLOOKUP($A43,'Goals &amp; Budget 2026'!$A$2:$EJ$49,15,FALSE),0)</f>
        <v>0</v>
      </c>
      <c r="AP43" s="66" t="str">
        <f t="shared" si="29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15"/>
        <v>0</v>
      </c>
      <c r="E44" s="54">
        <f t="shared" si="16"/>
        <v>0</v>
      </c>
      <c r="F44" s="232" t="str">
        <f t="shared" si="17"/>
        <v>***</v>
      </c>
      <c r="G44" s="54"/>
      <c r="H44" s="54">
        <f>+IFERROR(VLOOKUP($A44,'Goals &amp; Budget 2026'!$A$2:$EJ$49,4,FALSE),0)</f>
        <v>0</v>
      </c>
      <c r="I44" s="65" t="str">
        <f t="shared" si="18"/>
        <v>***</v>
      </c>
      <c r="J44" s="54"/>
      <c r="K44" s="54">
        <f>+IFERROR(VLOOKUP($A44,'Goals &amp; Budget 2026'!$A$2:$EJ$49,5,FALSE),0)</f>
        <v>0</v>
      </c>
      <c r="L44" s="65" t="str">
        <f t="shared" si="19"/>
        <v>***</v>
      </c>
      <c r="M44" s="54"/>
      <c r="N44" s="54">
        <f>+IFERROR(VLOOKUP($A44,'Goals &amp; Budget 2026'!$A$2:$EJ$49,6,FALSE),0)</f>
        <v>0</v>
      </c>
      <c r="O44" s="232" t="str">
        <f t="shared" si="20"/>
        <v>***</v>
      </c>
      <c r="P44" s="54"/>
      <c r="Q44" s="54">
        <f>+IFERROR(VLOOKUP($A44,'Goals &amp; Budget 2026'!$A$2:$EJ$49,7,FALSE),0)</f>
        <v>0</v>
      </c>
      <c r="R44" s="65" t="str">
        <f t="shared" si="21"/>
        <v>***</v>
      </c>
      <c r="S44" s="54"/>
      <c r="T44" s="54">
        <f>+IFERROR(VLOOKUP($A44,'Goals &amp; Budget 2026'!$A$2:$EJ$49,8,FALSE),0)</f>
        <v>0</v>
      </c>
      <c r="U44" s="65" t="str">
        <f t="shared" si="22"/>
        <v>***</v>
      </c>
      <c r="V44" s="54"/>
      <c r="W44" s="54">
        <f>+IFERROR(VLOOKUP($A44,'Goals &amp; Budget 2026'!$A$2:$EJ$49,9,FALSE),0)</f>
        <v>0</v>
      </c>
      <c r="X44" s="232" t="str">
        <f t="shared" si="23"/>
        <v>***</v>
      </c>
      <c r="Y44" s="54"/>
      <c r="Z44" s="54">
        <f>+IFERROR(VLOOKUP($A44,'Goals &amp; Budget 2026'!$A$2:$EJ$49,10,FALSE),0)</f>
        <v>0</v>
      </c>
      <c r="AA44" s="65" t="str">
        <f t="shared" si="24"/>
        <v>***</v>
      </c>
      <c r="AB44" s="54"/>
      <c r="AC44" s="54">
        <f>+IFERROR(VLOOKUP($A44,'Goals &amp; Budget 2026'!$A$2:$EJ$49,11,FALSE),0)</f>
        <v>0</v>
      </c>
      <c r="AD44" s="65" t="str">
        <f t="shared" si="25"/>
        <v>***</v>
      </c>
      <c r="AE44" s="54"/>
      <c r="AF44" s="54">
        <f>+IFERROR(VLOOKUP($A44,'Goals &amp; Budget 2026'!$A$2:$EJ$49,12,FALSE),0)</f>
        <v>0</v>
      </c>
      <c r="AG44" s="232" t="str">
        <f t="shared" si="26"/>
        <v>***</v>
      </c>
      <c r="AH44" s="54"/>
      <c r="AI44" s="54">
        <f>+IFERROR(VLOOKUP($A44,'Goals &amp; Budget 2026'!$A$2:$EJ$49,13,FALSE),0)</f>
        <v>0</v>
      </c>
      <c r="AJ44" s="65" t="str">
        <f t="shared" si="27"/>
        <v>***</v>
      </c>
      <c r="AK44" s="54"/>
      <c r="AL44" s="54">
        <f>+IFERROR(VLOOKUP($A44,'Goals &amp; Budget 2026'!$A$2:$EJ$49,14,FALSE),0)</f>
        <v>0</v>
      </c>
      <c r="AM44" s="65" t="str">
        <f t="shared" si="28"/>
        <v>***</v>
      </c>
      <c r="AN44" s="54"/>
      <c r="AO44" s="54">
        <f>+IFERROR(VLOOKUP($A44,'Goals &amp; Budget 2026'!$A$2:$EJ$49,15,FALSE),0)</f>
        <v>0</v>
      </c>
      <c r="AP44" s="66" t="str">
        <f t="shared" si="29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15"/>
        <v>0</v>
      </c>
      <c r="E45" s="54">
        <f t="shared" si="16"/>
        <v>0</v>
      </c>
      <c r="F45" s="232" t="str">
        <f t="shared" si="17"/>
        <v>***</v>
      </c>
      <c r="G45" s="54"/>
      <c r="H45" s="54">
        <f>+IFERROR(VLOOKUP($A45,'Goals &amp; Budget 2026'!$A$2:$EJ$49,4,FALSE),0)</f>
        <v>0</v>
      </c>
      <c r="I45" s="65" t="str">
        <f t="shared" si="18"/>
        <v>***</v>
      </c>
      <c r="J45" s="54"/>
      <c r="K45" s="54">
        <f>+IFERROR(VLOOKUP($A45,'Goals &amp; Budget 2026'!$A$2:$EJ$49,5,FALSE),0)</f>
        <v>0</v>
      </c>
      <c r="L45" s="65" t="str">
        <f t="shared" si="19"/>
        <v>***</v>
      </c>
      <c r="M45" s="54"/>
      <c r="N45" s="54">
        <f>+IFERROR(VLOOKUP($A45,'Goals &amp; Budget 2026'!$A$2:$EJ$49,6,FALSE),0)</f>
        <v>0</v>
      </c>
      <c r="O45" s="232" t="str">
        <f t="shared" si="20"/>
        <v>***</v>
      </c>
      <c r="P45" s="54"/>
      <c r="Q45" s="54">
        <f>+IFERROR(VLOOKUP($A45,'Goals &amp; Budget 2026'!$A$2:$EJ$49,7,FALSE),0)</f>
        <v>0</v>
      </c>
      <c r="R45" s="65" t="str">
        <f t="shared" si="21"/>
        <v>***</v>
      </c>
      <c r="S45" s="54"/>
      <c r="T45" s="54">
        <f>+IFERROR(VLOOKUP($A45,'Goals &amp; Budget 2026'!$A$2:$EJ$49,8,FALSE),0)</f>
        <v>0</v>
      </c>
      <c r="U45" s="65" t="str">
        <f t="shared" si="22"/>
        <v>***</v>
      </c>
      <c r="V45" s="54"/>
      <c r="W45" s="54">
        <f>+IFERROR(VLOOKUP($A45,'Goals &amp; Budget 2026'!$A$2:$EJ$49,9,FALSE),0)</f>
        <v>0</v>
      </c>
      <c r="X45" s="232" t="str">
        <f t="shared" si="23"/>
        <v>***</v>
      </c>
      <c r="Y45" s="54"/>
      <c r="Z45" s="54">
        <f>+IFERROR(VLOOKUP($A45,'Goals &amp; Budget 2026'!$A$2:$EJ$49,10,FALSE),0)</f>
        <v>0</v>
      </c>
      <c r="AA45" s="65" t="str">
        <f t="shared" si="24"/>
        <v>***</v>
      </c>
      <c r="AB45" s="54"/>
      <c r="AC45" s="54">
        <f>+IFERROR(VLOOKUP($A45,'Goals &amp; Budget 2026'!$A$2:$EJ$49,11,FALSE),0)</f>
        <v>0</v>
      </c>
      <c r="AD45" s="65" t="str">
        <f t="shared" si="25"/>
        <v>***</v>
      </c>
      <c r="AE45" s="54"/>
      <c r="AF45" s="54">
        <f>+IFERROR(VLOOKUP($A45,'Goals &amp; Budget 2026'!$A$2:$EJ$49,12,FALSE),0)</f>
        <v>0</v>
      </c>
      <c r="AG45" s="232" t="str">
        <f t="shared" si="26"/>
        <v>***</v>
      </c>
      <c r="AH45" s="54"/>
      <c r="AI45" s="54">
        <f>+IFERROR(VLOOKUP($A45,'Goals &amp; Budget 2026'!$A$2:$EJ$49,13,FALSE),0)</f>
        <v>0</v>
      </c>
      <c r="AJ45" s="65" t="str">
        <f t="shared" si="27"/>
        <v>***</v>
      </c>
      <c r="AK45" s="54"/>
      <c r="AL45" s="54">
        <f>+IFERROR(VLOOKUP($A45,'Goals &amp; Budget 2026'!$A$2:$EJ$49,14,FALSE),0)</f>
        <v>0</v>
      </c>
      <c r="AM45" s="65" t="str">
        <f t="shared" si="28"/>
        <v>***</v>
      </c>
      <c r="AN45" s="54"/>
      <c r="AO45" s="54">
        <f>+IFERROR(VLOOKUP($A45,'Goals &amp; Budget 2026'!$A$2:$EJ$49,15,FALSE),0)</f>
        <v>0</v>
      </c>
      <c r="AP45" s="66" t="str">
        <f t="shared" si="29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1">
        <f t="shared" si="15"/>
        <v>0</v>
      </c>
      <c r="E46" s="54">
        <f t="shared" si="16"/>
        <v>0</v>
      </c>
      <c r="F46" s="232" t="str">
        <f t="shared" si="17"/>
        <v>***</v>
      </c>
      <c r="G46" s="54"/>
      <c r="H46" s="54">
        <f>+IFERROR(VLOOKUP($A46,'Goals &amp; Budget 2026'!$A$2:$EJ$49,4,FALSE),0)</f>
        <v>0</v>
      </c>
      <c r="I46" s="65" t="str">
        <f t="shared" si="18"/>
        <v>***</v>
      </c>
      <c r="J46" s="54"/>
      <c r="K46" s="54">
        <f>+IFERROR(VLOOKUP($A46,'Goals &amp; Budget 2026'!$A$2:$EJ$49,5,FALSE),0)</f>
        <v>0</v>
      </c>
      <c r="L46" s="65" t="str">
        <f t="shared" si="19"/>
        <v>***</v>
      </c>
      <c r="M46" s="54"/>
      <c r="N46" s="54">
        <f>+IFERROR(VLOOKUP($A46,'Goals &amp; Budget 2026'!$A$2:$EJ$49,6,FALSE),0)</f>
        <v>0</v>
      </c>
      <c r="O46" s="232" t="str">
        <f t="shared" si="20"/>
        <v>***</v>
      </c>
      <c r="P46" s="54"/>
      <c r="Q46" s="54">
        <f>+IFERROR(VLOOKUP($A46,'Goals &amp; Budget 2026'!$A$2:$EJ$49,7,FALSE),0)</f>
        <v>0</v>
      </c>
      <c r="R46" s="65" t="str">
        <f t="shared" si="21"/>
        <v>***</v>
      </c>
      <c r="S46" s="54"/>
      <c r="T46" s="54">
        <f>+IFERROR(VLOOKUP($A46,'Goals &amp; Budget 2026'!$A$2:$EJ$49,8,FALSE),0)</f>
        <v>0</v>
      </c>
      <c r="U46" s="65" t="str">
        <f t="shared" si="22"/>
        <v>***</v>
      </c>
      <c r="V46" s="54"/>
      <c r="W46" s="54">
        <f>+IFERROR(VLOOKUP($A46,'Goals &amp; Budget 2026'!$A$2:$EJ$49,9,FALSE),0)</f>
        <v>0</v>
      </c>
      <c r="X46" s="232" t="str">
        <f t="shared" si="23"/>
        <v>***</v>
      </c>
      <c r="Y46" s="54"/>
      <c r="Z46" s="54">
        <f>+IFERROR(VLOOKUP($A46,'Goals &amp; Budget 2026'!$A$2:$EJ$49,10,FALSE),0)</f>
        <v>0</v>
      </c>
      <c r="AA46" s="65" t="str">
        <f t="shared" si="24"/>
        <v>***</v>
      </c>
      <c r="AB46" s="54"/>
      <c r="AC46" s="54">
        <f>+IFERROR(VLOOKUP($A46,'Goals &amp; Budget 2026'!$A$2:$EJ$49,11,FALSE),0)</f>
        <v>0</v>
      </c>
      <c r="AD46" s="65" t="str">
        <f t="shared" si="25"/>
        <v>***</v>
      </c>
      <c r="AE46" s="54"/>
      <c r="AF46" s="54">
        <f>+IFERROR(VLOOKUP($A46,'Goals &amp; Budget 2026'!$A$2:$EJ$49,12,FALSE),0)</f>
        <v>0</v>
      </c>
      <c r="AG46" s="232" t="str">
        <f t="shared" si="26"/>
        <v>***</v>
      </c>
      <c r="AH46" s="54"/>
      <c r="AI46" s="54">
        <f>+IFERROR(VLOOKUP($A46,'Goals &amp; Budget 2026'!$A$2:$EJ$49,13,FALSE),0)</f>
        <v>0</v>
      </c>
      <c r="AJ46" s="65" t="str">
        <f t="shared" si="27"/>
        <v>***</v>
      </c>
      <c r="AK46" s="54"/>
      <c r="AL46" s="54">
        <f>+IFERROR(VLOOKUP($A46,'Goals &amp; Budget 2026'!$A$2:$EJ$49,14,FALSE),0)</f>
        <v>0</v>
      </c>
      <c r="AM46" s="65" t="str">
        <f t="shared" si="28"/>
        <v>***</v>
      </c>
      <c r="AN46" s="54"/>
      <c r="AO46" s="54">
        <f>+IFERROR(VLOOKUP($A46,'Goals &amp; Budget 2026'!$A$2:$EJ$49,15,FALSE),0)</f>
        <v>0</v>
      </c>
      <c r="AP46" s="66" t="str">
        <f t="shared" si="29"/>
        <v>***</v>
      </c>
    </row>
    <row r="47" spans="1:42" ht="20.100000000000001" customHeight="1" thickBot="1" x14ac:dyDescent="0.3">
      <c r="A47" s="51" t="s">
        <v>106</v>
      </c>
      <c r="B47" s="52">
        <v>1</v>
      </c>
      <c r="C47" s="53">
        <v>378</v>
      </c>
      <c r="D47" s="51">
        <f t="shared" si="15"/>
        <v>0</v>
      </c>
      <c r="E47" s="54">
        <f t="shared" si="16"/>
        <v>0</v>
      </c>
      <c r="F47" s="232" t="str">
        <f t="shared" si="17"/>
        <v>***</v>
      </c>
      <c r="G47" s="54"/>
      <c r="H47" s="54">
        <f>+IFERROR(VLOOKUP($A47,'Goals &amp; Budget 2026'!$A$2:$EJ$49,4,FALSE),0)</f>
        <v>0</v>
      </c>
      <c r="I47" s="65" t="str">
        <f t="shared" si="18"/>
        <v>***</v>
      </c>
      <c r="J47" s="54"/>
      <c r="K47" s="54">
        <f>+IFERROR(VLOOKUP($A47,'Goals &amp; Budget 2026'!$A$2:$EJ$49,5,FALSE),0)</f>
        <v>0</v>
      </c>
      <c r="L47" s="65" t="str">
        <f t="shared" si="19"/>
        <v>***</v>
      </c>
      <c r="M47" s="54"/>
      <c r="N47" s="54">
        <f>+IFERROR(VLOOKUP($A47,'Goals &amp; Budget 2026'!$A$2:$EJ$49,6,FALSE),0)</f>
        <v>0</v>
      </c>
      <c r="O47" s="232" t="str">
        <f t="shared" si="20"/>
        <v>***</v>
      </c>
      <c r="P47" s="54"/>
      <c r="Q47" s="54">
        <f>+IFERROR(VLOOKUP($A47,'Goals &amp; Budget 2026'!$A$2:$EJ$49,7,FALSE),0)</f>
        <v>0</v>
      </c>
      <c r="R47" s="65" t="str">
        <f t="shared" si="21"/>
        <v>***</v>
      </c>
      <c r="S47" s="54"/>
      <c r="T47" s="54">
        <f>+IFERROR(VLOOKUP($A47,'Goals &amp; Budget 2026'!$A$2:$EJ$49,8,FALSE),0)</f>
        <v>0</v>
      </c>
      <c r="U47" s="65" t="str">
        <f t="shared" si="22"/>
        <v>***</v>
      </c>
      <c r="V47" s="54"/>
      <c r="W47" s="54">
        <f>+IFERROR(VLOOKUP($A47,'Goals &amp; Budget 2026'!$A$2:$EJ$49,9,FALSE),0)</f>
        <v>0</v>
      </c>
      <c r="X47" s="232" t="str">
        <f t="shared" si="23"/>
        <v>***</v>
      </c>
      <c r="Y47" s="54"/>
      <c r="Z47" s="54">
        <f>+IFERROR(VLOOKUP($A47,'Goals &amp; Budget 2026'!$A$2:$EJ$49,10,FALSE),0)</f>
        <v>0</v>
      </c>
      <c r="AA47" s="65" t="str">
        <f t="shared" si="24"/>
        <v>***</v>
      </c>
      <c r="AB47" s="54"/>
      <c r="AC47" s="54">
        <f>+IFERROR(VLOOKUP($A47,'Goals &amp; Budget 2026'!$A$2:$EJ$49,11,FALSE),0)</f>
        <v>0</v>
      </c>
      <c r="AD47" s="65" t="str">
        <f t="shared" si="25"/>
        <v>***</v>
      </c>
      <c r="AE47" s="54"/>
      <c r="AF47" s="54">
        <f>+IFERROR(VLOOKUP($A47,'Goals &amp; Budget 2026'!$A$2:$EJ$49,12,FALSE),0)</f>
        <v>0</v>
      </c>
      <c r="AG47" s="232" t="str">
        <f t="shared" si="26"/>
        <v>***</v>
      </c>
      <c r="AH47" s="54"/>
      <c r="AI47" s="54">
        <f>+IFERROR(VLOOKUP($A47,'Goals &amp; Budget 2026'!$A$2:$EJ$49,13,FALSE),0)</f>
        <v>0</v>
      </c>
      <c r="AJ47" s="65" t="str">
        <f t="shared" si="27"/>
        <v>***</v>
      </c>
      <c r="AK47" s="54"/>
      <c r="AL47" s="54">
        <f>+IFERROR(VLOOKUP($A47,'Goals &amp; Budget 2026'!$A$2:$EJ$49,14,FALSE),0)</f>
        <v>0</v>
      </c>
      <c r="AM47" s="65" t="str">
        <f t="shared" si="28"/>
        <v>***</v>
      </c>
      <c r="AN47" s="54"/>
      <c r="AO47" s="54">
        <f>+IFERROR(VLOOKUP($A47,'Goals &amp; Budget 2026'!$A$2:$EJ$49,15,FALSE),0)</f>
        <v>0</v>
      </c>
      <c r="AP47" s="66" t="str">
        <f t="shared" si="29"/>
        <v>***</v>
      </c>
    </row>
    <row r="48" spans="1:42" ht="20.100000000000001" customHeight="1" x14ac:dyDescent="0.25">
      <c r="A48" s="172" t="s">
        <v>12</v>
      </c>
      <c r="B48" s="173"/>
      <c r="C48" s="236"/>
      <c r="D48" s="125">
        <f>+SUM(D3:D47)</f>
        <v>0</v>
      </c>
      <c r="E48" s="126">
        <f>+SUM(E3:E47)</f>
        <v>0</v>
      </c>
      <c r="F48" s="237" t="str">
        <f t="shared" ref="F48" si="30">IF(AND(D48&gt;0,E48&gt;0),D48/E48,IF(AND(D48&gt;0,E48=0),100%,IF(AND(D48=0,E48&gt;0),0,IF(AND(D48=0,E48=0),"***",0))))</f>
        <v>***</v>
      </c>
      <c r="G48" s="126">
        <f>+SUM(G3:G47)</f>
        <v>0</v>
      </c>
      <c r="H48" s="126">
        <f>+SUM(H3:H47)</f>
        <v>0</v>
      </c>
      <c r="I48" s="238" t="str">
        <f t="shared" ref="I48:I49" si="31">IF(AND(G48&gt;0,H48&gt;0),G48/H48,IF(AND(G48&gt;0,H48=0),100%,IF(AND(G48=0,H48&gt;0),0,IF(AND(G48=0,H48=0),"***",0))))</f>
        <v>***</v>
      </c>
      <c r="J48" s="126">
        <f>+SUM(J3:J47)</f>
        <v>0</v>
      </c>
      <c r="K48" s="126">
        <f>+SUM(K3:K47)</f>
        <v>0</v>
      </c>
      <c r="L48" s="238" t="str">
        <f t="shared" ref="L48:L49" si="32">IF(AND(J48&gt;0,K48&gt;0),J48/K48,IF(AND(J48&gt;0,K48=0),100%,IF(AND(J48=0,K48&gt;0),0,IF(AND(J48=0,K48=0),"***",0))))</f>
        <v>***</v>
      </c>
      <c r="M48" s="126">
        <f>+SUM(M3:M47)</f>
        <v>0</v>
      </c>
      <c r="N48" s="126">
        <f>+SUM(N3:N47)</f>
        <v>0</v>
      </c>
      <c r="O48" s="237" t="str">
        <f t="shared" ref="O48:O49" si="33">IF(AND(M48&gt;0,N48&gt;0),M48/N48,IF(AND(M48&gt;0,N48=0),100%,IF(AND(M48=0,N48&gt;0),0,IF(AND(M48=0,N48=0),"***",0))))</f>
        <v>***</v>
      </c>
      <c r="P48" s="126">
        <f>+SUM(P3:P47)</f>
        <v>0</v>
      </c>
      <c r="Q48" s="126">
        <f>+SUM(Q3:Q47)</f>
        <v>0</v>
      </c>
      <c r="R48" s="238" t="str">
        <f t="shared" ref="R48:R49" si="34">IF(AND(P48&gt;0,Q48&gt;0),P48/Q48,IF(AND(P48&gt;0,Q48=0),100%,IF(AND(P48=0,Q48&gt;0),0,IF(AND(P48=0,Q48=0),"***",0))))</f>
        <v>***</v>
      </c>
      <c r="S48" s="126">
        <f>+SUM(S3:S47)</f>
        <v>0</v>
      </c>
      <c r="T48" s="126">
        <f>+SUM(T3:T47)</f>
        <v>0</v>
      </c>
      <c r="U48" s="238" t="str">
        <f t="shared" ref="U48:U49" si="35">IF(AND(S48&gt;0,T48&gt;0),S48/T48,IF(AND(S48&gt;0,T48=0),100%,IF(AND(S48=0,T48&gt;0),0,IF(AND(S48=0,T48=0),"***",0))))</f>
        <v>***</v>
      </c>
      <c r="V48" s="126">
        <f>+SUM(V3:V47)</f>
        <v>0</v>
      </c>
      <c r="W48" s="126">
        <f>+SUM(W3:W47)</f>
        <v>0</v>
      </c>
      <c r="X48" s="237" t="str">
        <f t="shared" ref="X48:X49" si="36">IF(AND(V48&gt;0,W48&gt;0),V48/W48,IF(AND(V48&gt;0,W48=0),100%,IF(AND(V48=0,W48&gt;0),0,IF(AND(V48=0,W48=0),"***",0))))</f>
        <v>***</v>
      </c>
      <c r="Y48" s="126">
        <f>+SUM(Y3:Y47)</f>
        <v>0</v>
      </c>
      <c r="Z48" s="126">
        <f>+SUM(Z3:Z47)</f>
        <v>0</v>
      </c>
      <c r="AA48" s="238" t="str">
        <f t="shared" ref="AA48:AA49" si="37">IF(AND(Y48&gt;0,Z48&gt;0),Y48/Z48,IF(AND(Y48&gt;0,Z48=0),100%,IF(AND(Y48=0,Z48&gt;0),0,IF(AND(Y48=0,Z48=0),"***",0))))</f>
        <v>***</v>
      </c>
      <c r="AB48" s="126">
        <f>+SUM(AB3:AB47)</f>
        <v>0</v>
      </c>
      <c r="AC48" s="126">
        <f>+SUM(AC3:AC47)</f>
        <v>0</v>
      </c>
      <c r="AD48" s="238" t="str">
        <f t="shared" ref="AD48:AD49" si="38">IF(AND(AB48&gt;0,AC48&gt;0),AB48/AC48,IF(AND(AB48&gt;0,AC48=0),100%,IF(AND(AB48=0,AC48&gt;0),0,IF(AND(AB48=0,AC48=0),"***",0))))</f>
        <v>***</v>
      </c>
      <c r="AE48" s="126">
        <f>+SUM(AE3:AE47)</f>
        <v>0</v>
      </c>
      <c r="AF48" s="126">
        <f>+SUM(AF3:AF47)</f>
        <v>0</v>
      </c>
      <c r="AG48" s="237" t="str">
        <f t="shared" ref="AG48:AG49" si="39">IF(AND(AE48&gt;0,AF48&gt;0),AE48/AF48,IF(AND(AE48&gt;0,AF48=0),100%,IF(AND(AE48=0,AF48&gt;0),0,IF(AND(AE48=0,AF48=0),"***",0))))</f>
        <v>***</v>
      </c>
      <c r="AH48" s="126">
        <f>+SUM(AH3:AH47)</f>
        <v>0</v>
      </c>
      <c r="AI48" s="126">
        <f>+SUM(AI3:AI47)</f>
        <v>0</v>
      </c>
      <c r="AJ48" s="238" t="str">
        <f t="shared" ref="AJ48:AJ49" si="40">IF(AND(AH48&gt;0,AI48&gt;0),AH48/AI48,IF(AND(AH48&gt;0,AI48=0),100%,IF(AND(AH48=0,AI48&gt;0),0,IF(AND(AH48=0,AI48=0),"***",0))))</f>
        <v>***</v>
      </c>
      <c r="AK48" s="126">
        <f>+SUM(AK3:AK47)</f>
        <v>0</v>
      </c>
      <c r="AL48" s="126">
        <f>+SUM(AL3:AL47)</f>
        <v>0</v>
      </c>
      <c r="AM48" s="238" t="str">
        <f t="shared" ref="AM48:AM49" si="41">IF(AND(AK48&gt;0,AL48&gt;0),AK48/AL48,IF(AND(AK48&gt;0,AL48=0),100%,IF(AND(AK48=0,AL48&gt;0),0,IF(AND(AK48=0,AL48=0),"***",0))))</f>
        <v>***</v>
      </c>
      <c r="AN48" s="126">
        <f>+SUM(AN3:AN47)</f>
        <v>0</v>
      </c>
      <c r="AO48" s="126">
        <f>+SUM(AO3:AO47)</f>
        <v>0</v>
      </c>
      <c r="AP48" s="239" t="str">
        <f t="shared" ref="AP48:AP49" si="42">IF(AND(AN48&gt;0,AO48&gt;0),AN48/AO48,IF(AND(AN48&gt;0,AO48=0),100%,IF(AND(AN48=0,AO48&gt;0),0,IF(AND(AN48=0,AO48=0),"***",0))))</f>
        <v>***</v>
      </c>
    </row>
    <row r="49" spans="1:42" ht="20.100000000000001" customHeight="1" thickBot="1" x14ac:dyDescent="0.3">
      <c r="A49" s="240" t="s">
        <v>23</v>
      </c>
      <c r="B49" s="241"/>
      <c r="C49" s="242"/>
      <c r="D49" s="139">
        <f>+SUMPRODUCT(D3:D47,$B$3:$B$47)</f>
        <v>0</v>
      </c>
      <c r="E49" s="140">
        <f>+SUMPRODUCT(E3:E47,$B$3:$B$47)</f>
        <v>0</v>
      </c>
      <c r="F49" s="243" t="str">
        <f>IF(AND(D49&gt;0,E49&gt;0),D49/E49,IF(AND(D49&gt;0,E49=0),100%,IF(AND(D49=0,E49&gt;0),0,IF(AND(D49=0,E49=0),"***",0))))</f>
        <v>***</v>
      </c>
      <c r="G49" s="140">
        <f>+SUMPRODUCT(G3:G47,$B$3:$B$47)</f>
        <v>0</v>
      </c>
      <c r="H49" s="140">
        <f>+SUMPRODUCT(H3:H47,$B$3:$B$47)</f>
        <v>0</v>
      </c>
      <c r="I49" s="244" t="str">
        <f t="shared" si="31"/>
        <v>***</v>
      </c>
      <c r="J49" s="140">
        <f>+SUMPRODUCT(J3:J47,$B$3:$B$47)</f>
        <v>0</v>
      </c>
      <c r="K49" s="140">
        <f>+SUMPRODUCT(K3:K47,$B$3:$B$47)</f>
        <v>0</v>
      </c>
      <c r="L49" s="244" t="str">
        <f t="shared" si="32"/>
        <v>***</v>
      </c>
      <c r="M49" s="140">
        <f>+SUMPRODUCT(M3:M47,$B$3:$B$47)</f>
        <v>0</v>
      </c>
      <c r="N49" s="140">
        <f>+SUMPRODUCT(N3:N47,$B$3:$B$47)</f>
        <v>0</v>
      </c>
      <c r="O49" s="243" t="str">
        <f t="shared" si="33"/>
        <v>***</v>
      </c>
      <c r="P49" s="140">
        <f>+SUMPRODUCT(P3:P47,$B$3:$B$47)</f>
        <v>0</v>
      </c>
      <c r="Q49" s="140">
        <f>+SUMPRODUCT(Q3:Q47,$B$3:$B$47)</f>
        <v>0</v>
      </c>
      <c r="R49" s="244" t="str">
        <f t="shared" si="34"/>
        <v>***</v>
      </c>
      <c r="S49" s="140">
        <f>+SUMPRODUCT(S3:S47,$B$3:$B$47)</f>
        <v>0</v>
      </c>
      <c r="T49" s="140">
        <f>+SUMPRODUCT(T3:T47,$B$3:$B$47)</f>
        <v>0</v>
      </c>
      <c r="U49" s="244" t="str">
        <f t="shared" si="35"/>
        <v>***</v>
      </c>
      <c r="V49" s="140">
        <f>+SUMPRODUCT(V3:V47,$B$3:$B$47)</f>
        <v>0</v>
      </c>
      <c r="W49" s="140">
        <f>+SUMPRODUCT(W3:W47,$B$3:$B$47)</f>
        <v>0</v>
      </c>
      <c r="X49" s="243" t="str">
        <f t="shared" si="36"/>
        <v>***</v>
      </c>
      <c r="Y49" s="140">
        <f>+SUMPRODUCT(Y3:Y47,$B$3:$B$47)</f>
        <v>0</v>
      </c>
      <c r="Z49" s="140">
        <f>+SUMPRODUCT(Z3:Z47,$B$3:$B$47)</f>
        <v>0</v>
      </c>
      <c r="AA49" s="244" t="str">
        <f t="shared" si="37"/>
        <v>***</v>
      </c>
      <c r="AB49" s="140">
        <f>+SUMPRODUCT(AB3:AB47,$B$3:$B$47)</f>
        <v>0</v>
      </c>
      <c r="AC49" s="140">
        <f>+SUMPRODUCT(AC3:AC47,$B$3:$B$47)</f>
        <v>0</v>
      </c>
      <c r="AD49" s="244" t="str">
        <f t="shared" si="38"/>
        <v>***</v>
      </c>
      <c r="AE49" s="140">
        <f>+SUMPRODUCT(AE3:AE47,$B$3:$B$47)</f>
        <v>0</v>
      </c>
      <c r="AF49" s="140">
        <f>+SUMPRODUCT(AF3:AF47,$B$3:$B$47)</f>
        <v>0</v>
      </c>
      <c r="AG49" s="243" t="str">
        <f t="shared" si="39"/>
        <v>***</v>
      </c>
      <c r="AH49" s="140">
        <f>+SUMPRODUCT(AH3:AH47,$B$3:$B$47)</f>
        <v>0</v>
      </c>
      <c r="AI49" s="140">
        <f>+SUMPRODUCT(AI3:AI47,$B$3:$B$47)</f>
        <v>0</v>
      </c>
      <c r="AJ49" s="244" t="str">
        <f t="shared" si="40"/>
        <v>***</v>
      </c>
      <c r="AK49" s="140">
        <f>+SUMPRODUCT(AK3:AK47,$B$3:$B$47)</f>
        <v>0</v>
      </c>
      <c r="AL49" s="140">
        <f>+SUMPRODUCT(AL3:AL47,$B$3:$B$47)</f>
        <v>0</v>
      </c>
      <c r="AM49" s="244" t="str">
        <f t="shared" si="41"/>
        <v>***</v>
      </c>
      <c r="AN49" s="140">
        <f>+SUMPRODUCT(AN3:AN47,$B$3:$B$47)</f>
        <v>0</v>
      </c>
      <c r="AO49" s="140">
        <f>+SUMPRODUCT(AO3:AO47,$B$3:$B$47)</f>
        <v>0</v>
      </c>
      <c r="AP49" s="245" t="str">
        <f t="shared" si="42"/>
        <v>***</v>
      </c>
    </row>
  </sheetData>
  <mergeCells count="16">
    <mergeCell ref="AK1:AM1"/>
    <mergeCell ref="AN1:AP1"/>
    <mergeCell ref="A48:C48"/>
    <mergeCell ref="A49:C49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conditionalFormatting sqref="F3:F49 I3:I49 L3:L49 O3:O49 R3:R49 U3:U49 X3:X49 AA3:AA49 AD3:AD49 AG3:AG49 AJ3:AJ49 AM3:AM49 AP3:AP49">
    <cfRule type="cellIs" priority="1" operator="equal">
      <formula>"***"</formula>
    </cfRule>
    <cfRule type="cellIs" dxfId="21" priority="2" operator="lessThan">
      <formula>1</formula>
    </cfRule>
    <cfRule type="cellIs" dxfId="20" priority="3" operator="greaterThanOr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B493-2E46-442E-B175-F9BF133B228A}">
  <sheetPr>
    <tabColor theme="5" tint="0.79998168889431442"/>
  </sheetPr>
  <dimension ref="A1:AP49"/>
  <sheetViews>
    <sheetView showGridLines="0" zoomScale="55" zoomScaleNormal="55" workbookViewId="0">
      <pane xSplit="6" ySplit="2" topLeftCell="G6" activePane="bottomRight" state="frozen"/>
      <selection activeCell="Z21" sqref="Z21:Z23"/>
      <selection pane="topRight" activeCell="Z21" sqref="Z21:Z23"/>
      <selection pane="bottomLeft" activeCell="Z21" sqref="Z21:Z23"/>
      <selection pane="bottomRight" activeCell="C47" sqref="A1:AP49"/>
    </sheetView>
  </sheetViews>
  <sheetFormatPr defaultRowHeight="20.100000000000001" customHeight="1" x14ac:dyDescent="0.25"/>
  <cols>
    <col min="1" max="1" width="15.85546875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+'Dashboard - Overview &amp; Project'!H2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35">
        <f>+G3</f>
        <v>0</v>
      </c>
      <c r="E3" s="38">
        <f>+H3</f>
        <v>0</v>
      </c>
      <c r="F3" s="230" t="str">
        <f>IF(AND(D3&gt;0,E3&gt;0),D3/E3,IF(AND(D3&gt;0,E3=0),100%,IF(AND(D3=0,E3&gt;0),0,IF(AND(D3=0,E3=0),"***",0))))</f>
        <v>***</v>
      </c>
      <c r="G3" s="38"/>
      <c r="H3" s="38">
        <f>+IFERROR(VLOOKUP($A3,'Goals &amp; Budget 2026'!$A$2:$EJ$49,20,FALSE),0)</f>
        <v>0</v>
      </c>
      <c r="I3" s="49" t="str">
        <f>IF(AND(G3&gt;0,H3&gt;0),G3/H3,IF(AND(G3&gt;0,H3=0),100%,IF(AND(G3=0,H3&gt;0),0,IF(AND(G3=0,H3=0),"***",0))))</f>
        <v>***</v>
      </c>
      <c r="J3" s="38"/>
      <c r="K3" s="38">
        <f>+IFERROR(VLOOKUP($A3,'Goals &amp; Budget 2026'!$A$2:$EJ$49,21,FALSE),0)</f>
        <v>0</v>
      </c>
      <c r="L3" s="49" t="str">
        <f>IF(AND(J3&gt;0,K3&gt;0),J3/K3,IF(AND(J3&gt;0,K3=0),100%,IF(AND(J3=0,K3&gt;0),0,IF(AND(J3=0,K3=0),"***",0))))</f>
        <v>***</v>
      </c>
      <c r="M3" s="38"/>
      <c r="N3" s="38">
        <f>+IFERROR(VLOOKUP($A3,'Goals &amp; Budget 2026'!$A$2:$EJ$49,22,FALSE),0)</f>
        <v>0</v>
      </c>
      <c r="O3" s="230" t="str">
        <f>IF(AND(M3&gt;0,N3&gt;0),M3/N3,IF(AND(M3&gt;0,N3=0),100%,IF(AND(M3=0,N3&gt;0),0,IF(AND(M3=0,N3=0),"***",0))))</f>
        <v>***</v>
      </c>
      <c r="P3" s="38"/>
      <c r="Q3" s="38">
        <f>+IFERROR(VLOOKUP($A3,'Goals &amp; Budget 2026'!$A$2:$EJ$49,23,FALSE),0)</f>
        <v>0</v>
      </c>
      <c r="R3" s="49" t="str">
        <f>IF(AND(P3&gt;0,Q3&gt;0),P3/Q3,IF(AND(P3&gt;0,Q3=0),100%,IF(AND(P3=0,Q3&gt;0),0,IF(AND(P3=0,Q3=0),"***",0))))</f>
        <v>***</v>
      </c>
      <c r="S3" s="38"/>
      <c r="T3" s="38">
        <f>+IFERROR(VLOOKUP($A3,'Goals &amp; Budget 2026'!$A$2:$EJ$49,24,FALSE),0)</f>
        <v>0</v>
      </c>
      <c r="U3" s="49" t="str">
        <f>IF(AND(S3&gt;0,T3&gt;0),S3/T3,IF(AND(S3&gt;0,T3=0),100%,IF(AND(S3=0,T3&gt;0),0,IF(AND(S3=0,T3=0),"***",0))))</f>
        <v>***</v>
      </c>
      <c r="V3" s="38"/>
      <c r="W3" s="38">
        <f>+IFERROR(VLOOKUP($A3,'Goals &amp; Budget 2026'!$A$2:$EJ$49,25,FALSE),0)</f>
        <v>0</v>
      </c>
      <c r="X3" s="230" t="str">
        <f>IF(AND(V3&gt;0,W3&gt;0),V3/W3,IF(AND(V3&gt;0,W3=0),100%,IF(AND(V3=0,W3&gt;0),0,IF(AND(V3=0,W3=0),"***",0))))</f>
        <v>***</v>
      </c>
      <c r="Y3" s="38"/>
      <c r="Z3" s="38">
        <f>+IFERROR(VLOOKUP($A3,'Goals &amp; Budget 2026'!$A$2:$EJ$49,26,FALSE),0)</f>
        <v>0</v>
      </c>
      <c r="AA3" s="49" t="str">
        <f>IF(AND(Y3&gt;0,Z3&gt;0),Y3/Z3,IF(AND(Y3&gt;0,Z3=0),100%,IF(AND(Y3=0,Z3&gt;0),0,IF(AND(Y3=0,Z3=0),"***",0))))</f>
        <v>***</v>
      </c>
      <c r="AB3" s="38"/>
      <c r="AC3" s="38">
        <f>+IFERROR(VLOOKUP($A3,'Goals &amp; Budget 2026'!$A$2:$EJ$49,27,FALSE),0)</f>
        <v>0</v>
      </c>
      <c r="AD3" s="49" t="str">
        <f>IF(AND(AB3&gt;0,AC3&gt;0),AB3/AC3,IF(AND(AB3&gt;0,AC3=0),100%,IF(AND(AB3=0,AC3&gt;0),0,IF(AND(AB3=0,AC3=0),"***",0))))</f>
        <v>***</v>
      </c>
      <c r="AE3" s="38"/>
      <c r="AF3" s="38">
        <f>+IFERROR(VLOOKUP($A3,'Goals &amp; Budget 2026'!$A$2:$EJ$49,28,FALSE),0)</f>
        <v>0</v>
      </c>
      <c r="AG3" s="230" t="str">
        <f>IF(AND(AE3&gt;0,AF3&gt;0),AE3/AF3,IF(AND(AE3&gt;0,AF3=0),100%,IF(AND(AE3=0,AF3&gt;0),0,IF(AND(AE3=0,AF3=0),"***",0))))</f>
        <v>***</v>
      </c>
      <c r="AH3" s="38"/>
      <c r="AI3" s="38">
        <f>+IFERROR(VLOOKUP($A3,'Goals &amp; Budget 2026'!$A$2:$EJ$49,29,FALSE),0)</f>
        <v>0</v>
      </c>
      <c r="AJ3" s="49" t="str">
        <f>IF(AND(AH3&gt;0,AI3&gt;0),AH3/AI3,IF(AND(AH3&gt;0,AI3=0),100%,IF(AND(AH3=0,AI3&gt;0),0,IF(AND(AH3=0,AI3=0),"***",0))))</f>
        <v>***</v>
      </c>
      <c r="AK3" s="38"/>
      <c r="AL3" s="38">
        <f>+IFERROR(VLOOKUP($A3,'Goals &amp; Budget 2026'!$A$2:$EJ$49,30,FALSE),0)</f>
        <v>0</v>
      </c>
      <c r="AM3" s="49" t="str">
        <f>IF(AND(AK3&gt;0,AL3&gt;0),AK3/AL3,IF(AND(AK3&gt;0,AL3=0),100%,IF(AND(AK3=0,AL3&gt;0),0,IF(AND(AK3=0,AL3=0),"***",0))))</f>
        <v>***</v>
      </c>
      <c r="AN3" s="38"/>
      <c r="AO3" s="38">
        <f>+IFERROR(VLOOKUP($A3,'Goals &amp; Budget 2026'!$A$2:$EJ$49,31,FALSE),0)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0">
        <f t="shared" ref="D4:D47" si="0">+G4</f>
        <v>0</v>
      </c>
      <c r="E4" s="73">
        <f t="shared" ref="E4:E47" si="1">+H4</f>
        <v>0</v>
      </c>
      <c r="F4" s="231" t="str">
        <f t="shared" ref="F4:F47" si="2">IF(AND(D4&gt;0,E4&gt;0),D4/E4,IF(AND(D4&gt;0,E4=0),100%,IF(AND(D4=0,E4&gt;0),0,IF(AND(D4=0,E4=0),"***",0))))</f>
        <v>***</v>
      </c>
      <c r="G4" s="73"/>
      <c r="H4" s="73">
        <f>+IFERROR(VLOOKUP($A4,'Goals &amp; Budget 2026'!$A$2:$EJ$49,20,FALSE),0)</f>
        <v>0</v>
      </c>
      <c r="I4" s="84" t="str">
        <f t="shared" ref="I4:I47" si="3">IF(AND(G4&gt;0,H4&gt;0),G4/H4,IF(AND(G4&gt;0,H4=0),100%,IF(AND(G4=0,H4&gt;0),0,IF(AND(G4=0,H4=0),"***",0))))</f>
        <v>***</v>
      </c>
      <c r="J4" s="73"/>
      <c r="K4" s="73">
        <f>+IFERROR(VLOOKUP($A4,'Goals &amp; Budget 2026'!$A$2:$EJ$49,21,FALSE),0)</f>
        <v>0</v>
      </c>
      <c r="L4" s="84" t="str">
        <f t="shared" ref="L4:L47" si="4">IF(AND(J4&gt;0,K4&gt;0),J4/K4,IF(AND(J4&gt;0,K4=0),100%,IF(AND(J4=0,K4&gt;0),0,IF(AND(J4=0,K4=0),"***",0))))</f>
        <v>***</v>
      </c>
      <c r="M4" s="73"/>
      <c r="N4" s="73">
        <f>+IFERROR(VLOOKUP($A4,'Goals &amp; Budget 2026'!$A$2:$EJ$49,22,FALSE),0)</f>
        <v>0</v>
      </c>
      <c r="O4" s="231" t="str">
        <f t="shared" ref="O4:O47" si="5">IF(AND(M4&gt;0,N4&gt;0),M4/N4,IF(AND(M4&gt;0,N4=0),100%,IF(AND(M4=0,N4&gt;0),0,IF(AND(M4=0,N4=0),"***",0))))</f>
        <v>***</v>
      </c>
      <c r="P4" s="73"/>
      <c r="Q4" s="73">
        <f>+IFERROR(VLOOKUP($A4,'Goals &amp; Budget 2026'!$A$2:$EJ$49,23,FALSE),0)</f>
        <v>0</v>
      </c>
      <c r="R4" s="84" t="str">
        <f t="shared" ref="R4:R47" si="6">IF(AND(P4&gt;0,Q4&gt;0),P4/Q4,IF(AND(P4&gt;0,Q4=0),100%,IF(AND(P4=0,Q4&gt;0),0,IF(AND(P4=0,Q4=0),"***",0))))</f>
        <v>***</v>
      </c>
      <c r="S4" s="73"/>
      <c r="T4" s="73">
        <f>+IFERROR(VLOOKUP($A4,'Goals &amp; Budget 2026'!$A$2:$EJ$49,24,FALSE),0)</f>
        <v>0</v>
      </c>
      <c r="U4" s="84" t="str">
        <f t="shared" ref="U4:U47" si="7">IF(AND(S4&gt;0,T4&gt;0),S4/T4,IF(AND(S4&gt;0,T4=0),100%,IF(AND(S4=0,T4&gt;0),0,IF(AND(S4=0,T4=0),"***",0))))</f>
        <v>***</v>
      </c>
      <c r="V4" s="73"/>
      <c r="W4" s="73">
        <f>+IFERROR(VLOOKUP($A4,'Goals &amp; Budget 2026'!$A$2:$EJ$49,25,FALSE),0)</f>
        <v>0</v>
      </c>
      <c r="X4" s="231" t="str">
        <f t="shared" ref="X4:X47" si="8">IF(AND(V4&gt;0,W4&gt;0),V4/W4,IF(AND(V4&gt;0,W4=0),100%,IF(AND(V4=0,W4&gt;0),0,IF(AND(V4=0,W4=0),"***",0))))</f>
        <v>***</v>
      </c>
      <c r="Y4" s="73"/>
      <c r="Z4" s="73">
        <f>+IFERROR(VLOOKUP($A4,'Goals &amp; Budget 2026'!$A$2:$EJ$49,26,FALSE),0)</f>
        <v>0</v>
      </c>
      <c r="AA4" s="84" t="str">
        <f t="shared" ref="AA4:AA47" si="9">IF(AND(Y4&gt;0,Z4&gt;0),Y4/Z4,IF(AND(Y4&gt;0,Z4=0),100%,IF(AND(Y4=0,Z4&gt;0),0,IF(AND(Y4=0,Z4=0),"***",0))))</f>
        <v>***</v>
      </c>
      <c r="AB4" s="73"/>
      <c r="AC4" s="73">
        <f>+IFERROR(VLOOKUP($A4,'Goals &amp; Budget 2026'!$A$2:$EJ$49,27,FALSE),0)</f>
        <v>0</v>
      </c>
      <c r="AD4" s="84" t="str">
        <f t="shared" ref="AD4:AD47" si="10">IF(AND(AB4&gt;0,AC4&gt;0),AB4/AC4,IF(AND(AB4&gt;0,AC4=0),100%,IF(AND(AB4=0,AC4&gt;0),0,IF(AND(AB4=0,AC4=0),"***",0))))</f>
        <v>***</v>
      </c>
      <c r="AE4" s="73"/>
      <c r="AF4" s="73">
        <f>+IFERROR(VLOOKUP($A4,'Goals &amp; Budget 2026'!$A$2:$EJ$49,28,FALSE),0)</f>
        <v>0</v>
      </c>
      <c r="AG4" s="231" t="str">
        <f t="shared" ref="AG4:AG47" si="11">IF(AND(AE4&gt;0,AF4&gt;0),AE4/AF4,IF(AND(AE4&gt;0,AF4=0),100%,IF(AND(AE4=0,AF4&gt;0),0,IF(AND(AE4=0,AF4=0),"***",0))))</f>
        <v>***</v>
      </c>
      <c r="AH4" s="73"/>
      <c r="AI4" s="73">
        <f>+IFERROR(VLOOKUP($A4,'Goals &amp; Budget 2026'!$A$2:$EJ$49,29,FALSE),0)</f>
        <v>0</v>
      </c>
      <c r="AJ4" s="84" t="str">
        <f t="shared" ref="AJ4:AJ47" si="12">IF(AND(AH4&gt;0,AI4&gt;0),AH4/AI4,IF(AND(AH4&gt;0,AI4=0),100%,IF(AND(AH4=0,AI4&gt;0),0,IF(AND(AH4=0,AI4=0),"***",0))))</f>
        <v>***</v>
      </c>
      <c r="AK4" s="73"/>
      <c r="AL4" s="73">
        <f>+IFERROR(VLOOKUP($A4,'Goals &amp; Budget 2026'!$A$2:$EJ$49,30,FALSE),0)</f>
        <v>0</v>
      </c>
      <c r="AM4" s="84" t="str">
        <f t="shared" ref="AM4:AM47" si="13">IF(AND(AK4&gt;0,AL4&gt;0),AK4/AL4,IF(AND(AK4&gt;0,AL4=0),100%,IF(AND(AK4=0,AL4&gt;0),0,IF(AND(AK4=0,AL4=0),"***",0))))</f>
        <v>***</v>
      </c>
      <c r="AN4" s="73"/>
      <c r="AO4" s="73">
        <f>+IFERROR(VLOOKUP($A4,'Goals &amp; Budget 2026'!$A$2:$EJ$49,31,FALSE),0)</f>
        <v>0</v>
      </c>
      <c r="AP4" s="85" t="str">
        <f t="shared" ref="AP4:AP47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0">
        <f t="shared" ref="D5:D47" si="15">+G5</f>
        <v>0</v>
      </c>
      <c r="E5" s="73">
        <f t="shared" ref="E5:E47" si="16">+H5</f>
        <v>0</v>
      </c>
      <c r="F5" s="231" t="str">
        <f t="shared" ref="F5:F47" si="17">IF(AND(D5&gt;0,E5&gt;0),D5/E5,IF(AND(D5&gt;0,E5=0),100%,IF(AND(D5=0,E5&gt;0),0,IF(AND(D5=0,E5=0),"***",0))))</f>
        <v>***</v>
      </c>
      <c r="G5" s="73"/>
      <c r="H5" s="73">
        <f>+IFERROR(VLOOKUP($A5,'Goals &amp; Budget 2026'!$A$2:$EJ$49,20,FALSE),0)</f>
        <v>0</v>
      </c>
      <c r="I5" s="84" t="str">
        <f t="shared" ref="I5:I47" si="18">IF(AND(G5&gt;0,H5&gt;0),G5/H5,IF(AND(G5&gt;0,H5=0),100%,IF(AND(G5=0,H5&gt;0),0,IF(AND(G5=0,H5=0),"***",0))))</f>
        <v>***</v>
      </c>
      <c r="J5" s="73"/>
      <c r="K5" s="73">
        <f>+IFERROR(VLOOKUP($A5,'Goals &amp; Budget 2026'!$A$2:$EJ$49,21,FALSE),0)</f>
        <v>0</v>
      </c>
      <c r="L5" s="84" t="str">
        <f t="shared" ref="L5:L47" si="19">IF(AND(J5&gt;0,K5&gt;0),J5/K5,IF(AND(J5&gt;0,K5=0),100%,IF(AND(J5=0,K5&gt;0),0,IF(AND(J5=0,K5=0),"***",0))))</f>
        <v>***</v>
      </c>
      <c r="M5" s="73"/>
      <c r="N5" s="73">
        <f>+IFERROR(VLOOKUP($A5,'Goals &amp; Budget 2026'!$A$2:$EJ$49,22,FALSE),0)</f>
        <v>0</v>
      </c>
      <c r="O5" s="231" t="str">
        <f t="shared" ref="O5:O47" si="20">IF(AND(M5&gt;0,N5&gt;0),M5/N5,IF(AND(M5&gt;0,N5=0),100%,IF(AND(M5=0,N5&gt;0),0,IF(AND(M5=0,N5=0),"***",0))))</f>
        <v>***</v>
      </c>
      <c r="P5" s="73"/>
      <c r="Q5" s="73">
        <f>+IFERROR(VLOOKUP($A5,'Goals &amp; Budget 2026'!$A$2:$EJ$49,23,FALSE),0)</f>
        <v>0</v>
      </c>
      <c r="R5" s="84" t="str">
        <f t="shared" ref="R5:R47" si="21">IF(AND(P5&gt;0,Q5&gt;0),P5/Q5,IF(AND(P5&gt;0,Q5=0),100%,IF(AND(P5=0,Q5&gt;0),0,IF(AND(P5=0,Q5=0),"***",0))))</f>
        <v>***</v>
      </c>
      <c r="S5" s="73"/>
      <c r="T5" s="73">
        <f>+IFERROR(VLOOKUP($A5,'Goals &amp; Budget 2026'!$A$2:$EJ$49,24,FALSE),0)</f>
        <v>0</v>
      </c>
      <c r="U5" s="84" t="str">
        <f t="shared" ref="U5:U47" si="22">IF(AND(S5&gt;0,T5&gt;0),S5/T5,IF(AND(S5&gt;0,T5=0),100%,IF(AND(S5=0,T5&gt;0),0,IF(AND(S5=0,T5=0),"***",0))))</f>
        <v>***</v>
      </c>
      <c r="V5" s="73"/>
      <c r="W5" s="73">
        <f>+IFERROR(VLOOKUP($A5,'Goals &amp; Budget 2026'!$A$2:$EJ$49,25,FALSE),0)</f>
        <v>0</v>
      </c>
      <c r="X5" s="231" t="str">
        <f t="shared" ref="X5:X47" si="23">IF(AND(V5&gt;0,W5&gt;0),V5/W5,IF(AND(V5&gt;0,W5=0),100%,IF(AND(V5=0,W5&gt;0),0,IF(AND(V5=0,W5=0),"***",0))))</f>
        <v>***</v>
      </c>
      <c r="Y5" s="73"/>
      <c r="Z5" s="73">
        <f>+IFERROR(VLOOKUP($A5,'Goals &amp; Budget 2026'!$A$2:$EJ$49,26,FALSE),0)</f>
        <v>0</v>
      </c>
      <c r="AA5" s="84" t="str">
        <f t="shared" ref="AA5:AA47" si="24">IF(AND(Y5&gt;0,Z5&gt;0),Y5/Z5,IF(AND(Y5&gt;0,Z5=0),100%,IF(AND(Y5=0,Z5&gt;0),0,IF(AND(Y5=0,Z5=0),"***",0))))</f>
        <v>***</v>
      </c>
      <c r="AB5" s="73"/>
      <c r="AC5" s="73">
        <f>+IFERROR(VLOOKUP($A5,'Goals &amp; Budget 2026'!$A$2:$EJ$49,27,FALSE),0)</f>
        <v>0</v>
      </c>
      <c r="AD5" s="84" t="str">
        <f t="shared" ref="AD5:AD47" si="25">IF(AND(AB5&gt;0,AC5&gt;0),AB5/AC5,IF(AND(AB5&gt;0,AC5=0),100%,IF(AND(AB5=0,AC5&gt;0),0,IF(AND(AB5=0,AC5=0),"***",0))))</f>
        <v>***</v>
      </c>
      <c r="AE5" s="73"/>
      <c r="AF5" s="73">
        <f>+IFERROR(VLOOKUP($A5,'Goals &amp; Budget 2026'!$A$2:$EJ$49,28,FALSE),0)</f>
        <v>0</v>
      </c>
      <c r="AG5" s="231" t="str">
        <f t="shared" ref="AG5:AG47" si="26">IF(AND(AE5&gt;0,AF5&gt;0),AE5/AF5,IF(AND(AE5&gt;0,AF5=0),100%,IF(AND(AE5=0,AF5&gt;0),0,IF(AND(AE5=0,AF5=0),"***",0))))</f>
        <v>***</v>
      </c>
      <c r="AH5" s="73"/>
      <c r="AI5" s="73">
        <f>+IFERROR(VLOOKUP($A5,'Goals &amp; Budget 2026'!$A$2:$EJ$49,29,FALSE),0)</f>
        <v>0</v>
      </c>
      <c r="AJ5" s="84" t="str">
        <f t="shared" ref="AJ5:AJ47" si="27">IF(AND(AH5&gt;0,AI5&gt;0),AH5/AI5,IF(AND(AH5&gt;0,AI5=0),100%,IF(AND(AH5=0,AI5&gt;0),0,IF(AND(AH5=0,AI5=0),"***",0))))</f>
        <v>***</v>
      </c>
      <c r="AK5" s="73"/>
      <c r="AL5" s="73">
        <f>+IFERROR(VLOOKUP($A5,'Goals &amp; Budget 2026'!$A$2:$EJ$49,30,FALSE),0)</f>
        <v>0</v>
      </c>
      <c r="AM5" s="84" t="str">
        <f t="shared" ref="AM5:AM47" si="28">IF(AND(AK5&gt;0,AL5&gt;0),AK5/AL5,IF(AND(AK5&gt;0,AL5=0),100%,IF(AND(AK5=0,AL5&gt;0),0,IF(AND(AK5=0,AL5=0),"***",0))))</f>
        <v>***</v>
      </c>
      <c r="AN5" s="73"/>
      <c r="AO5" s="73">
        <f>+IFERROR(VLOOKUP($A5,'Goals &amp; Budget 2026'!$A$2:$EJ$49,31,FALSE),0)</f>
        <v>0</v>
      </c>
      <c r="AP5" s="85" t="str">
        <f t="shared" ref="AP5:AP47" si="29">IF(AND(AN5&gt;0,AO5&gt;0),AN5/AO5,IF(AND(AN5&gt;0,AO5=0),100%,IF(AND(AN5=0,AO5&gt;0),0,IF(AND(AN5=0,AO5=0),"***",0))))</f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0">
        <f t="shared" si="15"/>
        <v>0</v>
      </c>
      <c r="E6" s="73">
        <f t="shared" si="16"/>
        <v>0</v>
      </c>
      <c r="F6" s="231" t="str">
        <f t="shared" si="17"/>
        <v>***</v>
      </c>
      <c r="G6" s="73"/>
      <c r="H6" s="73">
        <f>+IFERROR(VLOOKUP($A6,'Goals &amp; Budget 2026'!$A$2:$EJ$49,20,FALSE),0)</f>
        <v>0</v>
      </c>
      <c r="I6" s="84" t="str">
        <f t="shared" si="18"/>
        <v>***</v>
      </c>
      <c r="J6" s="73"/>
      <c r="K6" s="73">
        <f>+IFERROR(VLOOKUP($A6,'Goals &amp; Budget 2026'!$A$2:$EJ$49,21,FALSE),0)</f>
        <v>0</v>
      </c>
      <c r="L6" s="84" t="str">
        <f t="shared" si="19"/>
        <v>***</v>
      </c>
      <c r="M6" s="73"/>
      <c r="N6" s="73">
        <f>+IFERROR(VLOOKUP($A6,'Goals &amp; Budget 2026'!$A$2:$EJ$49,22,FALSE),0)</f>
        <v>0</v>
      </c>
      <c r="O6" s="231" t="str">
        <f t="shared" si="20"/>
        <v>***</v>
      </c>
      <c r="P6" s="73"/>
      <c r="Q6" s="73">
        <f>+IFERROR(VLOOKUP($A6,'Goals &amp; Budget 2026'!$A$2:$EJ$49,23,FALSE),0)</f>
        <v>0</v>
      </c>
      <c r="R6" s="84" t="str">
        <f t="shared" si="21"/>
        <v>***</v>
      </c>
      <c r="S6" s="73"/>
      <c r="T6" s="73">
        <f>+IFERROR(VLOOKUP($A6,'Goals &amp; Budget 2026'!$A$2:$EJ$49,24,FALSE),0)</f>
        <v>0</v>
      </c>
      <c r="U6" s="84" t="str">
        <f t="shared" si="22"/>
        <v>***</v>
      </c>
      <c r="V6" s="73"/>
      <c r="W6" s="73">
        <f>+IFERROR(VLOOKUP($A6,'Goals &amp; Budget 2026'!$A$2:$EJ$49,25,FALSE),0)</f>
        <v>0</v>
      </c>
      <c r="X6" s="231" t="str">
        <f t="shared" si="23"/>
        <v>***</v>
      </c>
      <c r="Y6" s="73"/>
      <c r="Z6" s="73">
        <f>+IFERROR(VLOOKUP($A6,'Goals &amp; Budget 2026'!$A$2:$EJ$49,26,FALSE),0)</f>
        <v>0</v>
      </c>
      <c r="AA6" s="84" t="str">
        <f t="shared" si="24"/>
        <v>***</v>
      </c>
      <c r="AB6" s="73"/>
      <c r="AC6" s="73">
        <f>+IFERROR(VLOOKUP($A6,'Goals &amp; Budget 2026'!$A$2:$EJ$49,27,FALSE),0)</f>
        <v>0</v>
      </c>
      <c r="AD6" s="84" t="str">
        <f t="shared" si="25"/>
        <v>***</v>
      </c>
      <c r="AE6" s="73"/>
      <c r="AF6" s="73">
        <f>+IFERROR(VLOOKUP($A6,'Goals &amp; Budget 2026'!$A$2:$EJ$49,28,FALSE),0)</f>
        <v>0</v>
      </c>
      <c r="AG6" s="231" t="str">
        <f t="shared" si="26"/>
        <v>***</v>
      </c>
      <c r="AH6" s="73"/>
      <c r="AI6" s="73">
        <f>+IFERROR(VLOOKUP($A6,'Goals &amp; Budget 2026'!$A$2:$EJ$49,29,FALSE),0)</f>
        <v>0</v>
      </c>
      <c r="AJ6" s="84" t="str">
        <f t="shared" si="27"/>
        <v>***</v>
      </c>
      <c r="AK6" s="73"/>
      <c r="AL6" s="73">
        <f>+IFERROR(VLOOKUP($A6,'Goals &amp; Budget 2026'!$A$2:$EJ$49,30,FALSE),0)</f>
        <v>0</v>
      </c>
      <c r="AM6" s="84" t="str">
        <f t="shared" si="28"/>
        <v>***</v>
      </c>
      <c r="AN6" s="73"/>
      <c r="AO6" s="73">
        <f>+IFERROR(VLOOKUP($A6,'Goals &amp; Budget 2026'!$A$2:$EJ$49,31,FALSE),0)</f>
        <v>0</v>
      </c>
      <c r="AP6" s="85" t="str">
        <f t="shared" si="29"/>
        <v>***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0">
        <f t="shared" si="15"/>
        <v>0</v>
      </c>
      <c r="E7" s="73">
        <f t="shared" si="16"/>
        <v>0</v>
      </c>
      <c r="F7" s="231" t="str">
        <f t="shared" si="17"/>
        <v>***</v>
      </c>
      <c r="G7" s="73"/>
      <c r="H7" s="73">
        <f>+IFERROR(VLOOKUP($A7,'Goals &amp; Budget 2026'!$A$2:$EJ$49,20,FALSE),0)</f>
        <v>0</v>
      </c>
      <c r="I7" s="84" t="str">
        <f t="shared" si="18"/>
        <v>***</v>
      </c>
      <c r="J7" s="73"/>
      <c r="K7" s="73">
        <f>+IFERROR(VLOOKUP($A7,'Goals &amp; Budget 2026'!$A$2:$EJ$49,21,FALSE),0)</f>
        <v>0</v>
      </c>
      <c r="L7" s="84" t="str">
        <f t="shared" si="19"/>
        <v>***</v>
      </c>
      <c r="M7" s="73"/>
      <c r="N7" s="73">
        <f>+IFERROR(VLOOKUP($A7,'Goals &amp; Budget 2026'!$A$2:$EJ$49,22,FALSE),0)</f>
        <v>0</v>
      </c>
      <c r="O7" s="231" t="str">
        <f t="shared" si="20"/>
        <v>***</v>
      </c>
      <c r="P7" s="73"/>
      <c r="Q7" s="73">
        <f>+IFERROR(VLOOKUP($A7,'Goals &amp; Budget 2026'!$A$2:$EJ$49,23,FALSE),0)</f>
        <v>0</v>
      </c>
      <c r="R7" s="84" t="str">
        <f t="shared" si="21"/>
        <v>***</v>
      </c>
      <c r="S7" s="73"/>
      <c r="T7" s="73">
        <f>+IFERROR(VLOOKUP($A7,'Goals &amp; Budget 2026'!$A$2:$EJ$49,24,FALSE),0)</f>
        <v>0</v>
      </c>
      <c r="U7" s="84" t="str">
        <f t="shared" si="22"/>
        <v>***</v>
      </c>
      <c r="V7" s="73"/>
      <c r="W7" s="73">
        <f>+IFERROR(VLOOKUP($A7,'Goals &amp; Budget 2026'!$A$2:$EJ$49,25,FALSE),0)</f>
        <v>0</v>
      </c>
      <c r="X7" s="231" t="str">
        <f t="shared" si="23"/>
        <v>***</v>
      </c>
      <c r="Y7" s="73"/>
      <c r="Z7" s="73">
        <f>+IFERROR(VLOOKUP($A7,'Goals &amp; Budget 2026'!$A$2:$EJ$49,26,FALSE),0)</f>
        <v>0</v>
      </c>
      <c r="AA7" s="84" t="str">
        <f t="shared" si="24"/>
        <v>***</v>
      </c>
      <c r="AB7" s="73"/>
      <c r="AC7" s="73">
        <f>+IFERROR(VLOOKUP($A7,'Goals &amp; Budget 2026'!$A$2:$EJ$49,27,FALSE),0)</f>
        <v>0</v>
      </c>
      <c r="AD7" s="84" t="str">
        <f t="shared" si="25"/>
        <v>***</v>
      </c>
      <c r="AE7" s="73"/>
      <c r="AF7" s="73">
        <f>+IFERROR(VLOOKUP($A7,'Goals &amp; Budget 2026'!$A$2:$EJ$49,28,FALSE),0)</f>
        <v>0</v>
      </c>
      <c r="AG7" s="231" t="str">
        <f t="shared" si="26"/>
        <v>***</v>
      </c>
      <c r="AH7" s="73"/>
      <c r="AI7" s="73">
        <f>+IFERROR(VLOOKUP($A7,'Goals &amp; Budget 2026'!$A$2:$EJ$49,29,FALSE),0)</f>
        <v>0</v>
      </c>
      <c r="AJ7" s="84" t="str">
        <f t="shared" si="27"/>
        <v>***</v>
      </c>
      <c r="AK7" s="73"/>
      <c r="AL7" s="73">
        <f>+IFERROR(VLOOKUP($A7,'Goals &amp; Budget 2026'!$A$2:$EJ$49,30,FALSE),0)</f>
        <v>0</v>
      </c>
      <c r="AM7" s="84" t="str">
        <f t="shared" si="28"/>
        <v>***</v>
      </c>
      <c r="AN7" s="73"/>
      <c r="AO7" s="73">
        <f>+IFERROR(VLOOKUP($A7,'Goals &amp; Budget 2026'!$A$2:$EJ$49,31,FALSE),0)</f>
        <v>0</v>
      </c>
      <c r="AP7" s="85" t="str">
        <f t="shared" si="29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0">
        <f t="shared" si="15"/>
        <v>0</v>
      </c>
      <c r="E8" s="73">
        <f t="shared" si="16"/>
        <v>0</v>
      </c>
      <c r="F8" s="231" t="str">
        <f t="shared" si="17"/>
        <v>***</v>
      </c>
      <c r="G8" s="73"/>
      <c r="H8" s="73">
        <f>+IFERROR(VLOOKUP($A8,'Goals &amp; Budget 2026'!$A$2:$EJ$49,20,FALSE),0)</f>
        <v>0</v>
      </c>
      <c r="I8" s="84" t="str">
        <f t="shared" si="18"/>
        <v>***</v>
      </c>
      <c r="J8" s="73"/>
      <c r="K8" s="73">
        <f>+IFERROR(VLOOKUP($A8,'Goals &amp; Budget 2026'!$A$2:$EJ$49,21,FALSE),0)</f>
        <v>0</v>
      </c>
      <c r="L8" s="84" t="str">
        <f t="shared" si="19"/>
        <v>***</v>
      </c>
      <c r="M8" s="73"/>
      <c r="N8" s="73">
        <f>+IFERROR(VLOOKUP($A8,'Goals &amp; Budget 2026'!$A$2:$EJ$49,22,FALSE),0)</f>
        <v>0</v>
      </c>
      <c r="O8" s="231" t="str">
        <f t="shared" si="20"/>
        <v>***</v>
      </c>
      <c r="P8" s="73"/>
      <c r="Q8" s="73">
        <f>+IFERROR(VLOOKUP($A8,'Goals &amp; Budget 2026'!$A$2:$EJ$49,23,FALSE),0)</f>
        <v>0</v>
      </c>
      <c r="R8" s="84" t="str">
        <f t="shared" si="21"/>
        <v>***</v>
      </c>
      <c r="S8" s="73"/>
      <c r="T8" s="73">
        <f>+IFERROR(VLOOKUP($A8,'Goals &amp; Budget 2026'!$A$2:$EJ$49,24,FALSE),0)</f>
        <v>0</v>
      </c>
      <c r="U8" s="84" t="str">
        <f t="shared" si="22"/>
        <v>***</v>
      </c>
      <c r="V8" s="73"/>
      <c r="W8" s="73">
        <f>+IFERROR(VLOOKUP($A8,'Goals &amp; Budget 2026'!$A$2:$EJ$49,25,FALSE),0)</f>
        <v>0</v>
      </c>
      <c r="X8" s="231" t="str">
        <f t="shared" si="23"/>
        <v>***</v>
      </c>
      <c r="Y8" s="73"/>
      <c r="Z8" s="73">
        <f>+IFERROR(VLOOKUP($A8,'Goals &amp; Budget 2026'!$A$2:$EJ$49,26,FALSE),0)</f>
        <v>0</v>
      </c>
      <c r="AA8" s="84" t="str">
        <f t="shared" si="24"/>
        <v>***</v>
      </c>
      <c r="AB8" s="73"/>
      <c r="AC8" s="73">
        <f>+IFERROR(VLOOKUP($A8,'Goals &amp; Budget 2026'!$A$2:$EJ$49,27,FALSE),0)</f>
        <v>0</v>
      </c>
      <c r="AD8" s="84" t="str">
        <f t="shared" si="25"/>
        <v>***</v>
      </c>
      <c r="AE8" s="73"/>
      <c r="AF8" s="73">
        <f>+IFERROR(VLOOKUP($A8,'Goals &amp; Budget 2026'!$A$2:$EJ$49,28,FALSE),0)</f>
        <v>0</v>
      </c>
      <c r="AG8" s="231" t="str">
        <f t="shared" si="26"/>
        <v>***</v>
      </c>
      <c r="AH8" s="73"/>
      <c r="AI8" s="73">
        <f>+IFERROR(VLOOKUP($A8,'Goals &amp; Budget 2026'!$A$2:$EJ$49,29,FALSE),0)</f>
        <v>0</v>
      </c>
      <c r="AJ8" s="84" t="str">
        <f t="shared" si="27"/>
        <v>***</v>
      </c>
      <c r="AK8" s="73"/>
      <c r="AL8" s="73">
        <f>+IFERROR(VLOOKUP($A8,'Goals &amp; Budget 2026'!$A$2:$EJ$49,30,FALSE),0)</f>
        <v>0</v>
      </c>
      <c r="AM8" s="84" t="str">
        <f t="shared" si="28"/>
        <v>***</v>
      </c>
      <c r="AN8" s="73"/>
      <c r="AO8" s="73">
        <f>+IFERROR(VLOOKUP($A8,'Goals &amp; Budget 2026'!$A$2:$EJ$49,31,FALSE),0)</f>
        <v>0</v>
      </c>
      <c r="AP8" s="85" t="str">
        <f t="shared" si="29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0">
        <f t="shared" si="15"/>
        <v>0</v>
      </c>
      <c r="E9" s="73">
        <f t="shared" si="16"/>
        <v>0</v>
      </c>
      <c r="F9" s="231" t="str">
        <f t="shared" si="17"/>
        <v>***</v>
      </c>
      <c r="G9" s="73"/>
      <c r="H9" s="73">
        <f>+IFERROR(VLOOKUP($A9,'Goals &amp; Budget 2026'!$A$2:$EJ$49,20,FALSE),0)</f>
        <v>0</v>
      </c>
      <c r="I9" s="84" t="str">
        <f t="shared" si="18"/>
        <v>***</v>
      </c>
      <c r="J9" s="73"/>
      <c r="K9" s="73">
        <f>+IFERROR(VLOOKUP($A9,'Goals &amp; Budget 2026'!$A$2:$EJ$49,21,FALSE),0)</f>
        <v>0</v>
      </c>
      <c r="L9" s="84" t="str">
        <f t="shared" si="19"/>
        <v>***</v>
      </c>
      <c r="M9" s="73"/>
      <c r="N9" s="73">
        <f>+IFERROR(VLOOKUP($A9,'Goals &amp; Budget 2026'!$A$2:$EJ$49,22,FALSE),0)</f>
        <v>0</v>
      </c>
      <c r="O9" s="231" t="str">
        <f t="shared" si="20"/>
        <v>***</v>
      </c>
      <c r="P9" s="73"/>
      <c r="Q9" s="73">
        <f>+IFERROR(VLOOKUP($A9,'Goals &amp; Budget 2026'!$A$2:$EJ$49,23,FALSE),0)</f>
        <v>0</v>
      </c>
      <c r="R9" s="84" t="str">
        <f t="shared" si="21"/>
        <v>***</v>
      </c>
      <c r="S9" s="73"/>
      <c r="T9" s="73">
        <f>+IFERROR(VLOOKUP($A9,'Goals &amp; Budget 2026'!$A$2:$EJ$49,24,FALSE),0)</f>
        <v>0</v>
      </c>
      <c r="U9" s="84" t="str">
        <f t="shared" si="22"/>
        <v>***</v>
      </c>
      <c r="V9" s="73"/>
      <c r="W9" s="73">
        <f>+IFERROR(VLOOKUP($A9,'Goals &amp; Budget 2026'!$A$2:$EJ$49,25,FALSE),0)</f>
        <v>0</v>
      </c>
      <c r="X9" s="231" t="str">
        <f t="shared" si="23"/>
        <v>***</v>
      </c>
      <c r="Y9" s="73"/>
      <c r="Z9" s="73">
        <f>+IFERROR(VLOOKUP($A9,'Goals &amp; Budget 2026'!$A$2:$EJ$49,26,FALSE),0)</f>
        <v>0</v>
      </c>
      <c r="AA9" s="84" t="str">
        <f t="shared" si="24"/>
        <v>***</v>
      </c>
      <c r="AB9" s="73"/>
      <c r="AC9" s="73">
        <f>+IFERROR(VLOOKUP($A9,'Goals &amp; Budget 2026'!$A$2:$EJ$49,27,FALSE),0)</f>
        <v>0</v>
      </c>
      <c r="AD9" s="84" t="str">
        <f t="shared" si="25"/>
        <v>***</v>
      </c>
      <c r="AE9" s="73"/>
      <c r="AF9" s="73">
        <f>+IFERROR(VLOOKUP($A9,'Goals &amp; Budget 2026'!$A$2:$EJ$49,28,FALSE),0)</f>
        <v>0</v>
      </c>
      <c r="AG9" s="231" t="str">
        <f t="shared" si="26"/>
        <v>***</v>
      </c>
      <c r="AH9" s="73"/>
      <c r="AI9" s="73">
        <f>+IFERROR(VLOOKUP($A9,'Goals &amp; Budget 2026'!$A$2:$EJ$49,29,FALSE),0)</f>
        <v>0</v>
      </c>
      <c r="AJ9" s="84" t="str">
        <f t="shared" si="27"/>
        <v>***</v>
      </c>
      <c r="AK9" s="73"/>
      <c r="AL9" s="73">
        <f>+IFERROR(VLOOKUP($A9,'Goals &amp; Budget 2026'!$A$2:$EJ$49,30,FALSE),0)</f>
        <v>0</v>
      </c>
      <c r="AM9" s="84" t="str">
        <f t="shared" si="28"/>
        <v>***</v>
      </c>
      <c r="AN9" s="73"/>
      <c r="AO9" s="73">
        <f>+IFERROR(VLOOKUP($A9,'Goals &amp; Budget 2026'!$A$2:$EJ$49,31,FALSE),0)</f>
        <v>0</v>
      </c>
      <c r="AP9" s="85" t="str">
        <f t="shared" si="29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0">
        <f t="shared" si="15"/>
        <v>0</v>
      </c>
      <c r="E10" s="73">
        <f t="shared" si="16"/>
        <v>0</v>
      </c>
      <c r="F10" s="231" t="str">
        <f t="shared" si="17"/>
        <v>***</v>
      </c>
      <c r="G10" s="73"/>
      <c r="H10" s="73">
        <f>+IFERROR(VLOOKUP($A10,'Goals &amp; Budget 2026'!$A$2:$EJ$49,20,FALSE),0)</f>
        <v>0</v>
      </c>
      <c r="I10" s="84" t="str">
        <f t="shared" si="18"/>
        <v>***</v>
      </c>
      <c r="J10" s="73"/>
      <c r="K10" s="73">
        <f>+IFERROR(VLOOKUP($A10,'Goals &amp; Budget 2026'!$A$2:$EJ$49,21,FALSE),0)</f>
        <v>0</v>
      </c>
      <c r="L10" s="84" t="str">
        <f t="shared" si="19"/>
        <v>***</v>
      </c>
      <c r="M10" s="73"/>
      <c r="N10" s="73">
        <f>+IFERROR(VLOOKUP($A10,'Goals &amp; Budget 2026'!$A$2:$EJ$49,22,FALSE),0)</f>
        <v>0</v>
      </c>
      <c r="O10" s="231" t="str">
        <f t="shared" si="20"/>
        <v>***</v>
      </c>
      <c r="P10" s="73"/>
      <c r="Q10" s="73">
        <f>+IFERROR(VLOOKUP($A10,'Goals &amp; Budget 2026'!$A$2:$EJ$49,23,FALSE),0)</f>
        <v>0</v>
      </c>
      <c r="R10" s="84" t="str">
        <f t="shared" si="21"/>
        <v>***</v>
      </c>
      <c r="S10" s="73"/>
      <c r="T10" s="73">
        <f>+IFERROR(VLOOKUP($A10,'Goals &amp; Budget 2026'!$A$2:$EJ$49,24,FALSE),0)</f>
        <v>0</v>
      </c>
      <c r="U10" s="84" t="str">
        <f t="shared" si="22"/>
        <v>***</v>
      </c>
      <c r="V10" s="73"/>
      <c r="W10" s="73">
        <f>+IFERROR(VLOOKUP($A10,'Goals &amp; Budget 2026'!$A$2:$EJ$49,25,FALSE),0)</f>
        <v>0</v>
      </c>
      <c r="X10" s="231" t="str">
        <f t="shared" si="23"/>
        <v>***</v>
      </c>
      <c r="Y10" s="73"/>
      <c r="Z10" s="73">
        <f>+IFERROR(VLOOKUP($A10,'Goals &amp; Budget 2026'!$A$2:$EJ$49,26,FALSE),0)</f>
        <v>0</v>
      </c>
      <c r="AA10" s="84" t="str">
        <f t="shared" si="24"/>
        <v>***</v>
      </c>
      <c r="AB10" s="73"/>
      <c r="AC10" s="73">
        <f>+IFERROR(VLOOKUP($A10,'Goals &amp; Budget 2026'!$A$2:$EJ$49,27,FALSE),0)</f>
        <v>0</v>
      </c>
      <c r="AD10" s="84" t="str">
        <f t="shared" si="25"/>
        <v>***</v>
      </c>
      <c r="AE10" s="73"/>
      <c r="AF10" s="73">
        <f>+IFERROR(VLOOKUP($A10,'Goals &amp; Budget 2026'!$A$2:$EJ$49,28,FALSE),0)</f>
        <v>0</v>
      </c>
      <c r="AG10" s="231" t="str">
        <f t="shared" si="26"/>
        <v>***</v>
      </c>
      <c r="AH10" s="73"/>
      <c r="AI10" s="73">
        <f>+IFERROR(VLOOKUP($A10,'Goals &amp; Budget 2026'!$A$2:$EJ$49,29,FALSE),0)</f>
        <v>0</v>
      </c>
      <c r="AJ10" s="84" t="str">
        <f t="shared" si="27"/>
        <v>***</v>
      </c>
      <c r="AK10" s="73"/>
      <c r="AL10" s="73">
        <f>+IFERROR(VLOOKUP($A10,'Goals &amp; Budget 2026'!$A$2:$EJ$49,30,FALSE),0)</f>
        <v>0</v>
      </c>
      <c r="AM10" s="84" t="str">
        <f t="shared" si="28"/>
        <v>***</v>
      </c>
      <c r="AN10" s="73"/>
      <c r="AO10" s="73">
        <f>+IFERROR(VLOOKUP($A10,'Goals &amp; Budget 2026'!$A$2:$EJ$49,31,FALSE),0)</f>
        <v>0</v>
      </c>
      <c r="AP10" s="85" t="str">
        <f t="shared" si="29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0">
        <f t="shared" si="15"/>
        <v>0</v>
      </c>
      <c r="E11" s="73">
        <f t="shared" si="16"/>
        <v>0</v>
      </c>
      <c r="F11" s="231" t="str">
        <f t="shared" si="17"/>
        <v>***</v>
      </c>
      <c r="G11" s="73"/>
      <c r="H11" s="73">
        <f>+IFERROR(VLOOKUP($A11,'Goals &amp; Budget 2026'!$A$2:$EJ$49,20,FALSE),0)</f>
        <v>0</v>
      </c>
      <c r="I11" s="84" t="str">
        <f t="shared" si="18"/>
        <v>***</v>
      </c>
      <c r="J11" s="73"/>
      <c r="K11" s="73">
        <f>+IFERROR(VLOOKUP($A11,'Goals &amp; Budget 2026'!$A$2:$EJ$49,21,FALSE),0)</f>
        <v>0</v>
      </c>
      <c r="L11" s="84" t="str">
        <f t="shared" si="19"/>
        <v>***</v>
      </c>
      <c r="M11" s="73"/>
      <c r="N11" s="73">
        <f>+IFERROR(VLOOKUP($A11,'Goals &amp; Budget 2026'!$A$2:$EJ$49,22,FALSE),0)</f>
        <v>0</v>
      </c>
      <c r="O11" s="231" t="str">
        <f t="shared" si="20"/>
        <v>***</v>
      </c>
      <c r="P11" s="73"/>
      <c r="Q11" s="73">
        <f>+IFERROR(VLOOKUP($A11,'Goals &amp; Budget 2026'!$A$2:$EJ$49,23,FALSE),0)</f>
        <v>0</v>
      </c>
      <c r="R11" s="84" t="str">
        <f t="shared" si="21"/>
        <v>***</v>
      </c>
      <c r="S11" s="73"/>
      <c r="T11" s="73">
        <f>+IFERROR(VLOOKUP($A11,'Goals &amp; Budget 2026'!$A$2:$EJ$49,24,FALSE),0)</f>
        <v>0</v>
      </c>
      <c r="U11" s="84" t="str">
        <f t="shared" si="22"/>
        <v>***</v>
      </c>
      <c r="V11" s="73"/>
      <c r="W11" s="73">
        <f>+IFERROR(VLOOKUP($A11,'Goals &amp; Budget 2026'!$A$2:$EJ$49,25,FALSE),0)</f>
        <v>0</v>
      </c>
      <c r="X11" s="231" t="str">
        <f t="shared" si="23"/>
        <v>***</v>
      </c>
      <c r="Y11" s="73"/>
      <c r="Z11" s="73">
        <f>+IFERROR(VLOOKUP($A11,'Goals &amp; Budget 2026'!$A$2:$EJ$49,26,FALSE),0)</f>
        <v>0</v>
      </c>
      <c r="AA11" s="84" t="str">
        <f t="shared" si="24"/>
        <v>***</v>
      </c>
      <c r="AB11" s="73"/>
      <c r="AC11" s="73">
        <f>+IFERROR(VLOOKUP($A11,'Goals &amp; Budget 2026'!$A$2:$EJ$49,27,FALSE),0)</f>
        <v>0</v>
      </c>
      <c r="AD11" s="84" t="str">
        <f t="shared" si="25"/>
        <v>***</v>
      </c>
      <c r="AE11" s="73"/>
      <c r="AF11" s="73">
        <f>+IFERROR(VLOOKUP($A11,'Goals &amp; Budget 2026'!$A$2:$EJ$49,28,FALSE),0)</f>
        <v>0</v>
      </c>
      <c r="AG11" s="231" t="str">
        <f t="shared" si="26"/>
        <v>***</v>
      </c>
      <c r="AH11" s="73"/>
      <c r="AI11" s="73">
        <f>+IFERROR(VLOOKUP($A11,'Goals &amp; Budget 2026'!$A$2:$EJ$49,29,FALSE),0)</f>
        <v>0</v>
      </c>
      <c r="AJ11" s="84" t="str">
        <f t="shared" si="27"/>
        <v>***</v>
      </c>
      <c r="AK11" s="73"/>
      <c r="AL11" s="73">
        <f>+IFERROR(VLOOKUP($A11,'Goals &amp; Budget 2026'!$A$2:$EJ$49,30,FALSE),0)</f>
        <v>0</v>
      </c>
      <c r="AM11" s="84" t="str">
        <f t="shared" si="28"/>
        <v>***</v>
      </c>
      <c r="AN11" s="73"/>
      <c r="AO11" s="73">
        <f>+IFERROR(VLOOKUP($A11,'Goals &amp; Budget 2026'!$A$2:$EJ$49,31,FALSE),0)</f>
        <v>0</v>
      </c>
      <c r="AP11" s="85" t="str">
        <f t="shared" si="29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0">
        <f t="shared" si="15"/>
        <v>0</v>
      </c>
      <c r="E12" s="73">
        <f t="shared" si="16"/>
        <v>0</v>
      </c>
      <c r="F12" s="231" t="str">
        <f t="shared" si="17"/>
        <v>***</v>
      </c>
      <c r="G12" s="73"/>
      <c r="H12" s="73">
        <f>+IFERROR(VLOOKUP($A12,'Goals &amp; Budget 2026'!$A$2:$EJ$49,20,FALSE),0)</f>
        <v>0</v>
      </c>
      <c r="I12" s="84" t="str">
        <f t="shared" si="18"/>
        <v>***</v>
      </c>
      <c r="J12" s="73"/>
      <c r="K12" s="73">
        <f>+IFERROR(VLOOKUP($A12,'Goals &amp; Budget 2026'!$A$2:$EJ$49,21,FALSE),0)</f>
        <v>0</v>
      </c>
      <c r="L12" s="84" t="str">
        <f t="shared" si="19"/>
        <v>***</v>
      </c>
      <c r="M12" s="73"/>
      <c r="N12" s="73">
        <f>+IFERROR(VLOOKUP($A12,'Goals &amp; Budget 2026'!$A$2:$EJ$49,22,FALSE),0)</f>
        <v>0</v>
      </c>
      <c r="O12" s="231" t="str">
        <f t="shared" si="20"/>
        <v>***</v>
      </c>
      <c r="P12" s="73"/>
      <c r="Q12" s="73">
        <f>+IFERROR(VLOOKUP($A12,'Goals &amp; Budget 2026'!$A$2:$EJ$49,23,FALSE),0)</f>
        <v>0</v>
      </c>
      <c r="R12" s="84" t="str">
        <f t="shared" si="21"/>
        <v>***</v>
      </c>
      <c r="S12" s="73"/>
      <c r="T12" s="73">
        <f>+IFERROR(VLOOKUP($A12,'Goals &amp; Budget 2026'!$A$2:$EJ$49,24,FALSE),0)</f>
        <v>0</v>
      </c>
      <c r="U12" s="84" t="str">
        <f t="shared" si="22"/>
        <v>***</v>
      </c>
      <c r="V12" s="73"/>
      <c r="W12" s="73">
        <f>+IFERROR(VLOOKUP($A12,'Goals &amp; Budget 2026'!$A$2:$EJ$49,25,FALSE),0)</f>
        <v>0</v>
      </c>
      <c r="X12" s="231" t="str">
        <f t="shared" si="23"/>
        <v>***</v>
      </c>
      <c r="Y12" s="73"/>
      <c r="Z12" s="73">
        <f>+IFERROR(VLOOKUP($A12,'Goals &amp; Budget 2026'!$A$2:$EJ$49,26,FALSE),0)</f>
        <v>0</v>
      </c>
      <c r="AA12" s="84" t="str">
        <f t="shared" si="24"/>
        <v>***</v>
      </c>
      <c r="AB12" s="73"/>
      <c r="AC12" s="73">
        <f>+IFERROR(VLOOKUP($A12,'Goals &amp; Budget 2026'!$A$2:$EJ$49,27,FALSE),0)</f>
        <v>0</v>
      </c>
      <c r="AD12" s="84" t="str">
        <f t="shared" si="25"/>
        <v>***</v>
      </c>
      <c r="AE12" s="73"/>
      <c r="AF12" s="73">
        <f>+IFERROR(VLOOKUP($A12,'Goals &amp; Budget 2026'!$A$2:$EJ$49,28,FALSE),0)</f>
        <v>0</v>
      </c>
      <c r="AG12" s="231" t="str">
        <f t="shared" si="26"/>
        <v>***</v>
      </c>
      <c r="AH12" s="73"/>
      <c r="AI12" s="73">
        <f>+IFERROR(VLOOKUP($A12,'Goals &amp; Budget 2026'!$A$2:$EJ$49,29,FALSE),0)</f>
        <v>0</v>
      </c>
      <c r="AJ12" s="84" t="str">
        <f t="shared" si="27"/>
        <v>***</v>
      </c>
      <c r="AK12" s="73"/>
      <c r="AL12" s="73">
        <f>+IFERROR(VLOOKUP($A12,'Goals &amp; Budget 2026'!$A$2:$EJ$49,30,FALSE),0)</f>
        <v>0</v>
      </c>
      <c r="AM12" s="84" t="str">
        <f t="shared" si="28"/>
        <v>***</v>
      </c>
      <c r="AN12" s="73"/>
      <c r="AO12" s="73">
        <f>+IFERROR(VLOOKUP($A12,'Goals &amp; Budget 2026'!$A$2:$EJ$49,31,FALSE),0)</f>
        <v>0</v>
      </c>
      <c r="AP12" s="85" t="str">
        <f t="shared" si="29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0">
        <f t="shared" si="15"/>
        <v>0</v>
      </c>
      <c r="E13" s="73">
        <f t="shared" si="16"/>
        <v>0</v>
      </c>
      <c r="F13" s="231" t="str">
        <f t="shared" si="17"/>
        <v>***</v>
      </c>
      <c r="G13" s="73"/>
      <c r="H13" s="73">
        <f>+IFERROR(VLOOKUP($A13,'Goals &amp; Budget 2026'!$A$2:$EJ$49,20,FALSE),0)</f>
        <v>0</v>
      </c>
      <c r="I13" s="84" t="str">
        <f t="shared" si="18"/>
        <v>***</v>
      </c>
      <c r="J13" s="73"/>
      <c r="K13" s="73">
        <f>+IFERROR(VLOOKUP($A13,'Goals &amp; Budget 2026'!$A$2:$EJ$49,21,FALSE),0)</f>
        <v>0</v>
      </c>
      <c r="L13" s="84" t="str">
        <f t="shared" si="19"/>
        <v>***</v>
      </c>
      <c r="M13" s="73"/>
      <c r="N13" s="73">
        <f>+IFERROR(VLOOKUP($A13,'Goals &amp; Budget 2026'!$A$2:$EJ$49,22,FALSE),0)</f>
        <v>0</v>
      </c>
      <c r="O13" s="231" t="str">
        <f t="shared" si="20"/>
        <v>***</v>
      </c>
      <c r="P13" s="73"/>
      <c r="Q13" s="73">
        <f>+IFERROR(VLOOKUP($A13,'Goals &amp; Budget 2026'!$A$2:$EJ$49,23,FALSE),0)</f>
        <v>0</v>
      </c>
      <c r="R13" s="84" t="str">
        <f t="shared" si="21"/>
        <v>***</v>
      </c>
      <c r="S13" s="73"/>
      <c r="T13" s="73">
        <f>+IFERROR(VLOOKUP($A13,'Goals &amp; Budget 2026'!$A$2:$EJ$49,24,FALSE),0)</f>
        <v>0</v>
      </c>
      <c r="U13" s="84" t="str">
        <f t="shared" si="22"/>
        <v>***</v>
      </c>
      <c r="V13" s="73"/>
      <c r="W13" s="73">
        <f>+IFERROR(VLOOKUP($A13,'Goals &amp; Budget 2026'!$A$2:$EJ$49,25,FALSE),0)</f>
        <v>0</v>
      </c>
      <c r="X13" s="231" t="str">
        <f t="shared" si="23"/>
        <v>***</v>
      </c>
      <c r="Y13" s="73"/>
      <c r="Z13" s="73">
        <f>+IFERROR(VLOOKUP($A13,'Goals &amp; Budget 2026'!$A$2:$EJ$49,26,FALSE),0)</f>
        <v>0</v>
      </c>
      <c r="AA13" s="84" t="str">
        <f t="shared" si="24"/>
        <v>***</v>
      </c>
      <c r="AB13" s="73"/>
      <c r="AC13" s="73">
        <f>+IFERROR(VLOOKUP($A13,'Goals &amp; Budget 2026'!$A$2:$EJ$49,27,FALSE),0)</f>
        <v>0</v>
      </c>
      <c r="AD13" s="84" t="str">
        <f t="shared" si="25"/>
        <v>***</v>
      </c>
      <c r="AE13" s="73"/>
      <c r="AF13" s="73">
        <f>+IFERROR(VLOOKUP($A13,'Goals &amp; Budget 2026'!$A$2:$EJ$49,28,FALSE),0)</f>
        <v>0</v>
      </c>
      <c r="AG13" s="231" t="str">
        <f t="shared" si="26"/>
        <v>***</v>
      </c>
      <c r="AH13" s="73"/>
      <c r="AI13" s="73">
        <f>+IFERROR(VLOOKUP($A13,'Goals &amp; Budget 2026'!$A$2:$EJ$49,29,FALSE),0)</f>
        <v>0</v>
      </c>
      <c r="AJ13" s="84" t="str">
        <f t="shared" si="27"/>
        <v>***</v>
      </c>
      <c r="AK13" s="73"/>
      <c r="AL13" s="73">
        <f>+IFERROR(VLOOKUP($A13,'Goals &amp; Budget 2026'!$A$2:$EJ$49,30,FALSE),0)</f>
        <v>0</v>
      </c>
      <c r="AM13" s="84" t="str">
        <f t="shared" si="28"/>
        <v>***</v>
      </c>
      <c r="AN13" s="73"/>
      <c r="AO13" s="73">
        <f>+IFERROR(VLOOKUP($A13,'Goals &amp; Budget 2026'!$A$2:$EJ$49,31,FALSE),0)</f>
        <v>0</v>
      </c>
      <c r="AP13" s="85" t="str">
        <f t="shared" si="29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0">
        <f t="shared" si="15"/>
        <v>0</v>
      </c>
      <c r="E14" s="73">
        <f t="shared" si="16"/>
        <v>0</v>
      </c>
      <c r="F14" s="231" t="str">
        <f t="shared" si="17"/>
        <v>***</v>
      </c>
      <c r="G14" s="73"/>
      <c r="H14" s="73">
        <f>+IFERROR(VLOOKUP($A14,'Goals &amp; Budget 2026'!$A$2:$EJ$49,20,FALSE),0)</f>
        <v>0</v>
      </c>
      <c r="I14" s="84" t="str">
        <f t="shared" si="18"/>
        <v>***</v>
      </c>
      <c r="J14" s="73"/>
      <c r="K14" s="73">
        <f>+IFERROR(VLOOKUP($A14,'Goals &amp; Budget 2026'!$A$2:$EJ$49,21,FALSE),0)</f>
        <v>0</v>
      </c>
      <c r="L14" s="84" t="str">
        <f t="shared" si="19"/>
        <v>***</v>
      </c>
      <c r="M14" s="73"/>
      <c r="N14" s="73">
        <f>+IFERROR(VLOOKUP($A14,'Goals &amp; Budget 2026'!$A$2:$EJ$49,22,FALSE),0)</f>
        <v>0</v>
      </c>
      <c r="O14" s="231" t="str">
        <f t="shared" si="20"/>
        <v>***</v>
      </c>
      <c r="P14" s="73"/>
      <c r="Q14" s="73">
        <f>+IFERROR(VLOOKUP($A14,'Goals &amp; Budget 2026'!$A$2:$EJ$49,23,FALSE),0)</f>
        <v>0</v>
      </c>
      <c r="R14" s="84" t="str">
        <f t="shared" si="21"/>
        <v>***</v>
      </c>
      <c r="S14" s="73"/>
      <c r="T14" s="73">
        <f>+IFERROR(VLOOKUP($A14,'Goals &amp; Budget 2026'!$A$2:$EJ$49,24,FALSE),0)</f>
        <v>0</v>
      </c>
      <c r="U14" s="84" t="str">
        <f t="shared" si="22"/>
        <v>***</v>
      </c>
      <c r="V14" s="73"/>
      <c r="W14" s="73">
        <f>+IFERROR(VLOOKUP($A14,'Goals &amp; Budget 2026'!$A$2:$EJ$49,25,FALSE),0)</f>
        <v>0</v>
      </c>
      <c r="X14" s="231" t="str">
        <f t="shared" si="23"/>
        <v>***</v>
      </c>
      <c r="Y14" s="73"/>
      <c r="Z14" s="73">
        <f>+IFERROR(VLOOKUP($A14,'Goals &amp; Budget 2026'!$A$2:$EJ$49,26,FALSE),0)</f>
        <v>0</v>
      </c>
      <c r="AA14" s="84" t="str">
        <f t="shared" si="24"/>
        <v>***</v>
      </c>
      <c r="AB14" s="73"/>
      <c r="AC14" s="73">
        <f>+IFERROR(VLOOKUP($A14,'Goals &amp; Budget 2026'!$A$2:$EJ$49,27,FALSE),0)</f>
        <v>0</v>
      </c>
      <c r="AD14" s="84" t="str">
        <f t="shared" si="25"/>
        <v>***</v>
      </c>
      <c r="AE14" s="73"/>
      <c r="AF14" s="73">
        <f>+IFERROR(VLOOKUP($A14,'Goals &amp; Budget 2026'!$A$2:$EJ$49,28,FALSE),0)</f>
        <v>0</v>
      </c>
      <c r="AG14" s="231" t="str">
        <f t="shared" si="26"/>
        <v>***</v>
      </c>
      <c r="AH14" s="73"/>
      <c r="AI14" s="73">
        <f>+IFERROR(VLOOKUP($A14,'Goals &amp; Budget 2026'!$A$2:$EJ$49,29,FALSE),0)</f>
        <v>0</v>
      </c>
      <c r="AJ14" s="84" t="str">
        <f t="shared" si="27"/>
        <v>***</v>
      </c>
      <c r="AK14" s="73"/>
      <c r="AL14" s="73">
        <f>+IFERROR(VLOOKUP($A14,'Goals &amp; Budget 2026'!$A$2:$EJ$49,30,FALSE),0)</f>
        <v>0</v>
      </c>
      <c r="AM14" s="84" t="str">
        <f t="shared" si="28"/>
        <v>***</v>
      </c>
      <c r="AN14" s="73"/>
      <c r="AO14" s="73">
        <f>+IFERROR(VLOOKUP($A14,'Goals &amp; Budget 2026'!$A$2:$EJ$49,31,FALSE),0)</f>
        <v>0</v>
      </c>
      <c r="AP14" s="85" t="str">
        <f t="shared" si="29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0">
        <f t="shared" si="15"/>
        <v>0</v>
      </c>
      <c r="E15" s="73">
        <f t="shared" si="16"/>
        <v>0</v>
      </c>
      <c r="F15" s="231" t="str">
        <f t="shared" si="17"/>
        <v>***</v>
      </c>
      <c r="G15" s="73"/>
      <c r="H15" s="73">
        <f>+IFERROR(VLOOKUP($A15,'Goals &amp; Budget 2026'!$A$2:$EJ$49,20,FALSE),0)</f>
        <v>0</v>
      </c>
      <c r="I15" s="84" t="str">
        <f t="shared" si="18"/>
        <v>***</v>
      </c>
      <c r="J15" s="73"/>
      <c r="K15" s="73">
        <f>+IFERROR(VLOOKUP($A15,'Goals &amp; Budget 2026'!$A$2:$EJ$49,21,FALSE),0)</f>
        <v>0</v>
      </c>
      <c r="L15" s="84" t="str">
        <f t="shared" si="19"/>
        <v>***</v>
      </c>
      <c r="M15" s="73"/>
      <c r="N15" s="73">
        <f>+IFERROR(VLOOKUP($A15,'Goals &amp; Budget 2026'!$A$2:$EJ$49,22,FALSE),0)</f>
        <v>0</v>
      </c>
      <c r="O15" s="231" t="str">
        <f t="shared" si="20"/>
        <v>***</v>
      </c>
      <c r="P15" s="73"/>
      <c r="Q15" s="73">
        <f>+IFERROR(VLOOKUP($A15,'Goals &amp; Budget 2026'!$A$2:$EJ$49,23,FALSE),0)</f>
        <v>0</v>
      </c>
      <c r="R15" s="84" t="str">
        <f t="shared" si="21"/>
        <v>***</v>
      </c>
      <c r="S15" s="73"/>
      <c r="T15" s="73">
        <f>+IFERROR(VLOOKUP($A15,'Goals &amp; Budget 2026'!$A$2:$EJ$49,24,FALSE),0)</f>
        <v>0</v>
      </c>
      <c r="U15" s="84" t="str">
        <f t="shared" si="22"/>
        <v>***</v>
      </c>
      <c r="V15" s="73"/>
      <c r="W15" s="73">
        <f>+IFERROR(VLOOKUP($A15,'Goals &amp; Budget 2026'!$A$2:$EJ$49,25,FALSE),0)</f>
        <v>0</v>
      </c>
      <c r="X15" s="231" t="str">
        <f t="shared" si="23"/>
        <v>***</v>
      </c>
      <c r="Y15" s="73"/>
      <c r="Z15" s="73">
        <f>+IFERROR(VLOOKUP($A15,'Goals &amp; Budget 2026'!$A$2:$EJ$49,26,FALSE),0)</f>
        <v>0</v>
      </c>
      <c r="AA15" s="84" t="str">
        <f t="shared" si="24"/>
        <v>***</v>
      </c>
      <c r="AB15" s="73"/>
      <c r="AC15" s="73">
        <f>+IFERROR(VLOOKUP($A15,'Goals &amp; Budget 2026'!$A$2:$EJ$49,27,FALSE),0)</f>
        <v>0</v>
      </c>
      <c r="AD15" s="84" t="str">
        <f t="shared" si="25"/>
        <v>***</v>
      </c>
      <c r="AE15" s="73"/>
      <c r="AF15" s="73">
        <f>+IFERROR(VLOOKUP($A15,'Goals &amp; Budget 2026'!$A$2:$EJ$49,28,FALSE),0)</f>
        <v>0</v>
      </c>
      <c r="AG15" s="231" t="str">
        <f t="shared" si="26"/>
        <v>***</v>
      </c>
      <c r="AH15" s="73"/>
      <c r="AI15" s="73">
        <f>+IFERROR(VLOOKUP($A15,'Goals &amp; Budget 2026'!$A$2:$EJ$49,29,FALSE),0)</f>
        <v>0</v>
      </c>
      <c r="AJ15" s="84" t="str">
        <f t="shared" si="27"/>
        <v>***</v>
      </c>
      <c r="AK15" s="73"/>
      <c r="AL15" s="73">
        <f>+IFERROR(VLOOKUP($A15,'Goals &amp; Budget 2026'!$A$2:$EJ$49,30,FALSE),0)</f>
        <v>0</v>
      </c>
      <c r="AM15" s="84" t="str">
        <f t="shared" si="28"/>
        <v>***</v>
      </c>
      <c r="AN15" s="73"/>
      <c r="AO15" s="73">
        <f>+IFERROR(VLOOKUP($A15,'Goals &amp; Budget 2026'!$A$2:$EJ$49,31,FALSE),0)</f>
        <v>0</v>
      </c>
      <c r="AP15" s="85" t="str">
        <f t="shared" si="29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0">
        <f t="shared" si="15"/>
        <v>0</v>
      </c>
      <c r="E16" s="73">
        <f t="shared" si="16"/>
        <v>0</v>
      </c>
      <c r="F16" s="231" t="str">
        <f t="shared" si="17"/>
        <v>***</v>
      </c>
      <c r="G16" s="73"/>
      <c r="H16" s="73">
        <f>+IFERROR(VLOOKUP($A16,'Goals &amp; Budget 2026'!$A$2:$EJ$49,20,FALSE),0)</f>
        <v>0</v>
      </c>
      <c r="I16" s="84" t="str">
        <f t="shared" si="18"/>
        <v>***</v>
      </c>
      <c r="J16" s="73"/>
      <c r="K16" s="73">
        <f>+IFERROR(VLOOKUP($A16,'Goals &amp; Budget 2026'!$A$2:$EJ$49,21,FALSE),0)</f>
        <v>0</v>
      </c>
      <c r="L16" s="84" t="str">
        <f t="shared" si="19"/>
        <v>***</v>
      </c>
      <c r="M16" s="73"/>
      <c r="N16" s="73">
        <f>+IFERROR(VLOOKUP($A16,'Goals &amp; Budget 2026'!$A$2:$EJ$49,22,FALSE),0)</f>
        <v>0</v>
      </c>
      <c r="O16" s="231" t="str">
        <f t="shared" si="20"/>
        <v>***</v>
      </c>
      <c r="P16" s="73"/>
      <c r="Q16" s="73">
        <f>+IFERROR(VLOOKUP($A16,'Goals &amp; Budget 2026'!$A$2:$EJ$49,23,FALSE),0)</f>
        <v>0</v>
      </c>
      <c r="R16" s="84" t="str">
        <f t="shared" si="21"/>
        <v>***</v>
      </c>
      <c r="S16" s="73"/>
      <c r="T16" s="73">
        <f>+IFERROR(VLOOKUP($A16,'Goals &amp; Budget 2026'!$A$2:$EJ$49,24,FALSE),0)</f>
        <v>0</v>
      </c>
      <c r="U16" s="84" t="str">
        <f t="shared" si="22"/>
        <v>***</v>
      </c>
      <c r="V16" s="73"/>
      <c r="W16" s="73">
        <f>+IFERROR(VLOOKUP($A16,'Goals &amp; Budget 2026'!$A$2:$EJ$49,25,FALSE),0)</f>
        <v>0</v>
      </c>
      <c r="X16" s="231" t="str">
        <f t="shared" si="23"/>
        <v>***</v>
      </c>
      <c r="Y16" s="73"/>
      <c r="Z16" s="73">
        <f>+IFERROR(VLOOKUP($A16,'Goals &amp; Budget 2026'!$A$2:$EJ$49,26,FALSE),0)</f>
        <v>0</v>
      </c>
      <c r="AA16" s="84" t="str">
        <f t="shared" si="24"/>
        <v>***</v>
      </c>
      <c r="AB16" s="73"/>
      <c r="AC16" s="73">
        <f>+IFERROR(VLOOKUP($A16,'Goals &amp; Budget 2026'!$A$2:$EJ$49,27,FALSE),0)</f>
        <v>0</v>
      </c>
      <c r="AD16" s="84" t="str">
        <f t="shared" si="25"/>
        <v>***</v>
      </c>
      <c r="AE16" s="73"/>
      <c r="AF16" s="73">
        <f>+IFERROR(VLOOKUP($A16,'Goals &amp; Budget 2026'!$A$2:$EJ$49,28,FALSE),0)</f>
        <v>0</v>
      </c>
      <c r="AG16" s="231" t="str">
        <f t="shared" si="26"/>
        <v>***</v>
      </c>
      <c r="AH16" s="73"/>
      <c r="AI16" s="73">
        <f>+IFERROR(VLOOKUP($A16,'Goals &amp; Budget 2026'!$A$2:$EJ$49,29,FALSE),0)</f>
        <v>0</v>
      </c>
      <c r="AJ16" s="84" t="str">
        <f t="shared" si="27"/>
        <v>***</v>
      </c>
      <c r="AK16" s="73"/>
      <c r="AL16" s="73">
        <f>+IFERROR(VLOOKUP($A16,'Goals &amp; Budget 2026'!$A$2:$EJ$49,30,FALSE),0)</f>
        <v>0</v>
      </c>
      <c r="AM16" s="84" t="str">
        <f t="shared" si="28"/>
        <v>***</v>
      </c>
      <c r="AN16" s="73"/>
      <c r="AO16" s="73">
        <f>+IFERROR(VLOOKUP($A16,'Goals &amp; Budget 2026'!$A$2:$EJ$49,31,FALSE),0)</f>
        <v>0</v>
      </c>
      <c r="AP16" s="85" t="str">
        <f t="shared" si="29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0">
        <f t="shared" si="15"/>
        <v>0</v>
      </c>
      <c r="E17" s="73">
        <f t="shared" si="16"/>
        <v>0</v>
      </c>
      <c r="F17" s="231" t="str">
        <f t="shared" si="17"/>
        <v>***</v>
      </c>
      <c r="G17" s="73"/>
      <c r="H17" s="73">
        <f>+IFERROR(VLOOKUP($A17,'Goals &amp; Budget 2026'!$A$2:$EJ$49,20,FALSE),0)</f>
        <v>0</v>
      </c>
      <c r="I17" s="84" t="str">
        <f t="shared" si="18"/>
        <v>***</v>
      </c>
      <c r="J17" s="73"/>
      <c r="K17" s="73">
        <f>+IFERROR(VLOOKUP($A17,'Goals &amp; Budget 2026'!$A$2:$EJ$49,21,FALSE),0)</f>
        <v>0</v>
      </c>
      <c r="L17" s="84" t="str">
        <f t="shared" si="19"/>
        <v>***</v>
      </c>
      <c r="M17" s="73"/>
      <c r="N17" s="73">
        <f>+IFERROR(VLOOKUP($A17,'Goals &amp; Budget 2026'!$A$2:$EJ$49,22,FALSE),0)</f>
        <v>0</v>
      </c>
      <c r="O17" s="231" t="str">
        <f t="shared" si="20"/>
        <v>***</v>
      </c>
      <c r="P17" s="73"/>
      <c r="Q17" s="73">
        <f>+IFERROR(VLOOKUP($A17,'Goals &amp; Budget 2026'!$A$2:$EJ$49,23,FALSE),0)</f>
        <v>0</v>
      </c>
      <c r="R17" s="84" t="str">
        <f t="shared" si="21"/>
        <v>***</v>
      </c>
      <c r="S17" s="73"/>
      <c r="T17" s="73">
        <f>+IFERROR(VLOOKUP($A17,'Goals &amp; Budget 2026'!$A$2:$EJ$49,24,FALSE),0)</f>
        <v>0</v>
      </c>
      <c r="U17" s="84" t="str">
        <f t="shared" si="22"/>
        <v>***</v>
      </c>
      <c r="V17" s="73"/>
      <c r="W17" s="73">
        <f>+IFERROR(VLOOKUP($A17,'Goals &amp; Budget 2026'!$A$2:$EJ$49,25,FALSE),0)</f>
        <v>0</v>
      </c>
      <c r="X17" s="231" t="str">
        <f t="shared" si="23"/>
        <v>***</v>
      </c>
      <c r="Y17" s="73"/>
      <c r="Z17" s="73">
        <f>+IFERROR(VLOOKUP($A17,'Goals &amp; Budget 2026'!$A$2:$EJ$49,26,FALSE),0)</f>
        <v>0</v>
      </c>
      <c r="AA17" s="84" t="str">
        <f t="shared" si="24"/>
        <v>***</v>
      </c>
      <c r="AB17" s="73"/>
      <c r="AC17" s="73">
        <f>+IFERROR(VLOOKUP($A17,'Goals &amp; Budget 2026'!$A$2:$EJ$49,27,FALSE),0)</f>
        <v>0</v>
      </c>
      <c r="AD17" s="84" t="str">
        <f t="shared" si="25"/>
        <v>***</v>
      </c>
      <c r="AE17" s="73"/>
      <c r="AF17" s="73">
        <f>+IFERROR(VLOOKUP($A17,'Goals &amp; Budget 2026'!$A$2:$EJ$49,28,FALSE),0)</f>
        <v>0</v>
      </c>
      <c r="AG17" s="231" t="str">
        <f t="shared" si="26"/>
        <v>***</v>
      </c>
      <c r="AH17" s="73"/>
      <c r="AI17" s="73">
        <f>+IFERROR(VLOOKUP($A17,'Goals &amp; Budget 2026'!$A$2:$EJ$49,29,FALSE),0)</f>
        <v>0</v>
      </c>
      <c r="AJ17" s="84" t="str">
        <f t="shared" si="27"/>
        <v>***</v>
      </c>
      <c r="AK17" s="73"/>
      <c r="AL17" s="73">
        <f>+IFERROR(VLOOKUP($A17,'Goals &amp; Budget 2026'!$A$2:$EJ$49,30,FALSE),0)</f>
        <v>0</v>
      </c>
      <c r="AM17" s="84" t="str">
        <f t="shared" si="28"/>
        <v>***</v>
      </c>
      <c r="AN17" s="73"/>
      <c r="AO17" s="73">
        <f>+IFERROR(VLOOKUP($A17,'Goals &amp; Budget 2026'!$A$2:$EJ$49,31,FALSE),0)</f>
        <v>0</v>
      </c>
      <c r="AP17" s="85" t="str">
        <f t="shared" si="29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0">
        <f t="shared" si="15"/>
        <v>0</v>
      </c>
      <c r="E18" s="73">
        <f t="shared" si="16"/>
        <v>0</v>
      </c>
      <c r="F18" s="231" t="str">
        <f t="shared" si="17"/>
        <v>***</v>
      </c>
      <c r="G18" s="73"/>
      <c r="H18" s="73">
        <f>+IFERROR(VLOOKUP($A18,'Goals &amp; Budget 2026'!$A$2:$EJ$49,20,FALSE),0)</f>
        <v>0</v>
      </c>
      <c r="I18" s="84" t="str">
        <f t="shared" si="18"/>
        <v>***</v>
      </c>
      <c r="J18" s="73"/>
      <c r="K18" s="73">
        <f>+IFERROR(VLOOKUP($A18,'Goals &amp; Budget 2026'!$A$2:$EJ$49,21,FALSE),0)</f>
        <v>0</v>
      </c>
      <c r="L18" s="84" t="str">
        <f t="shared" si="19"/>
        <v>***</v>
      </c>
      <c r="M18" s="73"/>
      <c r="N18" s="73">
        <f>+IFERROR(VLOOKUP($A18,'Goals &amp; Budget 2026'!$A$2:$EJ$49,22,FALSE),0)</f>
        <v>0</v>
      </c>
      <c r="O18" s="231" t="str">
        <f t="shared" si="20"/>
        <v>***</v>
      </c>
      <c r="P18" s="73"/>
      <c r="Q18" s="73">
        <f>+IFERROR(VLOOKUP($A18,'Goals &amp; Budget 2026'!$A$2:$EJ$49,23,FALSE),0)</f>
        <v>0</v>
      </c>
      <c r="R18" s="84" t="str">
        <f t="shared" si="21"/>
        <v>***</v>
      </c>
      <c r="S18" s="73"/>
      <c r="T18" s="73">
        <f>+IFERROR(VLOOKUP($A18,'Goals &amp; Budget 2026'!$A$2:$EJ$49,24,FALSE),0)</f>
        <v>0</v>
      </c>
      <c r="U18" s="84" t="str">
        <f t="shared" si="22"/>
        <v>***</v>
      </c>
      <c r="V18" s="73"/>
      <c r="W18" s="73">
        <f>+IFERROR(VLOOKUP($A18,'Goals &amp; Budget 2026'!$A$2:$EJ$49,25,FALSE),0)</f>
        <v>0</v>
      </c>
      <c r="X18" s="231" t="str">
        <f t="shared" si="23"/>
        <v>***</v>
      </c>
      <c r="Y18" s="73"/>
      <c r="Z18" s="73">
        <f>+IFERROR(VLOOKUP($A18,'Goals &amp; Budget 2026'!$A$2:$EJ$49,26,FALSE),0)</f>
        <v>0</v>
      </c>
      <c r="AA18" s="84" t="str">
        <f t="shared" si="24"/>
        <v>***</v>
      </c>
      <c r="AB18" s="73"/>
      <c r="AC18" s="73">
        <f>+IFERROR(VLOOKUP($A18,'Goals &amp; Budget 2026'!$A$2:$EJ$49,27,FALSE),0)</f>
        <v>0</v>
      </c>
      <c r="AD18" s="84" t="str">
        <f t="shared" si="25"/>
        <v>***</v>
      </c>
      <c r="AE18" s="73"/>
      <c r="AF18" s="73">
        <f>+IFERROR(VLOOKUP($A18,'Goals &amp; Budget 2026'!$A$2:$EJ$49,28,FALSE),0)</f>
        <v>0</v>
      </c>
      <c r="AG18" s="231" t="str">
        <f t="shared" si="26"/>
        <v>***</v>
      </c>
      <c r="AH18" s="73"/>
      <c r="AI18" s="73">
        <f>+IFERROR(VLOOKUP($A18,'Goals &amp; Budget 2026'!$A$2:$EJ$49,29,FALSE),0)</f>
        <v>0</v>
      </c>
      <c r="AJ18" s="84" t="str">
        <f t="shared" si="27"/>
        <v>***</v>
      </c>
      <c r="AK18" s="73"/>
      <c r="AL18" s="73">
        <f>+IFERROR(VLOOKUP($A18,'Goals &amp; Budget 2026'!$A$2:$EJ$49,30,FALSE),0)</f>
        <v>0</v>
      </c>
      <c r="AM18" s="84" t="str">
        <f t="shared" si="28"/>
        <v>***</v>
      </c>
      <c r="AN18" s="73"/>
      <c r="AO18" s="73">
        <f>+IFERROR(VLOOKUP($A18,'Goals &amp; Budget 2026'!$A$2:$EJ$49,31,FALSE),0)</f>
        <v>0</v>
      </c>
      <c r="AP18" s="85" t="str">
        <f t="shared" si="29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0">
        <f t="shared" si="15"/>
        <v>0</v>
      </c>
      <c r="E19" s="73">
        <f t="shared" si="16"/>
        <v>0</v>
      </c>
      <c r="F19" s="231" t="str">
        <f t="shared" si="17"/>
        <v>***</v>
      </c>
      <c r="G19" s="73"/>
      <c r="H19" s="73">
        <f>+IFERROR(VLOOKUP($A19,'Goals &amp; Budget 2026'!$A$2:$EJ$49,20,FALSE),0)</f>
        <v>0</v>
      </c>
      <c r="I19" s="84" t="str">
        <f t="shared" si="18"/>
        <v>***</v>
      </c>
      <c r="J19" s="73"/>
      <c r="K19" s="73">
        <f>+IFERROR(VLOOKUP($A19,'Goals &amp; Budget 2026'!$A$2:$EJ$49,21,FALSE),0)</f>
        <v>0</v>
      </c>
      <c r="L19" s="84" t="str">
        <f t="shared" si="19"/>
        <v>***</v>
      </c>
      <c r="M19" s="73"/>
      <c r="N19" s="73">
        <f>+IFERROR(VLOOKUP($A19,'Goals &amp; Budget 2026'!$A$2:$EJ$49,22,FALSE),0)</f>
        <v>0</v>
      </c>
      <c r="O19" s="231" t="str">
        <f t="shared" si="20"/>
        <v>***</v>
      </c>
      <c r="P19" s="73"/>
      <c r="Q19" s="73">
        <f>+IFERROR(VLOOKUP($A19,'Goals &amp; Budget 2026'!$A$2:$EJ$49,23,FALSE),0)</f>
        <v>0</v>
      </c>
      <c r="R19" s="84" t="str">
        <f t="shared" si="21"/>
        <v>***</v>
      </c>
      <c r="S19" s="73"/>
      <c r="T19" s="73">
        <f>+IFERROR(VLOOKUP($A19,'Goals &amp; Budget 2026'!$A$2:$EJ$49,24,FALSE),0)</f>
        <v>0</v>
      </c>
      <c r="U19" s="84" t="str">
        <f t="shared" si="22"/>
        <v>***</v>
      </c>
      <c r="V19" s="73"/>
      <c r="W19" s="73">
        <f>+IFERROR(VLOOKUP($A19,'Goals &amp; Budget 2026'!$A$2:$EJ$49,25,FALSE),0)</f>
        <v>0</v>
      </c>
      <c r="X19" s="231" t="str">
        <f t="shared" si="23"/>
        <v>***</v>
      </c>
      <c r="Y19" s="73"/>
      <c r="Z19" s="73">
        <f>+IFERROR(VLOOKUP($A19,'Goals &amp; Budget 2026'!$A$2:$EJ$49,26,FALSE),0)</f>
        <v>0</v>
      </c>
      <c r="AA19" s="84" t="str">
        <f t="shared" si="24"/>
        <v>***</v>
      </c>
      <c r="AB19" s="73"/>
      <c r="AC19" s="73">
        <f>+IFERROR(VLOOKUP($A19,'Goals &amp; Budget 2026'!$A$2:$EJ$49,27,FALSE),0)</f>
        <v>0</v>
      </c>
      <c r="AD19" s="84" t="str">
        <f t="shared" si="25"/>
        <v>***</v>
      </c>
      <c r="AE19" s="73"/>
      <c r="AF19" s="73">
        <f>+IFERROR(VLOOKUP($A19,'Goals &amp; Budget 2026'!$A$2:$EJ$49,28,FALSE),0)</f>
        <v>0</v>
      </c>
      <c r="AG19" s="231" t="str">
        <f t="shared" si="26"/>
        <v>***</v>
      </c>
      <c r="AH19" s="73"/>
      <c r="AI19" s="73">
        <f>+IFERROR(VLOOKUP($A19,'Goals &amp; Budget 2026'!$A$2:$EJ$49,29,FALSE),0)</f>
        <v>0</v>
      </c>
      <c r="AJ19" s="84" t="str">
        <f t="shared" si="27"/>
        <v>***</v>
      </c>
      <c r="AK19" s="73"/>
      <c r="AL19" s="73">
        <f>+IFERROR(VLOOKUP($A19,'Goals &amp; Budget 2026'!$A$2:$EJ$49,30,FALSE),0)</f>
        <v>0</v>
      </c>
      <c r="AM19" s="84" t="str">
        <f t="shared" si="28"/>
        <v>***</v>
      </c>
      <c r="AN19" s="73"/>
      <c r="AO19" s="73">
        <f>+IFERROR(VLOOKUP($A19,'Goals &amp; Budget 2026'!$A$2:$EJ$49,31,FALSE),0)</f>
        <v>0</v>
      </c>
      <c r="AP19" s="85" t="str">
        <f t="shared" si="29"/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0">
        <f t="shared" si="15"/>
        <v>0</v>
      </c>
      <c r="E20" s="73">
        <f t="shared" si="16"/>
        <v>0</v>
      </c>
      <c r="F20" s="231" t="str">
        <f t="shared" si="17"/>
        <v>***</v>
      </c>
      <c r="G20" s="73"/>
      <c r="H20" s="73">
        <f>+IFERROR(VLOOKUP($A20,'Goals &amp; Budget 2026'!$A$2:$EJ$49,20,FALSE),0)</f>
        <v>0</v>
      </c>
      <c r="I20" s="84" t="str">
        <f t="shared" si="18"/>
        <v>***</v>
      </c>
      <c r="J20" s="73"/>
      <c r="K20" s="73">
        <f>+IFERROR(VLOOKUP($A20,'Goals &amp; Budget 2026'!$A$2:$EJ$49,21,FALSE),0)</f>
        <v>0</v>
      </c>
      <c r="L20" s="84" t="str">
        <f t="shared" si="19"/>
        <v>***</v>
      </c>
      <c r="M20" s="73"/>
      <c r="N20" s="73">
        <f>+IFERROR(VLOOKUP($A20,'Goals &amp; Budget 2026'!$A$2:$EJ$49,22,FALSE),0)</f>
        <v>0</v>
      </c>
      <c r="O20" s="231" t="str">
        <f t="shared" si="20"/>
        <v>***</v>
      </c>
      <c r="P20" s="73"/>
      <c r="Q20" s="73">
        <f>+IFERROR(VLOOKUP($A20,'Goals &amp; Budget 2026'!$A$2:$EJ$49,23,FALSE),0)</f>
        <v>0</v>
      </c>
      <c r="R20" s="84" t="str">
        <f t="shared" si="21"/>
        <v>***</v>
      </c>
      <c r="S20" s="73"/>
      <c r="T20" s="73">
        <f>+IFERROR(VLOOKUP($A20,'Goals &amp; Budget 2026'!$A$2:$EJ$49,24,FALSE),0)</f>
        <v>0</v>
      </c>
      <c r="U20" s="84" t="str">
        <f t="shared" si="22"/>
        <v>***</v>
      </c>
      <c r="V20" s="73"/>
      <c r="W20" s="73">
        <f>+IFERROR(VLOOKUP($A20,'Goals &amp; Budget 2026'!$A$2:$EJ$49,25,FALSE),0)</f>
        <v>0</v>
      </c>
      <c r="X20" s="231" t="str">
        <f t="shared" si="23"/>
        <v>***</v>
      </c>
      <c r="Y20" s="73"/>
      <c r="Z20" s="73">
        <f>+IFERROR(VLOOKUP($A20,'Goals &amp; Budget 2026'!$A$2:$EJ$49,26,FALSE),0)</f>
        <v>0</v>
      </c>
      <c r="AA20" s="84" t="str">
        <f t="shared" si="24"/>
        <v>***</v>
      </c>
      <c r="AB20" s="73"/>
      <c r="AC20" s="73">
        <f>+IFERROR(VLOOKUP($A20,'Goals &amp; Budget 2026'!$A$2:$EJ$49,27,FALSE),0)</f>
        <v>0</v>
      </c>
      <c r="AD20" s="84" t="str">
        <f t="shared" si="25"/>
        <v>***</v>
      </c>
      <c r="AE20" s="73"/>
      <c r="AF20" s="73">
        <f>+IFERROR(VLOOKUP($A20,'Goals &amp; Budget 2026'!$A$2:$EJ$49,28,FALSE),0)</f>
        <v>0</v>
      </c>
      <c r="AG20" s="231" t="str">
        <f t="shared" si="26"/>
        <v>***</v>
      </c>
      <c r="AH20" s="73"/>
      <c r="AI20" s="73">
        <f>+IFERROR(VLOOKUP($A20,'Goals &amp; Budget 2026'!$A$2:$EJ$49,29,FALSE),0)</f>
        <v>0</v>
      </c>
      <c r="AJ20" s="84" t="str">
        <f t="shared" si="27"/>
        <v>***</v>
      </c>
      <c r="AK20" s="73"/>
      <c r="AL20" s="73">
        <f>+IFERROR(VLOOKUP($A20,'Goals &amp; Budget 2026'!$A$2:$EJ$49,30,FALSE),0)</f>
        <v>0</v>
      </c>
      <c r="AM20" s="84" t="str">
        <f t="shared" si="28"/>
        <v>***</v>
      </c>
      <c r="AN20" s="73"/>
      <c r="AO20" s="73">
        <f>+IFERROR(VLOOKUP($A20,'Goals &amp; Budget 2026'!$A$2:$EJ$49,31,FALSE),0)</f>
        <v>0</v>
      </c>
      <c r="AP20" s="85" t="str">
        <f t="shared" si="29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0">
        <f t="shared" si="15"/>
        <v>0</v>
      </c>
      <c r="E21" s="73">
        <f t="shared" si="16"/>
        <v>0</v>
      </c>
      <c r="F21" s="231" t="str">
        <f t="shared" si="17"/>
        <v>***</v>
      </c>
      <c r="G21" s="73"/>
      <c r="H21" s="73">
        <f>+IFERROR(VLOOKUP($A21,'Goals &amp; Budget 2026'!$A$2:$EJ$49,20,FALSE),0)</f>
        <v>0</v>
      </c>
      <c r="I21" s="84" t="str">
        <f t="shared" si="18"/>
        <v>***</v>
      </c>
      <c r="J21" s="73"/>
      <c r="K21" s="73">
        <f>+IFERROR(VLOOKUP($A21,'Goals &amp; Budget 2026'!$A$2:$EJ$49,21,FALSE),0)</f>
        <v>0</v>
      </c>
      <c r="L21" s="84" t="str">
        <f t="shared" si="19"/>
        <v>***</v>
      </c>
      <c r="M21" s="73"/>
      <c r="N21" s="73">
        <f>+IFERROR(VLOOKUP($A21,'Goals &amp; Budget 2026'!$A$2:$EJ$49,22,FALSE),0)</f>
        <v>0</v>
      </c>
      <c r="O21" s="231" t="str">
        <f t="shared" si="20"/>
        <v>***</v>
      </c>
      <c r="P21" s="73"/>
      <c r="Q21" s="73">
        <f>+IFERROR(VLOOKUP($A21,'Goals &amp; Budget 2026'!$A$2:$EJ$49,23,FALSE),0)</f>
        <v>0</v>
      </c>
      <c r="R21" s="84" t="str">
        <f t="shared" si="21"/>
        <v>***</v>
      </c>
      <c r="S21" s="73"/>
      <c r="T21" s="73">
        <f>+IFERROR(VLOOKUP($A21,'Goals &amp; Budget 2026'!$A$2:$EJ$49,24,FALSE),0)</f>
        <v>0</v>
      </c>
      <c r="U21" s="84" t="str">
        <f t="shared" si="22"/>
        <v>***</v>
      </c>
      <c r="V21" s="73"/>
      <c r="W21" s="73">
        <f>+IFERROR(VLOOKUP($A21,'Goals &amp; Budget 2026'!$A$2:$EJ$49,25,FALSE),0)</f>
        <v>0</v>
      </c>
      <c r="X21" s="231" t="str">
        <f t="shared" si="23"/>
        <v>***</v>
      </c>
      <c r="Y21" s="73"/>
      <c r="Z21" s="73">
        <f>+IFERROR(VLOOKUP($A21,'Goals &amp; Budget 2026'!$A$2:$EJ$49,26,FALSE),0)</f>
        <v>0</v>
      </c>
      <c r="AA21" s="84" t="str">
        <f t="shared" si="24"/>
        <v>***</v>
      </c>
      <c r="AB21" s="73"/>
      <c r="AC21" s="73">
        <f>+IFERROR(VLOOKUP($A21,'Goals &amp; Budget 2026'!$A$2:$EJ$49,27,FALSE),0)</f>
        <v>0</v>
      </c>
      <c r="AD21" s="84" t="str">
        <f t="shared" si="25"/>
        <v>***</v>
      </c>
      <c r="AE21" s="73"/>
      <c r="AF21" s="73">
        <f>+IFERROR(VLOOKUP($A21,'Goals &amp; Budget 2026'!$A$2:$EJ$49,28,FALSE),0)</f>
        <v>0</v>
      </c>
      <c r="AG21" s="231" t="str">
        <f t="shared" si="26"/>
        <v>***</v>
      </c>
      <c r="AH21" s="73"/>
      <c r="AI21" s="73">
        <f>+IFERROR(VLOOKUP($A21,'Goals &amp; Budget 2026'!$A$2:$EJ$49,29,FALSE),0)</f>
        <v>0</v>
      </c>
      <c r="AJ21" s="84" t="str">
        <f t="shared" si="27"/>
        <v>***</v>
      </c>
      <c r="AK21" s="73"/>
      <c r="AL21" s="73">
        <f>+IFERROR(VLOOKUP($A21,'Goals &amp; Budget 2026'!$A$2:$EJ$49,30,FALSE),0)</f>
        <v>0</v>
      </c>
      <c r="AM21" s="84" t="str">
        <f t="shared" si="28"/>
        <v>***</v>
      </c>
      <c r="AN21" s="73"/>
      <c r="AO21" s="73">
        <f>+IFERROR(VLOOKUP($A21,'Goals &amp; Budget 2026'!$A$2:$EJ$49,31,FALSE),0)</f>
        <v>0</v>
      </c>
      <c r="AP21" s="85" t="str">
        <f t="shared" si="29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0">
        <f t="shared" si="15"/>
        <v>0</v>
      </c>
      <c r="E22" s="73">
        <f t="shared" si="16"/>
        <v>0</v>
      </c>
      <c r="F22" s="231" t="str">
        <f t="shared" si="17"/>
        <v>***</v>
      </c>
      <c r="G22" s="73"/>
      <c r="H22" s="73">
        <f>+IFERROR(VLOOKUP($A22,'Goals &amp; Budget 2026'!$A$2:$EJ$49,20,FALSE),0)</f>
        <v>0</v>
      </c>
      <c r="I22" s="84" t="str">
        <f t="shared" si="18"/>
        <v>***</v>
      </c>
      <c r="J22" s="73"/>
      <c r="K22" s="73">
        <f>+IFERROR(VLOOKUP($A22,'Goals &amp; Budget 2026'!$A$2:$EJ$49,21,FALSE),0)</f>
        <v>0</v>
      </c>
      <c r="L22" s="84" t="str">
        <f t="shared" si="19"/>
        <v>***</v>
      </c>
      <c r="M22" s="73"/>
      <c r="N22" s="73">
        <f>+IFERROR(VLOOKUP($A22,'Goals &amp; Budget 2026'!$A$2:$EJ$49,22,FALSE),0)</f>
        <v>0</v>
      </c>
      <c r="O22" s="231" t="str">
        <f t="shared" si="20"/>
        <v>***</v>
      </c>
      <c r="P22" s="73"/>
      <c r="Q22" s="73">
        <f>+IFERROR(VLOOKUP($A22,'Goals &amp; Budget 2026'!$A$2:$EJ$49,23,FALSE),0)</f>
        <v>0</v>
      </c>
      <c r="R22" s="84" t="str">
        <f t="shared" si="21"/>
        <v>***</v>
      </c>
      <c r="S22" s="73"/>
      <c r="T22" s="73">
        <f>+IFERROR(VLOOKUP($A22,'Goals &amp; Budget 2026'!$A$2:$EJ$49,24,FALSE),0)</f>
        <v>0</v>
      </c>
      <c r="U22" s="84" t="str">
        <f t="shared" si="22"/>
        <v>***</v>
      </c>
      <c r="V22" s="73"/>
      <c r="W22" s="73">
        <f>+IFERROR(VLOOKUP($A22,'Goals &amp; Budget 2026'!$A$2:$EJ$49,25,FALSE),0)</f>
        <v>0</v>
      </c>
      <c r="X22" s="231" t="str">
        <f t="shared" si="23"/>
        <v>***</v>
      </c>
      <c r="Y22" s="73"/>
      <c r="Z22" s="73">
        <f>+IFERROR(VLOOKUP($A22,'Goals &amp; Budget 2026'!$A$2:$EJ$49,26,FALSE),0)</f>
        <v>0</v>
      </c>
      <c r="AA22" s="84" t="str">
        <f t="shared" si="24"/>
        <v>***</v>
      </c>
      <c r="AB22" s="73"/>
      <c r="AC22" s="73">
        <f>+IFERROR(VLOOKUP($A22,'Goals &amp; Budget 2026'!$A$2:$EJ$49,27,FALSE),0)</f>
        <v>0</v>
      </c>
      <c r="AD22" s="84" t="str">
        <f t="shared" si="25"/>
        <v>***</v>
      </c>
      <c r="AE22" s="73"/>
      <c r="AF22" s="73">
        <f>+IFERROR(VLOOKUP($A22,'Goals &amp; Budget 2026'!$A$2:$EJ$49,28,FALSE),0)</f>
        <v>0</v>
      </c>
      <c r="AG22" s="231" t="str">
        <f t="shared" si="26"/>
        <v>***</v>
      </c>
      <c r="AH22" s="73"/>
      <c r="AI22" s="73">
        <f>+IFERROR(VLOOKUP($A22,'Goals &amp; Budget 2026'!$A$2:$EJ$49,29,FALSE),0)</f>
        <v>0</v>
      </c>
      <c r="AJ22" s="84" t="str">
        <f t="shared" si="27"/>
        <v>***</v>
      </c>
      <c r="AK22" s="73"/>
      <c r="AL22" s="73">
        <f>+IFERROR(VLOOKUP($A22,'Goals &amp; Budget 2026'!$A$2:$EJ$49,30,FALSE),0)</f>
        <v>0</v>
      </c>
      <c r="AM22" s="84" t="str">
        <f t="shared" si="28"/>
        <v>***</v>
      </c>
      <c r="AN22" s="73"/>
      <c r="AO22" s="73">
        <f>+IFERROR(VLOOKUP($A22,'Goals &amp; Budget 2026'!$A$2:$EJ$49,31,FALSE),0)</f>
        <v>0</v>
      </c>
      <c r="AP22" s="85" t="str">
        <f t="shared" si="29"/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0">
        <f t="shared" si="15"/>
        <v>0</v>
      </c>
      <c r="E23" s="73">
        <f t="shared" si="16"/>
        <v>0</v>
      </c>
      <c r="F23" s="231" t="str">
        <f t="shared" si="17"/>
        <v>***</v>
      </c>
      <c r="G23" s="73"/>
      <c r="H23" s="73">
        <f>+IFERROR(VLOOKUP($A23,'Goals &amp; Budget 2026'!$A$2:$EJ$49,20,FALSE),0)</f>
        <v>0</v>
      </c>
      <c r="I23" s="84" t="str">
        <f t="shared" si="18"/>
        <v>***</v>
      </c>
      <c r="J23" s="73"/>
      <c r="K23" s="73">
        <f>+IFERROR(VLOOKUP($A23,'Goals &amp; Budget 2026'!$A$2:$EJ$49,21,FALSE),0)</f>
        <v>0</v>
      </c>
      <c r="L23" s="84" t="str">
        <f t="shared" si="19"/>
        <v>***</v>
      </c>
      <c r="M23" s="73"/>
      <c r="N23" s="73">
        <f>+IFERROR(VLOOKUP($A23,'Goals &amp; Budget 2026'!$A$2:$EJ$49,22,FALSE),0)</f>
        <v>0</v>
      </c>
      <c r="O23" s="231" t="str">
        <f t="shared" si="20"/>
        <v>***</v>
      </c>
      <c r="P23" s="73"/>
      <c r="Q23" s="73">
        <f>+IFERROR(VLOOKUP($A23,'Goals &amp; Budget 2026'!$A$2:$EJ$49,23,FALSE),0)</f>
        <v>0</v>
      </c>
      <c r="R23" s="84" t="str">
        <f t="shared" si="21"/>
        <v>***</v>
      </c>
      <c r="S23" s="73"/>
      <c r="T23" s="73">
        <f>+IFERROR(VLOOKUP($A23,'Goals &amp; Budget 2026'!$A$2:$EJ$49,24,FALSE),0)</f>
        <v>0</v>
      </c>
      <c r="U23" s="84" t="str">
        <f t="shared" si="22"/>
        <v>***</v>
      </c>
      <c r="V23" s="73"/>
      <c r="W23" s="73">
        <f>+IFERROR(VLOOKUP($A23,'Goals &amp; Budget 2026'!$A$2:$EJ$49,25,FALSE),0)</f>
        <v>0</v>
      </c>
      <c r="X23" s="231" t="str">
        <f t="shared" si="23"/>
        <v>***</v>
      </c>
      <c r="Y23" s="73"/>
      <c r="Z23" s="73">
        <f>+IFERROR(VLOOKUP($A23,'Goals &amp; Budget 2026'!$A$2:$EJ$49,26,FALSE),0)</f>
        <v>0</v>
      </c>
      <c r="AA23" s="84" t="str">
        <f t="shared" si="24"/>
        <v>***</v>
      </c>
      <c r="AB23" s="73"/>
      <c r="AC23" s="73">
        <f>+IFERROR(VLOOKUP($A23,'Goals &amp; Budget 2026'!$A$2:$EJ$49,27,FALSE),0)</f>
        <v>0</v>
      </c>
      <c r="AD23" s="84" t="str">
        <f t="shared" si="25"/>
        <v>***</v>
      </c>
      <c r="AE23" s="73"/>
      <c r="AF23" s="73">
        <f>+IFERROR(VLOOKUP($A23,'Goals &amp; Budget 2026'!$A$2:$EJ$49,28,FALSE),0)</f>
        <v>0</v>
      </c>
      <c r="AG23" s="231" t="str">
        <f t="shared" si="26"/>
        <v>***</v>
      </c>
      <c r="AH23" s="73"/>
      <c r="AI23" s="73">
        <f>+IFERROR(VLOOKUP($A23,'Goals &amp; Budget 2026'!$A$2:$EJ$49,29,FALSE),0)</f>
        <v>0</v>
      </c>
      <c r="AJ23" s="84" t="str">
        <f t="shared" si="27"/>
        <v>***</v>
      </c>
      <c r="AK23" s="73"/>
      <c r="AL23" s="73">
        <f>+IFERROR(VLOOKUP($A23,'Goals &amp; Budget 2026'!$A$2:$EJ$49,30,FALSE),0)</f>
        <v>0</v>
      </c>
      <c r="AM23" s="84" t="str">
        <f t="shared" si="28"/>
        <v>***</v>
      </c>
      <c r="AN23" s="73"/>
      <c r="AO23" s="73">
        <f>+IFERROR(VLOOKUP($A23,'Goals &amp; Budget 2026'!$A$2:$EJ$49,31,FALSE),0)</f>
        <v>0</v>
      </c>
      <c r="AP23" s="85" t="str">
        <f t="shared" si="29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0">
        <f t="shared" si="15"/>
        <v>0</v>
      </c>
      <c r="E24" s="73">
        <f t="shared" si="16"/>
        <v>0</v>
      </c>
      <c r="F24" s="231" t="str">
        <f t="shared" si="17"/>
        <v>***</v>
      </c>
      <c r="G24" s="73"/>
      <c r="H24" s="73">
        <f>+IFERROR(VLOOKUP($A24,'Goals &amp; Budget 2026'!$A$2:$EJ$49,20,FALSE),0)</f>
        <v>0</v>
      </c>
      <c r="I24" s="84" t="str">
        <f t="shared" si="18"/>
        <v>***</v>
      </c>
      <c r="J24" s="73"/>
      <c r="K24" s="73">
        <f>+IFERROR(VLOOKUP($A24,'Goals &amp; Budget 2026'!$A$2:$EJ$49,21,FALSE),0)</f>
        <v>0</v>
      </c>
      <c r="L24" s="84" t="str">
        <f t="shared" si="19"/>
        <v>***</v>
      </c>
      <c r="M24" s="73"/>
      <c r="N24" s="73">
        <f>+IFERROR(VLOOKUP($A24,'Goals &amp; Budget 2026'!$A$2:$EJ$49,22,FALSE),0)</f>
        <v>0</v>
      </c>
      <c r="O24" s="231" t="str">
        <f t="shared" si="20"/>
        <v>***</v>
      </c>
      <c r="P24" s="73"/>
      <c r="Q24" s="73">
        <f>+IFERROR(VLOOKUP($A24,'Goals &amp; Budget 2026'!$A$2:$EJ$49,23,FALSE),0)</f>
        <v>0</v>
      </c>
      <c r="R24" s="84" t="str">
        <f t="shared" si="21"/>
        <v>***</v>
      </c>
      <c r="S24" s="73"/>
      <c r="T24" s="73">
        <f>+IFERROR(VLOOKUP($A24,'Goals &amp; Budget 2026'!$A$2:$EJ$49,24,FALSE),0)</f>
        <v>0</v>
      </c>
      <c r="U24" s="84" t="str">
        <f t="shared" si="22"/>
        <v>***</v>
      </c>
      <c r="V24" s="73"/>
      <c r="W24" s="73">
        <f>+IFERROR(VLOOKUP($A24,'Goals &amp; Budget 2026'!$A$2:$EJ$49,25,FALSE),0)</f>
        <v>0</v>
      </c>
      <c r="X24" s="231" t="str">
        <f t="shared" si="23"/>
        <v>***</v>
      </c>
      <c r="Y24" s="73"/>
      <c r="Z24" s="73">
        <f>+IFERROR(VLOOKUP($A24,'Goals &amp; Budget 2026'!$A$2:$EJ$49,26,FALSE),0)</f>
        <v>0</v>
      </c>
      <c r="AA24" s="84" t="str">
        <f t="shared" si="24"/>
        <v>***</v>
      </c>
      <c r="AB24" s="73"/>
      <c r="AC24" s="73">
        <f>+IFERROR(VLOOKUP($A24,'Goals &amp; Budget 2026'!$A$2:$EJ$49,27,FALSE),0)</f>
        <v>0</v>
      </c>
      <c r="AD24" s="84" t="str">
        <f t="shared" si="25"/>
        <v>***</v>
      </c>
      <c r="AE24" s="73"/>
      <c r="AF24" s="73">
        <f>+IFERROR(VLOOKUP($A24,'Goals &amp; Budget 2026'!$A$2:$EJ$49,28,FALSE),0)</f>
        <v>0</v>
      </c>
      <c r="AG24" s="231" t="str">
        <f t="shared" si="26"/>
        <v>***</v>
      </c>
      <c r="AH24" s="73"/>
      <c r="AI24" s="73">
        <f>+IFERROR(VLOOKUP($A24,'Goals &amp; Budget 2026'!$A$2:$EJ$49,29,FALSE),0)</f>
        <v>0</v>
      </c>
      <c r="AJ24" s="84" t="str">
        <f t="shared" si="27"/>
        <v>***</v>
      </c>
      <c r="AK24" s="73"/>
      <c r="AL24" s="73">
        <f>+IFERROR(VLOOKUP($A24,'Goals &amp; Budget 2026'!$A$2:$EJ$49,30,FALSE),0)</f>
        <v>0</v>
      </c>
      <c r="AM24" s="84" t="str">
        <f t="shared" si="28"/>
        <v>***</v>
      </c>
      <c r="AN24" s="73"/>
      <c r="AO24" s="73">
        <f>+IFERROR(VLOOKUP($A24,'Goals &amp; Budget 2026'!$A$2:$EJ$49,31,FALSE),0)</f>
        <v>0</v>
      </c>
      <c r="AP24" s="85" t="str">
        <f t="shared" si="29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0">
        <f t="shared" si="15"/>
        <v>0</v>
      </c>
      <c r="E25" s="73">
        <f t="shared" si="16"/>
        <v>0</v>
      </c>
      <c r="F25" s="231" t="str">
        <f t="shared" si="17"/>
        <v>***</v>
      </c>
      <c r="G25" s="73"/>
      <c r="H25" s="73">
        <f>+IFERROR(VLOOKUP($A25,'Goals &amp; Budget 2026'!$A$2:$EJ$49,20,FALSE),0)</f>
        <v>0</v>
      </c>
      <c r="I25" s="84" t="str">
        <f t="shared" si="18"/>
        <v>***</v>
      </c>
      <c r="J25" s="73"/>
      <c r="K25" s="73">
        <f>+IFERROR(VLOOKUP($A25,'Goals &amp; Budget 2026'!$A$2:$EJ$49,21,FALSE),0)</f>
        <v>0</v>
      </c>
      <c r="L25" s="84" t="str">
        <f t="shared" si="19"/>
        <v>***</v>
      </c>
      <c r="M25" s="73"/>
      <c r="N25" s="73">
        <f>+IFERROR(VLOOKUP($A25,'Goals &amp; Budget 2026'!$A$2:$EJ$49,22,FALSE),0)</f>
        <v>0</v>
      </c>
      <c r="O25" s="231" t="str">
        <f t="shared" si="20"/>
        <v>***</v>
      </c>
      <c r="P25" s="73"/>
      <c r="Q25" s="73">
        <f>+IFERROR(VLOOKUP($A25,'Goals &amp; Budget 2026'!$A$2:$EJ$49,23,FALSE),0)</f>
        <v>0</v>
      </c>
      <c r="R25" s="84" t="str">
        <f t="shared" si="21"/>
        <v>***</v>
      </c>
      <c r="S25" s="73"/>
      <c r="T25" s="73">
        <f>+IFERROR(VLOOKUP($A25,'Goals &amp; Budget 2026'!$A$2:$EJ$49,24,FALSE),0)</f>
        <v>0</v>
      </c>
      <c r="U25" s="84" t="str">
        <f t="shared" si="22"/>
        <v>***</v>
      </c>
      <c r="V25" s="73"/>
      <c r="W25" s="73">
        <f>+IFERROR(VLOOKUP($A25,'Goals &amp; Budget 2026'!$A$2:$EJ$49,25,FALSE),0)</f>
        <v>0</v>
      </c>
      <c r="X25" s="231" t="str">
        <f t="shared" si="23"/>
        <v>***</v>
      </c>
      <c r="Y25" s="73"/>
      <c r="Z25" s="73">
        <f>+IFERROR(VLOOKUP($A25,'Goals &amp; Budget 2026'!$A$2:$EJ$49,26,FALSE),0)</f>
        <v>0</v>
      </c>
      <c r="AA25" s="84" t="str">
        <f t="shared" si="24"/>
        <v>***</v>
      </c>
      <c r="AB25" s="73"/>
      <c r="AC25" s="73">
        <f>+IFERROR(VLOOKUP($A25,'Goals &amp; Budget 2026'!$A$2:$EJ$49,27,FALSE),0)</f>
        <v>0</v>
      </c>
      <c r="AD25" s="84" t="str">
        <f t="shared" si="25"/>
        <v>***</v>
      </c>
      <c r="AE25" s="73"/>
      <c r="AF25" s="73">
        <f>+IFERROR(VLOOKUP($A25,'Goals &amp; Budget 2026'!$A$2:$EJ$49,28,FALSE),0)</f>
        <v>0</v>
      </c>
      <c r="AG25" s="231" t="str">
        <f t="shared" si="26"/>
        <v>***</v>
      </c>
      <c r="AH25" s="73"/>
      <c r="AI25" s="73">
        <f>+IFERROR(VLOOKUP($A25,'Goals &amp; Budget 2026'!$A$2:$EJ$49,29,FALSE),0)</f>
        <v>0</v>
      </c>
      <c r="AJ25" s="84" t="str">
        <f t="shared" si="27"/>
        <v>***</v>
      </c>
      <c r="AK25" s="73"/>
      <c r="AL25" s="73">
        <f>+IFERROR(VLOOKUP($A25,'Goals &amp; Budget 2026'!$A$2:$EJ$49,30,FALSE),0)</f>
        <v>0</v>
      </c>
      <c r="AM25" s="84" t="str">
        <f t="shared" si="28"/>
        <v>***</v>
      </c>
      <c r="AN25" s="73"/>
      <c r="AO25" s="73">
        <f>+IFERROR(VLOOKUP($A25,'Goals &amp; Budget 2026'!$A$2:$EJ$49,31,FALSE),0)</f>
        <v>0</v>
      </c>
      <c r="AP25" s="85" t="str">
        <f t="shared" si="29"/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70">
        <f t="shared" si="15"/>
        <v>0</v>
      </c>
      <c r="E26" s="73">
        <f t="shared" si="16"/>
        <v>0</v>
      </c>
      <c r="F26" s="231" t="str">
        <f t="shared" si="17"/>
        <v>***</v>
      </c>
      <c r="G26" s="73"/>
      <c r="H26" s="73">
        <f>+IFERROR(VLOOKUP($A26,'Goals &amp; Budget 2026'!$A$2:$EJ$49,20,FALSE),0)</f>
        <v>0</v>
      </c>
      <c r="I26" s="84" t="str">
        <f t="shared" si="18"/>
        <v>***</v>
      </c>
      <c r="J26" s="73"/>
      <c r="K26" s="73">
        <f>+IFERROR(VLOOKUP($A26,'Goals &amp; Budget 2026'!$A$2:$EJ$49,21,FALSE),0)</f>
        <v>0</v>
      </c>
      <c r="L26" s="84" t="str">
        <f t="shared" si="19"/>
        <v>***</v>
      </c>
      <c r="M26" s="73"/>
      <c r="N26" s="73">
        <f>+IFERROR(VLOOKUP($A26,'Goals &amp; Budget 2026'!$A$2:$EJ$49,22,FALSE),0)</f>
        <v>0</v>
      </c>
      <c r="O26" s="231" t="str">
        <f t="shared" si="20"/>
        <v>***</v>
      </c>
      <c r="P26" s="73"/>
      <c r="Q26" s="73">
        <f>+IFERROR(VLOOKUP($A26,'Goals &amp; Budget 2026'!$A$2:$EJ$49,23,FALSE),0)</f>
        <v>0</v>
      </c>
      <c r="R26" s="84" t="str">
        <f t="shared" si="21"/>
        <v>***</v>
      </c>
      <c r="S26" s="73"/>
      <c r="T26" s="73">
        <f>+IFERROR(VLOOKUP($A26,'Goals &amp; Budget 2026'!$A$2:$EJ$49,24,FALSE),0)</f>
        <v>0</v>
      </c>
      <c r="U26" s="84" t="str">
        <f t="shared" si="22"/>
        <v>***</v>
      </c>
      <c r="V26" s="73"/>
      <c r="W26" s="73">
        <f>+IFERROR(VLOOKUP($A26,'Goals &amp; Budget 2026'!$A$2:$EJ$49,25,FALSE),0)</f>
        <v>0</v>
      </c>
      <c r="X26" s="231" t="str">
        <f t="shared" si="23"/>
        <v>***</v>
      </c>
      <c r="Y26" s="73"/>
      <c r="Z26" s="73">
        <f>+IFERROR(VLOOKUP($A26,'Goals &amp; Budget 2026'!$A$2:$EJ$49,26,FALSE),0)</f>
        <v>0</v>
      </c>
      <c r="AA26" s="84" t="str">
        <f t="shared" si="24"/>
        <v>***</v>
      </c>
      <c r="AB26" s="73"/>
      <c r="AC26" s="73">
        <f>+IFERROR(VLOOKUP($A26,'Goals &amp; Budget 2026'!$A$2:$EJ$49,27,FALSE),0)</f>
        <v>0</v>
      </c>
      <c r="AD26" s="84" t="str">
        <f t="shared" si="25"/>
        <v>***</v>
      </c>
      <c r="AE26" s="73"/>
      <c r="AF26" s="73">
        <f>+IFERROR(VLOOKUP($A26,'Goals &amp; Budget 2026'!$A$2:$EJ$49,28,FALSE),0)</f>
        <v>0</v>
      </c>
      <c r="AG26" s="231" t="str">
        <f t="shared" si="26"/>
        <v>***</v>
      </c>
      <c r="AH26" s="73"/>
      <c r="AI26" s="73">
        <f>+IFERROR(VLOOKUP($A26,'Goals &amp; Budget 2026'!$A$2:$EJ$49,29,FALSE),0)</f>
        <v>0</v>
      </c>
      <c r="AJ26" s="84" t="str">
        <f t="shared" si="27"/>
        <v>***</v>
      </c>
      <c r="AK26" s="73"/>
      <c r="AL26" s="73">
        <f>+IFERROR(VLOOKUP($A26,'Goals &amp; Budget 2026'!$A$2:$EJ$49,30,FALSE),0)</f>
        <v>0</v>
      </c>
      <c r="AM26" s="84" t="str">
        <f t="shared" si="28"/>
        <v>***</v>
      </c>
      <c r="AN26" s="73"/>
      <c r="AO26" s="73">
        <f>+IFERROR(VLOOKUP($A26,'Goals &amp; Budget 2026'!$A$2:$EJ$49,31,FALSE),0)</f>
        <v>0</v>
      </c>
      <c r="AP26" s="85" t="str">
        <f t="shared" si="29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70">
        <f t="shared" si="15"/>
        <v>0</v>
      </c>
      <c r="E27" s="73">
        <f t="shared" si="16"/>
        <v>0</v>
      </c>
      <c r="F27" s="231" t="str">
        <f t="shared" si="17"/>
        <v>***</v>
      </c>
      <c r="G27" s="73"/>
      <c r="H27" s="73">
        <f>+IFERROR(VLOOKUP($A27,'Goals &amp; Budget 2026'!$A$2:$EJ$49,20,FALSE),0)</f>
        <v>0</v>
      </c>
      <c r="I27" s="84" t="str">
        <f t="shared" si="18"/>
        <v>***</v>
      </c>
      <c r="J27" s="73"/>
      <c r="K27" s="73">
        <f>+IFERROR(VLOOKUP($A27,'Goals &amp; Budget 2026'!$A$2:$EJ$49,21,FALSE),0)</f>
        <v>0</v>
      </c>
      <c r="L27" s="84" t="str">
        <f t="shared" si="19"/>
        <v>***</v>
      </c>
      <c r="M27" s="73"/>
      <c r="N27" s="73">
        <f>+IFERROR(VLOOKUP($A27,'Goals &amp; Budget 2026'!$A$2:$EJ$49,22,FALSE),0)</f>
        <v>0</v>
      </c>
      <c r="O27" s="231" t="str">
        <f t="shared" si="20"/>
        <v>***</v>
      </c>
      <c r="P27" s="73"/>
      <c r="Q27" s="73">
        <f>+IFERROR(VLOOKUP($A27,'Goals &amp; Budget 2026'!$A$2:$EJ$49,23,FALSE),0)</f>
        <v>0</v>
      </c>
      <c r="R27" s="84" t="str">
        <f t="shared" si="21"/>
        <v>***</v>
      </c>
      <c r="S27" s="73"/>
      <c r="T27" s="73">
        <f>+IFERROR(VLOOKUP($A27,'Goals &amp; Budget 2026'!$A$2:$EJ$49,24,FALSE),0)</f>
        <v>0</v>
      </c>
      <c r="U27" s="84" t="str">
        <f t="shared" si="22"/>
        <v>***</v>
      </c>
      <c r="V27" s="73"/>
      <c r="W27" s="73">
        <f>+IFERROR(VLOOKUP($A27,'Goals &amp; Budget 2026'!$A$2:$EJ$49,25,FALSE),0)</f>
        <v>0</v>
      </c>
      <c r="X27" s="231" t="str">
        <f t="shared" si="23"/>
        <v>***</v>
      </c>
      <c r="Y27" s="73"/>
      <c r="Z27" s="73">
        <f>+IFERROR(VLOOKUP($A27,'Goals &amp; Budget 2026'!$A$2:$EJ$49,26,FALSE),0)</f>
        <v>0</v>
      </c>
      <c r="AA27" s="84" t="str">
        <f t="shared" si="24"/>
        <v>***</v>
      </c>
      <c r="AB27" s="73"/>
      <c r="AC27" s="73">
        <f>+IFERROR(VLOOKUP($A27,'Goals &amp; Budget 2026'!$A$2:$EJ$49,27,FALSE),0)</f>
        <v>0</v>
      </c>
      <c r="AD27" s="84" t="str">
        <f t="shared" si="25"/>
        <v>***</v>
      </c>
      <c r="AE27" s="73"/>
      <c r="AF27" s="73">
        <f>+IFERROR(VLOOKUP($A27,'Goals &amp; Budget 2026'!$A$2:$EJ$49,28,FALSE),0)</f>
        <v>0</v>
      </c>
      <c r="AG27" s="231" t="str">
        <f t="shared" si="26"/>
        <v>***</v>
      </c>
      <c r="AH27" s="73"/>
      <c r="AI27" s="73">
        <f>+IFERROR(VLOOKUP($A27,'Goals &amp; Budget 2026'!$A$2:$EJ$49,29,FALSE),0)</f>
        <v>0</v>
      </c>
      <c r="AJ27" s="84" t="str">
        <f t="shared" si="27"/>
        <v>***</v>
      </c>
      <c r="AK27" s="73"/>
      <c r="AL27" s="73">
        <f>+IFERROR(VLOOKUP($A27,'Goals &amp; Budget 2026'!$A$2:$EJ$49,30,FALSE),0)</f>
        <v>0</v>
      </c>
      <c r="AM27" s="84" t="str">
        <f t="shared" si="28"/>
        <v>***</v>
      </c>
      <c r="AN27" s="73"/>
      <c r="AO27" s="73">
        <f>+IFERROR(VLOOKUP($A27,'Goals &amp; Budget 2026'!$A$2:$EJ$49,31,FALSE),0)</f>
        <v>0</v>
      </c>
      <c r="AP27" s="85" t="str">
        <f t="shared" si="29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70">
        <f t="shared" si="15"/>
        <v>0</v>
      </c>
      <c r="E28" s="73">
        <f t="shared" si="16"/>
        <v>0</v>
      </c>
      <c r="F28" s="231" t="str">
        <f t="shared" si="17"/>
        <v>***</v>
      </c>
      <c r="G28" s="73"/>
      <c r="H28" s="73">
        <f>+IFERROR(VLOOKUP($A28,'Goals &amp; Budget 2026'!$A$2:$EJ$49,20,FALSE),0)</f>
        <v>0</v>
      </c>
      <c r="I28" s="84" t="str">
        <f t="shared" si="18"/>
        <v>***</v>
      </c>
      <c r="J28" s="73"/>
      <c r="K28" s="73">
        <f>+IFERROR(VLOOKUP($A28,'Goals &amp; Budget 2026'!$A$2:$EJ$49,21,FALSE),0)</f>
        <v>0</v>
      </c>
      <c r="L28" s="84" t="str">
        <f t="shared" si="19"/>
        <v>***</v>
      </c>
      <c r="M28" s="73"/>
      <c r="N28" s="73">
        <f>+IFERROR(VLOOKUP($A28,'Goals &amp; Budget 2026'!$A$2:$EJ$49,22,FALSE),0)</f>
        <v>0</v>
      </c>
      <c r="O28" s="231" t="str">
        <f t="shared" si="20"/>
        <v>***</v>
      </c>
      <c r="P28" s="73"/>
      <c r="Q28" s="73">
        <f>+IFERROR(VLOOKUP($A28,'Goals &amp; Budget 2026'!$A$2:$EJ$49,23,FALSE),0)</f>
        <v>0</v>
      </c>
      <c r="R28" s="84" t="str">
        <f t="shared" si="21"/>
        <v>***</v>
      </c>
      <c r="S28" s="73"/>
      <c r="T28" s="73">
        <f>+IFERROR(VLOOKUP($A28,'Goals &amp; Budget 2026'!$A$2:$EJ$49,24,FALSE),0)</f>
        <v>0</v>
      </c>
      <c r="U28" s="84" t="str">
        <f t="shared" si="22"/>
        <v>***</v>
      </c>
      <c r="V28" s="73"/>
      <c r="W28" s="73">
        <f>+IFERROR(VLOOKUP($A28,'Goals &amp; Budget 2026'!$A$2:$EJ$49,25,FALSE),0)</f>
        <v>0</v>
      </c>
      <c r="X28" s="231" t="str">
        <f t="shared" si="23"/>
        <v>***</v>
      </c>
      <c r="Y28" s="73"/>
      <c r="Z28" s="73">
        <f>+IFERROR(VLOOKUP($A28,'Goals &amp; Budget 2026'!$A$2:$EJ$49,26,FALSE),0)</f>
        <v>0</v>
      </c>
      <c r="AA28" s="84" t="str">
        <f t="shared" si="24"/>
        <v>***</v>
      </c>
      <c r="AB28" s="73"/>
      <c r="AC28" s="73">
        <f>+IFERROR(VLOOKUP($A28,'Goals &amp; Budget 2026'!$A$2:$EJ$49,27,FALSE),0)</f>
        <v>0</v>
      </c>
      <c r="AD28" s="84" t="str">
        <f t="shared" si="25"/>
        <v>***</v>
      </c>
      <c r="AE28" s="73"/>
      <c r="AF28" s="73">
        <f>+IFERROR(VLOOKUP($A28,'Goals &amp; Budget 2026'!$A$2:$EJ$49,28,FALSE),0)</f>
        <v>0</v>
      </c>
      <c r="AG28" s="231" t="str">
        <f t="shared" si="26"/>
        <v>***</v>
      </c>
      <c r="AH28" s="73"/>
      <c r="AI28" s="73">
        <f>+IFERROR(VLOOKUP($A28,'Goals &amp; Budget 2026'!$A$2:$EJ$49,29,FALSE),0)</f>
        <v>0</v>
      </c>
      <c r="AJ28" s="84" t="str">
        <f t="shared" si="27"/>
        <v>***</v>
      </c>
      <c r="AK28" s="73"/>
      <c r="AL28" s="73">
        <f>+IFERROR(VLOOKUP($A28,'Goals &amp; Budget 2026'!$A$2:$EJ$49,30,FALSE),0)</f>
        <v>0</v>
      </c>
      <c r="AM28" s="84" t="str">
        <f t="shared" si="28"/>
        <v>***</v>
      </c>
      <c r="AN28" s="73"/>
      <c r="AO28" s="73">
        <f>+IFERROR(VLOOKUP($A28,'Goals &amp; Budget 2026'!$A$2:$EJ$49,31,FALSE),0)</f>
        <v>0</v>
      </c>
      <c r="AP28" s="85" t="str">
        <f t="shared" si="29"/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70">
        <f t="shared" si="15"/>
        <v>0</v>
      </c>
      <c r="E29" s="73">
        <f t="shared" si="16"/>
        <v>0</v>
      </c>
      <c r="F29" s="231" t="str">
        <f t="shared" si="17"/>
        <v>***</v>
      </c>
      <c r="G29" s="73"/>
      <c r="H29" s="73">
        <f>+IFERROR(VLOOKUP($A29,'Goals &amp; Budget 2026'!$A$2:$EJ$49,20,FALSE),0)</f>
        <v>0</v>
      </c>
      <c r="I29" s="84" t="str">
        <f t="shared" si="18"/>
        <v>***</v>
      </c>
      <c r="J29" s="73"/>
      <c r="K29" s="73">
        <f>+IFERROR(VLOOKUP($A29,'Goals &amp; Budget 2026'!$A$2:$EJ$49,21,FALSE),0)</f>
        <v>0</v>
      </c>
      <c r="L29" s="84" t="str">
        <f t="shared" si="19"/>
        <v>***</v>
      </c>
      <c r="M29" s="73"/>
      <c r="N29" s="73">
        <f>+IFERROR(VLOOKUP($A29,'Goals &amp; Budget 2026'!$A$2:$EJ$49,22,FALSE),0)</f>
        <v>0</v>
      </c>
      <c r="O29" s="231" t="str">
        <f t="shared" si="20"/>
        <v>***</v>
      </c>
      <c r="P29" s="73"/>
      <c r="Q29" s="73">
        <f>+IFERROR(VLOOKUP($A29,'Goals &amp; Budget 2026'!$A$2:$EJ$49,23,FALSE),0)</f>
        <v>0</v>
      </c>
      <c r="R29" s="84" t="str">
        <f t="shared" si="21"/>
        <v>***</v>
      </c>
      <c r="S29" s="73"/>
      <c r="T29" s="73">
        <f>+IFERROR(VLOOKUP($A29,'Goals &amp; Budget 2026'!$A$2:$EJ$49,24,FALSE),0)</f>
        <v>0</v>
      </c>
      <c r="U29" s="84" t="str">
        <f t="shared" si="22"/>
        <v>***</v>
      </c>
      <c r="V29" s="73"/>
      <c r="W29" s="73">
        <f>+IFERROR(VLOOKUP($A29,'Goals &amp; Budget 2026'!$A$2:$EJ$49,25,FALSE),0)</f>
        <v>0</v>
      </c>
      <c r="X29" s="231" t="str">
        <f t="shared" si="23"/>
        <v>***</v>
      </c>
      <c r="Y29" s="73"/>
      <c r="Z29" s="73">
        <f>+IFERROR(VLOOKUP($A29,'Goals &amp; Budget 2026'!$A$2:$EJ$49,26,FALSE),0)</f>
        <v>0</v>
      </c>
      <c r="AA29" s="84" t="str">
        <f t="shared" si="24"/>
        <v>***</v>
      </c>
      <c r="AB29" s="73"/>
      <c r="AC29" s="73">
        <f>+IFERROR(VLOOKUP($A29,'Goals &amp; Budget 2026'!$A$2:$EJ$49,27,FALSE),0)</f>
        <v>0</v>
      </c>
      <c r="AD29" s="84" t="str">
        <f t="shared" si="25"/>
        <v>***</v>
      </c>
      <c r="AE29" s="73"/>
      <c r="AF29" s="73">
        <f>+IFERROR(VLOOKUP($A29,'Goals &amp; Budget 2026'!$A$2:$EJ$49,28,FALSE),0)</f>
        <v>0</v>
      </c>
      <c r="AG29" s="231" t="str">
        <f t="shared" si="26"/>
        <v>***</v>
      </c>
      <c r="AH29" s="73"/>
      <c r="AI29" s="73">
        <f>+IFERROR(VLOOKUP($A29,'Goals &amp; Budget 2026'!$A$2:$EJ$49,29,FALSE),0)</f>
        <v>0</v>
      </c>
      <c r="AJ29" s="84" t="str">
        <f t="shared" si="27"/>
        <v>***</v>
      </c>
      <c r="AK29" s="73"/>
      <c r="AL29" s="73">
        <f>+IFERROR(VLOOKUP($A29,'Goals &amp; Budget 2026'!$A$2:$EJ$49,30,FALSE),0)</f>
        <v>0</v>
      </c>
      <c r="AM29" s="84" t="str">
        <f t="shared" si="28"/>
        <v>***</v>
      </c>
      <c r="AN29" s="73"/>
      <c r="AO29" s="73">
        <f>+IFERROR(VLOOKUP($A29,'Goals &amp; Budget 2026'!$A$2:$EJ$49,31,FALSE),0)</f>
        <v>0</v>
      </c>
      <c r="AP29" s="85" t="str">
        <f t="shared" si="29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70">
        <f t="shared" si="15"/>
        <v>0</v>
      </c>
      <c r="E30" s="73">
        <f t="shared" si="16"/>
        <v>0</v>
      </c>
      <c r="F30" s="231" t="str">
        <f t="shared" si="17"/>
        <v>***</v>
      </c>
      <c r="G30" s="73"/>
      <c r="H30" s="73">
        <f>+IFERROR(VLOOKUP($A30,'Goals &amp; Budget 2026'!$A$2:$EJ$49,20,FALSE),0)</f>
        <v>0</v>
      </c>
      <c r="I30" s="84" t="str">
        <f t="shared" si="18"/>
        <v>***</v>
      </c>
      <c r="J30" s="73"/>
      <c r="K30" s="73">
        <f>+IFERROR(VLOOKUP($A30,'Goals &amp; Budget 2026'!$A$2:$EJ$49,21,FALSE),0)</f>
        <v>0</v>
      </c>
      <c r="L30" s="84" t="str">
        <f t="shared" si="19"/>
        <v>***</v>
      </c>
      <c r="M30" s="73"/>
      <c r="N30" s="73">
        <f>+IFERROR(VLOOKUP($A30,'Goals &amp; Budget 2026'!$A$2:$EJ$49,22,FALSE),0)</f>
        <v>0</v>
      </c>
      <c r="O30" s="231" t="str">
        <f t="shared" si="20"/>
        <v>***</v>
      </c>
      <c r="P30" s="73"/>
      <c r="Q30" s="73">
        <f>+IFERROR(VLOOKUP($A30,'Goals &amp; Budget 2026'!$A$2:$EJ$49,23,FALSE),0)</f>
        <v>0</v>
      </c>
      <c r="R30" s="84" t="str">
        <f t="shared" si="21"/>
        <v>***</v>
      </c>
      <c r="S30" s="73"/>
      <c r="T30" s="73">
        <f>+IFERROR(VLOOKUP($A30,'Goals &amp; Budget 2026'!$A$2:$EJ$49,24,FALSE),0)</f>
        <v>0</v>
      </c>
      <c r="U30" s="84" t="str">
        <f t="shared" si="22"/>
        <v>***</v>
      </c>
      <c r="V30" s="73"/>
      <c r="W30" s="73">
        <f>+IFERROR(VLOOKUP($A30,'Goals &amp; Budget 2026'!$A$2:$EJ$49,25,FALSE),0)</f>
        <v>0</v>
      </c>
      <c r="X30" s="231" t="str">
        <f t="shared" si="23"/>
        <v>***</v>
      </c>
      <c r="Y30" s="73"/>
      <c r="Z30" s="73">
        <f>+IFERROR(VLOOKUP($A30,'Goals &amp; Budget 2026'!$A$2:$EJ$49,26,FALSE),0)</f>
        <v>0</v>
      </c>
      <c r="AA30" s="84" t="str">
        <f t="shared" si="24"/>
        <v>***</v>
      </c>
      <c r="AB30" s="73"/>
      <c r="AC30" s="73">
        <f>+IFERROR(VLOOKUP($A30,'Goals &amp; Budget 2026'!$A$2:$EJ$49,27,FALSE),0)</f>
        <v>0</v>
      </c>
      <c r="AD30" s="84" t="str">
        <f t="shared" si="25"/>
        <v>***</v>
      </c>
      <c r="AE30" s="73"/>
      <c r="AF30" s="73">
        <f>+IFERROR(VLOOKUP($A30,'Goals &amp; Budget 2026'!$A$2:$EJ$49,28,FALSE),0)</f>
        <v>0</v>
      </c>
      <c r="AG30" s="231" t="str">
        <f t="shared" si="26"/>
        <v>***</v>
      </c>
      <c r="AH30" s="73"/>
      <c r="AI30" s="73">
        <f>+IFERROR(VLOOKUP($A30,'Goals &amp; Budget 2026'!$A$2:$EJ$49,29,FALSE),0)</f>
        <v>0</v>
      </c>
      <c r="AJ30" s="84" t="str">
        <f t="shared" si="27"/>
        <v>***</v>
      </c>
      <c r="AK30" s="73"/>
      <c r="AL30" s="73">
        <f>+IFERROR(VLOOKUP($A30,'Goals &amp; Budget 2026'!$A$2:$EJ$49,30,FALSE),0)</f>
        <v>0</v>
      </c>
      <c r="AM30" s="84" t="str">
        <f t="shared" si="28"/>
        <v>***</v>
      </c>
      <c r="AN30" s="73"/>
      <c r="AO30" s="73">
        <f>+IFERROR(VLOOKUP($A30,'Goals &amp; Budget 2026'!$A$2:$EJ$49,31,FALSE),0)</f>
        <v>0</v>
      </c>
      <c r="AP30" s="85" t="str">
        <f t="shared" si="29"/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70">
        <f t="shared" si="15"/>
        <v>0</v>
      </c>
      <c r="E31" s="73">
        <f t="shared" si="16"/>
        <v>0</v>
      </c>
      <c r="F31" s="231" t="str">
        <f t="shared" si="17"/>
        <v>***</v>
      </c>
      <c r="G31" s="73"/>
      <c r="H31" s="73">
        <f>+IFERROR(VLOOKUP($A31,'Goals &amp; Budget 2026'!$A$2:$EJ$49,20,FALSE),0)</f>
        <v>0</v>
      </c>
      <c r="I31" s="84" t="str">
        <f t="shared" si="18"/>
        <v>***</v>
      </c>
      <c r="J31" s="73"/>
      <c r="K31" s="73">
        <f>+IFERROR(VLOOKUP($A31,'Goals &amp; Budget 2026'!$A$2:$EJ$49,21,FALSE),0)</f>
        <v>0</v>
      </c>
      <c r="L31" s="84" t="str">
        <f t="shared" si="19"/>
        <v>***</v>
      </c>
      <c r="M31" s="73"/>
      <c r="N31" s="73">
        <f>+IFERROR(VLOOKUP($A31,'Goals &amp; Budget 2026'!$A$2:$EJ$49,22,FALSE),0)</f>
        <v>0</v>
      </c>
      <c r="O31" s="231" t="str">
        <f t="shared" si="20"/>
        <v>***</v>
      </c>
      <c r="P31" s="73"/>
      <c r="Q31" s="73">
        <f>+IFERROR(VLOOKUP($A31,'Goals &amp; Budget 2026'!$A$2:$EJ$49,23,FALSE),0)</f>
        <v>0</v>
      </c>
      <c r="R31" s="84" t="str">
        <f t="shared" si="21"/>
        <v>***</v>
      </c>
      <c r="S31" s="73"/>
      <c r="T31" s="73">
        <f>+IFERROR(VLOOKUP($A31,'Goals &amp; Budget 2026'!$A$2:$EJ$49,24,FALSE),0)</f>
        <v>0</v>
      </c>
      <c r="U31" s="84" t="str">
        <f t="shared" si="22"/>
        <v>***</v>
      </c>
      <c r="V31" s="73"/>
      <c r="W31" s="73">
        <f>+IFERROR(VLOOKUP($A31,'Goals &amp; Budget 2026'!$A$2:$EJ$49,25,FALSE),0)</f>
        <v>0</v>
      </c>
      <c r="X31" s="231" t="str">
        <f t="shared" si="23"/>
        <v>***</v>
      </c>
      <c r="Y31" s="73"/>
      <c r="Z31" s="73">
        <f>+IFERROR(VLOOKUP($A31,'Goals &amp; Budget 2026'!$A$2:$EJ$49,26,FALSE),0)</f>
        <v>0</v>
      </c>
      <c r="AA31" s="84" t="str">
        <f t="shared" si="24"/>
        <v>***</v>
      </c>
      <c r="AB31" s="73"/>
      <c r="AC31" s="73">
        <f>+IFERROR(VLOOKUP($A31,'Goals &amp; Budget 2026'!$A$2:$EJ$49,27,FALSE),0)</f>
        <v>0</v>
      </c>
      <c r="AD31" s="84" t="str">
        <f t="shared" si="25"/>
        <v>***</v>
      </c>
      <c r="AE31" s="73"/>
      <c r="AF31" s="73">
        <f>+IFERROR(VLOOKUP($A31,'Goals &amp; Budget 2026'!$A$2:$EJ$49,28,FALSE),0)</f>
        <v>0</v>
      </c>
      <c r="AG31" s="231" t="str">
        <f t="shared" si="26"/>
        <v>***</v>
      </c>
      <c r="AH31" s="73"/>
      <c r="AI31" s="73">
        <f>+IFERROR(VLOOKUP($A31,'Goals &amp; Budget 2026'!$A$2:$EJ$49,29,FALSE),0)</f>
        <v>0</v>
      </c>
      <c r="AJ31" s="84" t="str">
        <f t="shared" si="27"/>
        <v>***</v>
      </c>
      <c r="AK31" s="73"/>
      <c r="AL31" s="73">
        <f>+IFERROR(VLOOKUP($A31,'Goals &amp; Budget 2026'!$A$2:$EJ$49,30,FALSE),0)</f>
        <v>0</v>
      </c>
      <c r="AM31" s="84" t="str">
        <f t="shared" si="28"/>
        <v>***</v>
      </c>
      <c r="AN31" s="73"/>
      <c r="AO31" s="73">
        <f>+IFERROR(VLOOKUP($A31,'Goals &amp; Budget 2026'!$A$2:$EJ$49,31,FALSE),0)</f>
        <v>0</v>
      </c>
      <c r="AP31" s="85" t="str">
        <f t="shared" si="29"/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70">
        <f t="shared" si="15"/>
        <v>0</v>
      </c>
      <c r="E32" s="73">
        <f t="shared" si="16"/>
        <v>0</v>
      </c>
      <c r="F32" s="231" t="str">
        <f t="shared" si="17"/>
        <v>***</v>
      </c>
      <c r="G32" s="73"/>
      <c r="H32" s="73">
        <f>+IFERROR(VLOOKUP($A32,'Goals &amp; Budget 2026'!$A$2:$EJ$49,20,FALSE),0)</f>
        <v>0</v>
      </c>
      <c r="I32" s="84" t="str">
        <f t="shared" si="18"/>
        <v>***</v>
      </c>
      <c r="J32" s="73"/>
      <c r="K32" s="73">
        <f>+IFERROR(VLOOKUP($A32,'Goals &amp; Budget 2026'!$A$2:$EJ$49,21,FALSE),0)</f>
        <v>0</v>
      </c>
      <c r="L32" s="84" t="str">
        <f t="shared" si="19"/>
        <v>***</v>
      </c>
      <c r="M32" s="73"/>
      <c r="N32" s="73">
        <f>+IFERROR(VLOOKUP($A32,'Goals &amp; Budget 2026'!$A$2:$EJ$49,22,FALSE),0)</f>
        <v>0</v>
      </c>
      <c r="O32" s="231" t="str">
        <f t="shared" si="20"/>
        <v>***</v>
      </c>
      <c r="P32" s="73"/>
      <c r="Q32" s="73">
        <f>+IFERROR(VLOOKUP($A32,'Goals &amp; Budget 2026'!$A$2:$EJ$49,23,FALSE),0)</f>
        <v>0</v>
      </c>
      <c r="R32" s="84" t="str">
        <f t="shared" si="21"/>
        <v>***</v>
      </c>
      <c r="S32" s="73"/>
      <c r="T32" s="73">
        <f>+IFERROR(VLOOKUP($A32,'Goals &amp; Budget 2026'!$A$2:$EJ$49,24,FALSE),0)</f>
        <v>0</v>
      </c>
      <c r="U32" s="84" t="str">
        <f t="shared" si="22"/>
        <v>***</v>
      </c>
      <c r="V32" s="73"/>
      <c r="W32" s="73">
        <f>+IFERROR(VLOOKUP($A32,'Goals &amp; Budget 2026'!$A$2:$EJ$49,25,FALSE),0)</f>
        <v>0</v>
      </c>
      <c r="X32" s="231" t="str">
        <f t="shared" si="23"/>
        <v>***</v>
      </c>
      <c r="Y32" s="73"/>
      <c r="Z32" s="73">
        <f>+IFERROR(VLOOKUP($A32,'Goals &amp; Budget 2026'!$A$2:$EJ$49,26,FALSE),0)</f>
        <v>0</v>
      </c>
      <c r="AA32" s="84" t="str">
        <f t="shared" si="24"/>
        <v>***</v>
      </c>
      <c r="AB32" s="73"/>
      <c r="AC32" s="73">
        <f>+IFERROR(VLOOKUP($A32,'Goals &amp; Budget 2026'!$A$2:$EJ$49,27,FALSE),0)</f>
        <v>0</v>
      </c>
      <c r="AD32" s="84" t="str">
        <f t="shared" si="25"/>
        <v>***</v>
      </c>
      <c r="AE32" s="73"/>
      <c r="AF32" s="73">
        <f>+IFERROR(VLOOKUP($A32,'Goals &amp; Budget 2026'!$A$2:$EJ$49,28,FALSE),0)</f>
        <v>0</v>
      </c>
      <c r="AG32" s="231" t="str">
        <f t="shared" si="26"/>
        <v>***</v>
      </c>
      <c r="AH32" s="73"/>
      <c r="AI32" s="73">
        <f>+IFERROR(VLOOKUP($A32,'Goals &amp; Budget 2026'!$A$2:$EJ$49,29,FALSE),0)</f>
        <v>0</v>
      </c>
      <c r="AJ32" s="84" t="str">
        <f t="shared" si="27"/>
        <v>***</v>
      </c>
      <c r="AK32" s="73"/>
      <c r="AL32" s="73">
        <f>+IFERROR(VLOOKUP($A32,'Goals &amp; Budget 2026'!$A$2:$EJ$49,30,FALSE),0)</f>
        <v>0</v>
      </c>
      <c r="AM32" s="84" t="str">
        <f t="shared" si="28"/>
        <v>***</v>
      </c>
      <c r="AN32" s="73"/>
      <c r="AO32" s="73">
        <f>+IFERROR(VLOOKUP($A32,'Goals &amp; Budget 2026'!$A$2:$EJ$49,31,FALSE),0)</f>
        <v>0</v>
      </c>
      <c r="AP32" s="85" t="str">
        <f t="shared" si="29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70">
        <f t="shared" si="15"/>
        <v>0</v>
      </c>
      <c r="E33" s="73">
        <f t="shared" si="16"/>
        <v>0</v>
      </c>
      <c r="F33" s="231" t="str">
        <f t="shared" si="17"/>
        <v>***</v>
      </c>
      <c r="G33" s="73"/>
      <c r="H33" s="73">
        <f>+IFERROR(VLOOKUP($A33,'Goals &amp; Budget 2026'!$A$2:$EJ$49,20,FALSE),0)</f>
        <v>0</v>
      </c>
      <c r="I33" s="84" t="str">
        <f t="shared" si="18"/>
        <v>***</v>
      </c>
      <c r="J33" s="73"/>
      <c r="K33" s="73">
        <f>+IFERROR(VLOOKUP($A33,'Goals &amp; Budget 2026'!$A$2:$EJ$49,21,FALSE),0)</f>
        <v>0</v>
      </c>
      <c r="L33" s="84" t="str">
        <f t="shared" si="19"/>
        <v>***</v>
      </c>
      <c r="M33" s="73"/>
      <c r="N33" s="73">
        <f>+IFERROR(VLOOKUP($A33,'Goals &amp; Budget 2026'!$A$2:$EJ$49,22,FALSE),0)</f>
        <v>0</v>
      </c>
      <c r="O33" s="231" t="str">
        <f t="shared" si="20"/>
        <v>***</v>
      </c>
      <c r="P33" s="73"/>
      <c r="Q33" s="73">
        <f>+IFERROR(VLOOKUP($A33,'Goals &amp; Budget 2026'!$A$2:$EJ$49,23,FALSE),0)</f>
        <v>0</v>
      </c>
      <c r="R33" s="84" t="str">
        <f t="shared" si="21"/>
        <v>***</v>
      </c>
      <c r="S33" s="73"/>
      <c r="T33" s="73">
        <f>+IFERROR(VLOOKUP($A33,'Goals &amp; Budget 2026'!$A$2:$EJ$49,24,FALSE),0)</f>
        <v>0</v>
      </c>
      <c r="U33" s="84" t="str">
        <f t="shared" si="22"/>
        <v>***</v>
      </c>
      <c r="V33" s="73"/>
      <c r="W33" s="73">
        <f>+IFERROR(VLOOKUP($A33,'Goals &amp; Budget 2026'!$A$2:$EJ$49,25,FALSE),0)</f>
        <v>0</v>
      </c>
      <c r="X33" s="231" t="str">
        <f t="shared" si="23"/>
        <v>***</v>
      </c>
      <c r="Y33" s="73"/>
      <c r="Z33" s="73">
        <f>+IFERROR(VLOOKUP($A33,'Goals &amp; Budget 2026'!$A$2:$EJ$49,26,FALSE),0)</f>
        <v>0</v>
      </c>
      <c r="AA33" s="84" t="str">
        <f t="shared" si="24"/>
        <v>***</v>
      </c>
      <c r="AB33" s="73"/>
      <c r="AC33" s="73">
        <f>+IFERROR(VLOOKUP($A33,'Goals &amp; Budget 2026'!$A$2:$EJ$49,27,FALSE),0)</f>
        <v>0</v>
      </c>
      <c r="AD33" s="84" t="str">
        <f t="shared" si="25"/>
        <v>***</v>
      </c>
      <c r="AE33" s="73"/>
      <c r="AF33" s="73">
        <f>+IFERROR(VLOOKUP($A33,'Goals &amp; Budget 2026'!$A$2:$EJ$49,28,FALSE),0)</f>
        <v>0</v>
      </c>
      <c r="AG33" s="231" t="str">
        <f t="shared" si="26"/>
        <v>***</v>
      </c>
      <c r="AH33" s="73"/>
      <c r="AI33" s="73">
        <f>+IFERROR(VLOOKUP($A33,'Goals &amp; Budget 2026'!$A$2:$EJ$49,29,FALSE),0)</f>
        <v>0</v>
      </c>
      <c r="AJ33" s="84" t="str">
        <f t="shared" si="27"/>
        <v>***</v>
      </c>
      <c r="AK33" s="73"/>
      <c r="AL33" s="73">
        <f>+IFERROR(VLOOKUP($A33,'Goals &amp; Budget 2026'!$A$2:$EJ$49,30,FALSE),0)</f>
        <v>0</v>
      </c>
      <c r="AM33" s="84" t="str">
        <f t="shared" si="28"/>
        <v>***</v>
      </c>
      <c r="AN33" s="73"/>
      <c r="AO33" s="73">
        <f>+IFERROR(VLOOKUP($A33,'Goals &amp; Budget 2026'!$A$2:$EJ$49,31,FALSE),0)</f>
        <v>0</v>
      </c>
      <c r="AP33" s="85" t="str">
        <f t="shared" si="29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70">
        <f t="shared" si="15"/>
        <v>0</v>
      </c>
      <c r="E34" s="73">
        <f t="shared" si="16"/>
        <v>0</v>
      </c>
      <c r="F34" s="231" t="str">
        <f t="shared" si="17"/>
        <v>***</v>
      </c>
      <c r="G34" s="73"/>
      <c r="H34" s="73">
        <f>+IFERROR(VLOOKUP($A34,'Goals &amp; Budget 2026'!$A$2:$EJ$49,20,FALSE),0)</f>
        <v>0</v>
      </c>
      <c r="I34" s="84" t="str">
        <f t="shared" si="18"/>
        <v>***</v>
      </c>
      <c r="J34" s="73"/>
      <c r="K34" s="73">
        <f>+IFERROR(VLOOKUP($A34,'Goals &amp; Budget 2026'!$A$2:$EJ$49,21,FALSE),0)</f>
        <v>0</v>
      </c>
      <c r="L34" s="84" t="str">
        <f t="shared" si="19"/>
        <v>***</v>
      </c>
      <c r="M34" s="73"/>
      <c r="N34" s="73">
        <f>+IFERROR(VLOOKUP($A34,'Goals &amp; Budget 2026'!$A$2:$EJ$49,22,FALSE),0)</f>
        <v>0</v>
      </c>
      <c r="O34" s="231" t="str">
        <f t="shared" si="20"/>
        <v>***</v>
      </c>
      <c r="P34" s="73"/>
      <c r="Q34" s="73">
        <f>+IFERROR(VLOOKUP($A34,'Goals &amp; Budget 2026'!$A$2:$EJ$49,23,FALSE),0)</f>
        <v>0</v>
      </c>
      <c r="R34" s="84" t="str">
        <f t="shared" si="21"/>
        <v>***</v>
      </c>
      <c r="S34" s="73"/>
      <c r="T34" s="73">
        <f>+IFERROR(VLOOKUP($A34,'Goals &amp; Budget 2026'!$A$2:$EJ$49,24,FALSE),0)</f>
        <v>0</v>
      </c>
      <c r="U34" s="84" t="str">
        <f t="shared" si="22"/>
        <v>***</v>
      </c>
      <c r="V34" s="73"/>
      <c r="W34" s="73">
        <f>+IFERROR(VLOOKUP($A34,'Goals &amp; Budget 2026'!$A$2:$EJ$49,25,FALSE),0)</f>
        <v>0</v>
      </c>
      <c r="X34" s="231" t="str">
        <f t="shared" si="23"/>
        <v>***</v>
      </c>
      <c r="Y34" s="73"/>
      <c r="Z34" s="73">
        <f>+IFERROR(VLOOKUP($A34,'Goals &amp; Budget 2026'!$A$2:$EJ$49,26,FALSE),0)</f>
        <v>0</v>
      </c>
      <c r="AA34" s="84" t="str">
        <f t="shared" si="24"/>
        <v>***</v>
      </c>
      <c r="AB34" s="73"/>
      <c r="AC34" s="73">
        <f>+IFERROR(VLOOKUP($A34,'Goals &amp; Budget 2026'!$A$2:$EJ$49,27,FALSE),0)</f>
        <v>0</v>
      </c>
      <c r="AD34" s="84" t="str">
        <f t="shared" si="25"/>
        <v>***</v>
      </c>
      <c r="AE34" s="73"/>
      <c r="AF34" s="73">
        <f>+IFERROR(VLOOKUP($A34,'Goals &amp; Budget 2026'!$A$2:$EJ$49,28,FALSE),0)</f>
        <v>0</v>
      </c>
      <c r="AG34" s="231" t="str">
        <f t="shared" si="26"/>
        <v>***</v>
      </c>
      <c r="AH34" s="73"/>
      <c r="AI34" s="73">
        <f>+IFERROR(VLOOKUP($A34,'Goals &amp; Budget 2026'!$A$2:$EJ$49,29,FALSE),0)</f>
        <v>0</v>
      </c>
      <c r="AJ34" s="84" t="str">
        <f t="shared" si="27"/>
        <v>***</v>
      </c>
      <c r="AK34" s="73"/>
      <c r="AL34" s="73">
        <f>+IFERROR(VLOOKUP($A34,'Goals &amp; Budget 2026'!$A$2:$EJ$49,30,FALSE),0)</f>
        <v>0</v>
      </c>
      <c r="AM34" s="84" t="str">
        <f t="shared" si="28"/>
        <v>***</v>
      </c>
      <c r="AN34" s="73"/>
      <c r="AO34" s="73">
        <f>+IFERROR(VLOOKUP($A34,'Goals &amp; Budget 2026'!$A$2:$EJ$49,31,FALSE),0)</f>
        <v>0</v>
      </c>
      <c r="AP34" s="85" t="str">
        <f t="shared" si="29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51">
        <f t="shared" si="15"/>
        <v>0</v>
      </c>
      <c r="E35" s="54">
        <f t="shared" si="16"/>
        <v>0</v>
      </c>
      <c r="F35" s="232" t="str">
        <f t="shared" si="17"/>
        <v>***</v>
      </c>
      <c r="G35" s="54"/>
      <c r="H35" s="54">
        <f>+IFERROR(VLOOKUP($A35,'Goals &amp; Budget 2026'!$A$2:$EJ$49,20,FALSE),0)</f>
        <v>0</v>
      </c>
      <c r="I35" s="65" t="str">
        <f t="shared" si="18"/>
        <v>***</v>
      </c>
      <c r="J35" s="54"/>
      <c r="K35" s="54">
        <f>+IFERROR(VLOOKUP($A35,'Goals &amp; Budget 2026'!$A$2:$EJ$49,21,FALSE),0)</f>
        <v>0</v>
      </c>
      <c r="L35" s="65" t="str">
        <f t="shared" si="19"/>
        <v>***</v>
      </c>
      <c r="M35" s="54"/>
      <c r="N35" s="54">
        <f>+IFERROR(VLOOKUP($A35,'Goals &amp; Budget 2026'!$A$2:$EJ$49,22,FALSE),0)</f>
        <v>0</v>
      </c>
      <c r="O35" s="232" t="str">
        <f t="shared" si="20"/>
        <v>***</v>
      </c>
      <c r="P35" s="54"/>
      <c r="Q35" s="54">
        <f>+IFERROR(VLOOKUP($A35,'Goals &amp; Budget 2026'!$A$2:$EJ$49,23,FALSE),0)</f>
        <v>0</v>
      </c>
      <c r="R35" s="65" t="str">
        <f t="shared" si="21"/>
        <v>***</v>
      </c>
      <c r="S35" s="54"/>
      <c r="T35" s="54">
        <f>+IFERROR(VLOOKUP($A35,'Goals &amp; Budget 2026'!$A$2:$EJ$49,24,FALSE),0)</f>
        <v>0</v>
      </c>
      <c r="U35" s="65" t="str">
        <f t="shared" si="22"/>
        <v>***</v>
      </c>
      <c r="V35" s="54"/>
      <c r="W35" s="54">
        <f>+IFERROR(VLOOKUP($A35,'Goals &amp; Budget 2026'!$A$2:$EJ$49,25,FALSE),0)</f>
        <v>0</v>
      </c>
      <c r="X35" s="232" t="str">
        <f t="shared" si="23"/>
        <v>***</v>
      </c>
      <c r="Y35" s="54"/>
      <c r="Z35" s="54">
        <f>+IFERROR(VLOOKUP($A35,'Goals &amp; Budget 2026'!$A$2:$EJ$49,26,FALSE),0)</f>
        <v>0</v>
      </c>
      <c r="AA35" s="65" t="str">
        <f t="shared" si="24"/>
        <v>***</v>
      </c>
      <c r="AB35" s="54"/>
      <c r="AC35" s="54">
        <f>+IFERROR(VLOOKUP($A35,'Goals &amp; Budget 2026'!$A$2:$EJ$49,27,FALSE),0)</f>
        <v>0</v>
      </c>
      <c r="AD35" s="65" t="str">
        <f t="shared" si="25"/>
        <v>***</v>
      </c>
      <c r="AE35" s="54"/>
      <c r="AF35" s="54">
        <f>+IFERROR(VLOOKUP($A35,'Goals &amp; Budget 2026'!$A$2:$EJ$49,28,FALSE),0)</f>
        <v>0</v>
      </c>
      <c r="AG35" s="232" t="str">
        <f t="shared" si="26"/>
        <v>***</v>
      </c>
      <c r="AH35" s="54"/>
      <c r="AI35" s="54">
        <f>+IFERROR(VLOOKUP($A35,'Goals &amp; Budget 2026'!$A$2:$EJ$49,29,FALSE),0)</f>
        <v>0</v>
      </c>
      <c r="AJ35" s="65" t="str">
        <f t="shared" si="27"/>
        <v>***</v>
      </c>
      <c r="AK35" s="54"/>
      <c r="AL35" s="54">
        <f>+IFERROR(VLOOKUP($A35,'Goals &amp; Budget 2026'!$A$2:$EJ$49,30,FALSE),0)</f>
        <v>0</v>
      </c>
      <c r="AM35" s="65" t="str">
        <f t="shared" si="28"/>
        <v>***</v>
      </c>
      <c r="AN35" s="54"/>
      <c r="AO35" s="54">
        <f>+IFERROR(VLOOKUP($A35,'Goals &amp; Budget 2026'!$A$2:$EJ$49,31,FALSE),0)</f>
        <v>0</v>
      </c>
      <c r="AP35" s="66" t="str">
        <f t="shared" si="29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51">
        <f t="shared" si="15"/>
        <v>0</v>
      </c>
      <c r="E36" s="54">
        <f t="shared" si="16"/>
        <v>0</v>
      </c>
      <c r="F36" s="232" t="str">
        <f t="shared" si="17"/>
        <v>***</v>
      </c>
      <c r="G36" s="54"/>
      <c r="H36" s="54">
        <f>+IFERROR(VLOOKUP($A36,'Goals &amp; Budget 2026'!$A$2:$EJ$49,20,FALSE),0)</f>
        <v>0</v>
      </c>
      <c r="I36" s="65" t="str">
        <f t="shared" si="18"/>
        <v>***</v>
      </c>
      <c r="J36" s="54"/>
      <c r="K36" s="54">
        <f>+IFERROR(VLOOKUP($A36,'Goals &amp; Budget 2026'!$A$2:$EJ$49,21,FALSE),0)</f>
        <v>0</v>
      </c>
      <c r="L36" s="65" t="str">
        <f t="shared" si="19"/>
        <v>***</v>
      </c>
      <c r="M36" s="54"/>
      <c r="N36" s="54">
        <f>+IFERROR(VLOOKUP($A36,'Goals &amp; Budget 2026'!$A$2:$EJ$49,22,FALSE),0)</f>
        <v>0</v>
      </c>
      <c r="O36" s="232" t="str">
        <f t="shared" si="20"/>
        <v>***</v>
      </c>
      <c r="P36" s="54"/>
      <c r="Q36" s="54">
        <f>+IFERROR(VLOOKUP($A36,'Goals &amp; Budget 2026'!$A$2:$EJ$49,23,FALSE),0)</f>
        <v>0</v>
      </c>
      <c r="R36" s="65" t="str">
        <f t="shared" si="21"/>
        <v>***</v>
      </c>
      <c r="S36" s="54"/>
      <c r="T36" s="54">
        <f>+IFERROR(VLOOKUP($A36,'Goals &amp; Budget 2026'!$A$2:$EJ$49,24,FALSE),0)</f>
        <v>0</v>
      </c>
      <c r="U36" s="65" t="str">
        <f t="shared" si="22"/>
        <v>***</v>
      </c>
      <c r="V36" s="54"/>
      <c r="W36" s="54">
        <f>+IFERROR(VLOOKUP($A36,'Goals &amp; Budget 2026'!$A$2:$EJ$49,25,FALSE),0)</f>
        <v>0</v>
      </c>
      <c r="X36" s="232" t="str">
        <f t="shared" si="23"/>
        <v>***</v>
      </c>
      <c r="Y36" s="54"/>
      <c r="Z36" s="54">
        <f>+IFERROR(VLOOKUP($A36,'Goals &amp; Budget 2026'!$A$2:$EJ$49,26,FALSE),0)</f>
        <v>0</v>
      </c>
      <c r="AA36" s="65" t="str">
        <f t="shared" si="24"/>
        <v>***</v>
      </c>
      <c r="AB36" s="54"/>
      <c r="AC36" s="54">
        <f>+IFERROR(VLOOKUP($A36,'Goals &amp; Budget 2026'!$A$2:$EJ$49,27,FALSE),0)</f>
        <v>0</v>
      </c>
      <c r="AD36" s="65" t="str">
        <f t="shared" si="25"/>
        <v>***</v>
      </c>
      <c r="AE36" s="54"/>
      <c r="AF36" s="54">
        <f>+IFERROR(VLOOKUP($A36,'Goals &amp; Budget 2026'!$A$2:$EJ$49,28,FALSE),0)</f>
        <v>0</v>
      </c>
      <c r="AG36" s="232" t="str">
        <f t="shared" si="26"/>
        <v>***</v>
      </c>
      <c r="AH36" s="54"/>
      <c r="AI36" s="54">
        <f>+IFERROR(VLOOKUP($A36,'Goals &amp; Budget 2026'!$A$2:$EJ$49,29,FALSE),0)</f>
        <v>0</v>
      </c>
      <c r="AJ36" s="65" t="str">
        <f t="shared" si="27"/>
        <v>***</v>
      </c>
      <c r="AK36" s="54"/>
      <c r="AL36" s="54">
        <f>+IFERROR(VLOOKUP($A36,'Goals &amp; Budget 2026'!$A$2:$EJ$49,30,FALSE),0)</f>
        <v>0</v>
      </c>
      <c r="AM36" s="65" t="str">
        <f t="shared" si="28"/>
        <v>***</v>
      </c>
      <c r="AN36" s="54"/>
      <c r="AO36" s="54">
        <f>+IFERROR(VLOOKUP($A36,'Goals &amp; Budget 2026'!$A$2:$EJ$49,31,FALSE),0)</f>
        <v>0</v>
      </c>
      <c r="AP36" s="66" t="str">
        <f t="shared" si="29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51">
        <f t="shared" si="15"/>
        <v>0</v>
      </c>
      <c r="E37" s="54">
        <f t="shared" si="16"/>
        <v>0</v>
      </c>
      <c r="F37" s="232" t="str">
        <f t="shared" si="17"/>
        <v>***</v>
      </c>
      <c r="G37" s="54"/>
      <c r="H37" s="54">
        <f>+IFERROR(VLOOKUP($A37,'Goals &amp; Budget 2026'!$A$2:$EJ$49,20,FALSE),0)</f>
        <v>0</v>
      </c>
      <c r="I37" s="65" t="str">
        <f t="shared" si="18"/>
        <v>***</v>
      </c>
      <c r="J37" s="54"/>
      <c r="K37" s="54">
        <f>+IFERROR(VLOOKUP($A37,'Goals &amp; Budget 2026'!$A$2:$EJ$49,21,FALSE),0)</f>
        <v>0</v>
      </c>
      <c r="L37" s="65" t="str">
        <f t="shared" si="19"/>
        <v>***</v>
      </c>
      <c r="M37" s="54"/>
      <c r="N37" s="54">
        <f>+IFERROR(VLOOKUP($A37,'Goals &amp; Budget 2026'!$A$2:$EJ$49,22,FALSE),0)</f>
        <v>0</v>
      </c>
      <c r="O37" s="232" t="str">
        <f t="shared" si="20"/>
        <v>***</v>
      </c>
      <c r="P37" s="54"/>
      <c r="Q37" s="54">
        <f>+IFERROR(VLOOKUP($A37,'Goals &amp; Budget 2026'!$A$2:$EJ$49,23,FALSE),0)</f>
        <v>0</v>
      </c>
      <c r="R37" s="65" t="str">
        <f t="shared" si="21"/>
        <v>***</v>
      </c>
      <c r="S37" s="54"/>
      <c r="T37" s="54">
        <f>+IFERROR(VLOOKUP($A37,'Goals &amp; Budget 2026'!$A$2:$EJ$49,24,FALSE),0)</f>
        <v>0</v>
      </c>
      <c r="U37" s="65" t="str">
        <f t="shared" si="22"/>
        <v>***</v>
      </c>
      <c r="V37" s="54"/>
      <c r="W37" s="54">
        <f>+IFERROR(VLOOKUP($A37,'Goals &amp; Budget 2026'!$A$2:$EJ$49,25,FALSE),0)</f>
        <v>0</v>
      </c>
      <c r="X37" s="232" t="str">
        <f t="shared" si="23"/>
        <v>***</v>
      </c>
      <c r="Y37" s="54"/>
      <c r="Z37" s="54">
        <f>+IFERROR(VLOOKUP($A37,'Goals &amp; Budget 2026'!$A$2:$EJ$49,26,FALSE),0)</f>
        <v>0</v>
      </c>
      <c r="AA37" s="65" t="str">
        <f t="shared" si="24"/>
        <v>***</v>
      </c>
      <c r="AB37" s="54"/>
      <c r="AC37" s="54">
        <f>+IFERROR(VLOOKUP($A37,'Goals &amp; Budget 2026'!$A$2:$EJ$49,27,FALSE),0)</f>
        <v>0</v>
      </c>
      <c r="AD37" s="65" t="str">
        <f t="shared" si="25"/>
        <v>***</v>
      </c>
      <c r="AE37" s="54"/>
      <c r="AF37" s="54">
        <f>+IFERROR(VLOOKUP($A37,'Goals &amp; Budget 2026'!$A$2:$EJ$49,28,FALSE),0)</f>
        <v>0</v>
      </c>
      <c r="AG37" s="232" t="str">
        <f t="shared" si="26"/>
        <v>***</v>
      </c>
      <c r="AH37" s="54"/>
      <c r="AI37" s="54">
        <f>+IFERROR(VLOOKUP($A37,'Goals &amp; Budget 2026'!$A$2:$EJ$49,29,FALSE),0)</f>
        <v>0</v>
      </c>
      <c r="AJ37" s="65" t="str">
        <f t="shared" si="27"/>
        <v>***</v>
      </c>
      <c r="AK37" s="54"/>
      <c r="AL37" s="54">
        <f>+IFERROR(VLOOKUP($A37,'Goals &amp; Budget 2026'!$A$2:$EJ$49,30,FALSE),0)</f>
        <v>0</v>
      </c>
      <c r="AM37" s="65" t="str">
        <f t="shared" si="28"/>
        <v>***</v>
      </c>
      <c r="AN37" s="54"/>
      <c r="AO37" s="54">
        <f>+IFERROR(VLOOKUP($A37,'Goals &amp; Budget 2026'!$A$2:$EJ$49,31,FALSE),0)</f>
        <v>0</v>
      </c>
      <c r="AP37" s="66" t="str">
        <f t="shared" si="29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51">
        <f t="shared" si="15"/>
        <v>0</v>
      </c>
      <c r="E38" s="54">
        <f t="shared" si="16"/>
        <v>0</v>
      </c>
      <c r="F38" s="232" t="str">
        <f t="shared" si="17"/>
        <v>***</v>
      </c>
      <c r="G38" s="54"/>
      <c r="H38" s="54">
        <f>+IFERROR(VLOOKUP($A38,'Goals &amp; Budget 2026'!$A$2:$EJ$49,20,FALSE),0)</f>
        <v>0</v>
      </c>
      <c r="I38" s="65" t="str">
        <f t="shared" si="18"/>
        <v>***</v>
      </c>
      <c r="J38" s="54"/>
      <c r="K38" s="54">
        <f>+IFERROR(VLOOKUP($A38,'Goals &amp; Budget 2026'!$A$2:$EJ$49,21,FALSE),0)</f>
        <v>0</v>
      </c>
      <c r="L38" s="65" t="str">
        <f t="shared" si="19"/>
        <v>***</v>
      </c>
      <c r="M38" s="54"/>
      <c r="N38" s="54">
        <f>+IFERROR(VLOOKUP($A38,'Goals &amp; Budget 2026'!$A$2:$EJ$49,22,FALSE),0)</f>
        <v>0</v>
      </c>
      <c r="O38" s="232" t="str">
        <f t="shared" si="20"/>
        <v>***</v>
      </c>
      <c r="P38" s="54"/>
      <c r="Q38" s="54">
        <f>+IFERROR(VLOOKUP($A38,'Goals &amp; Budget 2026'!$A$2:$EJ$49,23,FALSE),0)</f>
        <v>0</v>
      </c>
      <c r="R38" s="65" t="str">
        <f t="shared" si="21"/>
        <v>***</v>
      </c>
      <c r="S38" s="54"/>
      <c r="T38" s="54">
        <f>+IFERROR(VLOOKUP($A38,'Goals &amp; Budget 2026'!$A$2:$EJ$49,24,FALSE),0)</f>
        <v>0</v>
      </c>
      <c r="U38" s="65" t="str">
        <f t="shared" si="22"/>
        <v>***</v>
      </c>
      <c r="V38" s="54"/>
      <c r="W38" s="54">
        <f>+IFERROR(VLOOKUP($A38,'Goals &amp; Budget 2026'!$A$2:$EJ$49,25,FALSE),0)</f>
        <v>0</v>
      </c>
      <c r="X38" s="232" t="str">
        <f t="shared" si="23"/>
        <v>***</v>
      </c>
      <c r="Y38" s="54"/>
      <c r="Z38" s="54">
        <f>+IFERROR(VLOOKUP($A38,'Goals &amp; Budget 2026'!$A$2:$EJ$49,26,FALSE),0)</f>
        <v>0</v>
      </c>
      <c r="AA38" s="65" t="str">
        <f t="shared" si="24"/>
        <v>***</v>
      </c>
      <c r="AB38" s="54"/>
      <c r="AC38" s="54">
        <f>+IFERROR(VLOOKUP($A38,'Goals &amp; Budget 2026'!$A$2:$EJ$49,27,FALSE),0)</f>
        <v>0</v>
      </c>
      <c r="AD38" s="65" t="str">
        <f t="shared" si="25"/>
        <v>***</v>
      </c>
      <c r="AE38" s="54"/>
      <c r="AF38" s="54">
        <f>+IFERROR(VLOOKUP($A38,'Goals &amp; Budget 2026'!$A$2:$EJ$49,28,FALSE),0)</f>
        <v>0</v>
      </c>
      <c r="AG38" s="232" t="str">
        <f t="shared" si="26"/>
        <v>***</v>
      </c>
      <c r="AH38" s="54"/>
      <c r="AI38" s="54">
        <f>+IFERROR(VLOOKUP($A38,'Goals &amp; Budget 2026'!$A$2:$EJ$49,29,FALSE),0)</f>
        <v>0</v>
      </c>
      <c r="AJ38" s="65" t="str">
        <f t="shared" si="27"/>
        <v>***</v>
      </c>
      <c r="AK38" s="54"/>
      <c r="AL38" s="54">
        <f>+IFERROR(VLOOKUP($A38,'Goals &amp; Budget 2026'!$A$2:$EJ$49,30,FALSE),0)</f>
        <v>0</v>
      </c>
      <c r="AM38" s="65" t="str">
        <f t="shared" si="28"/>
        <v>***</v>
      </c>
      <c r="AN38" s="54"/>
      <c r="AO38" s="54">
        <f>+IFERROR(VLOOKUP($A38,'Goals &amp; Budget 2026'!$A$2:$EJ$49,31,FALSE),0)</f>
        <v>0</v>
      </c>
      <c r="AP38" s="66" t="str">
        <f t="shared" si="29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51">
        <f t="shared" si="15"/>
        <v>0</v>
      </c>
      <c r="E39" s="54">
        <f t="shared" si="16"/>
        <v>0</v>
      </c>
      <c r="F39" s="232" t="str">
        <f t="shared" si="17"/>
        <v>***</v>
      </c>
      <c r="G39" s="54"/>
      <c r="H39" s="54">
        <f>+IFERROR(VLOOKUP($A39,'Goals &amp; Budget 2026'!$A$2:$EJ$49,20,FALSE),0)</f>
        <v>0</v>
      </c>
      <c r="I39" s="65" t="str">
        <f t="shared" si="18"/>
        <v>***</v>
      </c>
      <c r="J39" s="54"/>
      <c r="K39" s="54">
        <f>+IFERROR(VLOOKUP($A39,'Goals &amp; Budget 2026'!$A$2:$EJ$49,21,FALSE),0)</f>
        <v>0</v>
      </c>
      <c r="L39" s="65" t="str">
        <f t="shared" si="19"/>
        <v>***</v>
      </c>
      <c r="M39" s="54"/>
      <c r="N39" s="54">
        <f>+IFERROR(VLOOKUP($A39,'Goals &amp; Budget 2026'!$A$2:$EJ$49,22,FALSE),0)</f>
        <v>0</v>
      </c>
      <c r="O39" s="232" t="str">
        <f t="shared" si="20"/>
        <v>***</v>
      </c>
      <c r="P39" s="54"/>
      <c r="Q39" s="54">
        <f>+IFERROR(VLOOKUP($A39,'Goals &amp; Budget 2026'!$A$2:$EJ$49,23,FALSE),0)</f>
        <v>0</v>
      </c>
      <c r="R39" s="65" t="str">
        <f t="shared" si="21"/>
        <v>***</v>
      </c>
      <c r="S39" s="54"/>
      <c r="T39" s="54">
        <f>+IFERROR(VLOOKUP($A39,'Goals &amp; Budget 2026'!$A$2:$EJ$49,24,FALSE),0)</f>
        <v>0</v>
      </c>
      <c r="U39" s="65" t="str">
        <f t="shared" si="22"/>
        <v>***</v>
      </c>
      <c r="V39" s="54"/>
      <c r="W39" s="54">
        <f>+IFERROR(VLOOKUP($A39,'Goals &amp; Budget 2026'!$A$2:$EJ$49,25,FALSE),0)</f>
        <v>0</v>
      </c>
      <c r="X39" s="232" t="str">
        <f t="shared" si="23"/>
        <v>***</v>
      </c>
      <c r="Y39" s="54"/>
      <c r="Z39" s="54">
        <f>+IFERROR(VLOOKUP($A39,'Goals &amp; Budget 2026'!$A$2:$EJ$49,26,FALSE),0)</f>
        <v>0</v>
      </c>
      <c r="AA39" s="65" t="str">
        <f t="shared" si="24"/>
        <v>***</v>
      </c>
      <c r="AB39" s="54"/>
      <c r="AC39" s="54">
        <f>+IFERROR(VLOOKUP($A39,'Goals &amp; Budget 2026'!$A$2:$EJ$49,27,FALSE),0)</f>
        <v>0</v>
      </c>
      <c r="AD39" s="65" t="str">
        <f t="shared" si="25"/>
        <v>***</v>
      </c>
      <c r="AE39" s="54"/>
      <c r="AF39" s="54">
        <f>+IFERROR(VLOOKUP($A39,'Goals &amp; Budget 2026'!$A$2:$EJ$49,28,FALSE),0)</f>
        <v>0</v>
      </c>
      <c r="AG39" s="232" t="str">
        <f t="shared" si="26"/>
        <v>***</v>
      </c>
      <c r="AH39" s="54"/>
      <c r="AI39" s="54">
        <f>+IFERROR(VLOOKUP($A39,'Goals &amp; Budget 2026'!$A$2:$EJ$49,29,FALSE),0)</f>
        <v>0</v>
      </c>
      <c r="AJ39" s="65" t="str">
        <f t="shared" si="27"/>
        <v>***</v>
      </c>
      <c r="AK39" s="54"/>
      <c r="AL39" s="54">
        <f>+IFERROR(VLOOKUP($A39,'Goals &amp; Budget 2026'!$A$2:$EJ$49,30,FALSE),0)</f>
        <v>0</v>
      </c>
      <c r="AM39" s="65" t="str">
        <f t="shared" si="28"/>
        <v>***</v>
      </c>
      <c r="AN39" s="54"/>
      <c r="AO39" s="54">
        <f>+IFERROR(VLOOKUP($A39,'Goals &amp; Budget 2026'!$A$2:$EJ$49,31,FALSE),0)</f>
        <v>0</v>
      </c>
      <c r="AP39" s="66" t="str">
        <f t="shared" si="29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51">
        <f t="shared" si="15"/>
        <v>0</v>
      </c>
      <c r="E40" s="54">
        <f t="shared" si="16"/>
        <v>0</v>
      </c>
      <c r="F40" s="232" t="str">
        <f t="shared" si="17"/>
        <v>***</v>
      </c>
      <c r="G40" s="54"/>
      <c r="H40" s="54">
        <f>+IFERROR(VLOOKUP($A40,'Goals &amp; Budget 2026'!$A$2:$EJ$49,20,FALSE),0)</f>
        <v>0</v>
      </c>
      <c r="I40" s="65" t="str">
        <f t="shared" si="18"/>
        <v>***</v>
      </c>
      <c r="J40" s="54"/>
      <c r="K40" s="54">
        <f>+IFERROR(VLOOKUP($A40,'Goals &amp; Budget 2026'!$A$2:$EJ$49,21,FALSE),0)</f>
        <v>0</v>
      </c>
      <c r="L40" s="65" t="str">
        <f t="shared" si="19"/>
        <v>***</v>
      </c>
      <c r="M40" s="54"/>
      <c r="N40" s="54">
        <f>+IFERROR(VLOOKUP($A40,'Goals &amp; Budget 2026'!$A$2:$EJ$49,22,FALSE),0)</f>
        <v>0</v>
      </c>
      <c r="O40" s="232" t="str">
        <f t="shared" si="20"/>
        <v>***</v>
      </c>
      <c r="P40" s="54"/>
      <c r="Q40" s="54">
        <f>+IFERROR(VLOOKUP($A40,'Goals &amp; Budget 2026'!$A$2:$EJ$49,23,FALSE),0)</f>
        <v>0</v>
      </c>
      <c r="R40" s="65" t="str">
        <f t="shared" si="21"/>
        <v>***</v>
      </c>
      <c r="S40" s="54"/>
      <c r="T40" s="54">
        <f>+IFERROR(VLOOKUP($A40,'Goals &amp; Budget 2026'!$A$2:$EJ$49,24,FALSE),0)</f>
        <v>0</v>
      </c>
      <c r="U40" s="65" t="str">
        <f t="shared" si="22"/>
        <v>***</v>
      </c>
      <c r="V40" s="54"/>
      <c r="W40" s="54">
        <f>+IFERROR(VLOOKUP($A40,'Goals &amp; Budget 2026'!$A$2:$EJ$49,25,FALSE),0)</f>
        <v>0</v>
      </c>
      <c r="X40" s="232" t="str">
        <f t="shared" si="23"/>
        <v>***</v>
      </c>
      <c r="Y40" s="54"/>
      <c r="Z40" s="54">
        <f>+IFERROR(VLOOKUP($A40,'Goals &amp; Budget 2026'!$A$2:$EJ$49,26,FALSE),0)</f>
        <v>0</v>
      </c>
      <c r="AA40" s="65" t="str">
        <f t="shared" si="24"/>
        <v>***</v>
      </c>
      <c r="AB40" s="54"/>
      <c r="AC40" s="54">
        <f>+IFERROR(VLOOKUP($A40,'Goals &amp; Budget 2026'!$A$2:$EJ$49,27,FALSE),0)</f>
        <v>0</v>
      </c>
      <c r="AD40" s="65" t="str">
        <f t="shared" si="25"/>
        <v>***</v>
      </c>
      <c r="AE40" s="54"/>
      <c r="AF40" s="54">
        <f>+IFERROR(VLOOKUP($A40,'Goals &amp; Budget 2026'!$A$2:$EJ$49,28,FALSE),0)</f>
        <v>0</v>
      </c>
      <c r="AG40" s="232" t="str">
        <f t="shared" si="26"/>
        <v>***</v>
      </c>
      <c r="AH40" s="54"/>
      <c r="AI40" s="54">
        <f>+IFERROR(VLOOKUP($A40,'Goals &amp; Budget 2026'!$A$2:$EJ$49,29,FALSE),0)</f>
        <v>0</v>
      </c>
      <c r="AJ40" s="65" t="str">
        <f t="shared" si="27"/>
        <v>***</v>
      </c>
      <c r="AK40" s="54"/>
      <c r="AL40" s="54">
        <f>+IFERROR(VLOOKUP($A40,'Goals &amp; Budget 2026'!$A$2:$EJ$49,30,FALSE),0)</f>
        <v>0</v>
      </c>
      <c r="AM40" s="65" t="str">
        <f t="shared" si="28"/>
        <v>***</v>
      </c>
      <c r="AN40" s="54"/>
      <c r="AO40" s="54">
        <f>+IFERROR(VLOOKUP($A40,'Goals &amp; Budget 2026'!$A$2:$EJ$49,31,FALSE),0)</f>
        <v>0</v>
      </c>
      <c r="AP40" s="66" t="str">
        <f t="shared" si="29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1">
        <f t="shared" si="15"/>
        <v>0</v>
      </c>
      <c r="E41" s="54">
        <f t="shared" si="16"/>
        <v>0</v>
      </c>
      <c r="F41" s="232" t="str">
        <f t="shared" si="17"/>
        <v>***</v>
      </c>
      <c r="G41" s="54"/>
      <c r="H41" s="54">
        <f>+IFERROR(VLOOKUP($A41,'Goals &amp; Budget 2026'!$A$2:$EJ$49,20,FALSE),0)</f>
        <v>0</v>
      </c>
      <c r="I41" s="65" t="str">
        <f t="shared" si="18"/>
        <v>***</v>
      </c>
      <c r="J41" s="54"/>
      <c r="K41" s="54">
        <f>+IFERROR(VLOOKUP($A41,'Goals &amp; Budget 2026'!$A$2:$EJ$49,21,FALSE),0)</f>
        <v>0</v>
      </c>
      <c r="L41" s="65" t="str">
        <f t="shared" si="19"/>
        <v>***</v>
      </c>
      <c r="M41" s="54"/>
      <c r="N41" s="54">
        <f>+IFERROR(VLOOKUP($A41,'Goals &amp; Budget 2026'!$A$2:$EJ$49,22,FALSE),0)</f>
        <v>0</v>
      </c>
      <c r="O41" s="232" t="str">
        <f t="shared" si="20"/>
        <v>***</v>
      </c>
      <c r="P41" s="54"/>
      <c r="Q41" s="54">
        <f>+IFERROR(VLOOKUP($A41,'Goals &amp; Budget 2026'!$A$2:$EJ$49,23,FALSE),0)</f>
        <v>0</v>
      </c>
      <c r="R41" s="65" t="str">
        <f t="shared" si="21"/>
        <v>***</v>
      </c>
      <c r="S41" s="54"/>
      <c r="T41" s="54">
        <f>+IFERROR(VLOOKUP($A41,'Goals &amp; Budget 2026'!$A$2:$EJ$49,24,FALSE),0)</f>
        <v>0</v>
      </c>
      <c r="U41" s="65" t="str">
        <f t="shared" si="22"/>
        <v>***</v>
      </c>
      <c r="V41" s="54"/>
      <c r="W41" s="54">
        <f>+IFERROR(VLOOKUP($A41,'Goals &amp; Budget 2026'!$A$2:$EJ$49,25,FALSE),0)</f>
        <v>0</v>
      </c>
      <c r="X41" s="232" t="str">
        <f t="shared" si="23"/>
        <v>***</v>
      </c>
      <c r="Y41" s="54"/>
      <c r="Z41" s="54">
        <f>+IFERROR(VLOOKUP($A41,'Goals &amp; Budget 2026'!$A$2:$EJ$49,26,FALSE),0)</f>
        <v>0</v>
      </c>
      <c r="AA41" s="65" t="str">
        <f t="shared" si="24"/>
        <v>***</v>
      </c>
      <c r="AB41" s="54"/>
      <c r="AC41" s="54">
        <f>+IFERROR(VLOOKUP($A41,'Goals &amp; Budget 2026'!$A$2:$EJ$49,27,FALSE),0)</f>
        <v>0</v>
      </c>
      <c r="AD41" s="65" t="str">
        <f t="shared" si="25"/>
        <v>***</v>
      </c>
      <c r="AE41" s="54"/>
      <c r="AF41" s="54">
        <f>+IFERROR(VLOOKUP($A41,'Goals &amp; Budget 2026'!$A$2:$EJ$49,28,FALSE),0)</f>
        <v>0</v>
      </c>
      <c r="AG41" s="232" t="str">
        <f t="shared" si="26"/>
        <v>***</v>
      </c>
      <c r="AH41" s="54"/>
      <c r="AI41" s="54">
        <f>+IFERROR(VLOOKUP($A41,'Goals &amp; Budget 2026'!$A$2:$EJ$49,29,FALSE),0)</f>
        <v>0</v>
      </c>
      <c r="AJ41" s="65" t="str">
        <f t="shared" si="27"/>
        <v>***</v>
      </c>
      <c r="AK41" s="54"/>
      <c r="AL41" s="54">
        <f>+IFERROR(VLOOKUP($A41,'Goals &amp; Budget 2026'!$A$2:$EJ$49,30,FALSE),0)</f>
        <v>0</v>
      </c>
      <c r="AM41" s="65" t="str">
        <f t="shared" si="28"/>
        <v>***</v>
      </c>
      <c r="AN41" s="54"/>
      <c r="AO41" s="54">
        <f>+IFERROR(VLOOKUP($A41,'Goals &amp; Budget 2026'!$A$2:$EJ$49,31,FALSE),0)</f>
        <v>0</v>
      </c>
      <c r="AP41" s="66" t="str">
        <f t="shared" si="29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1">
        <f t="shared" si="15"/>
        <v>0</v>
      </c>
      <c r="E42" s="54">
        <f t="shared" si="16"/>
        <v>0</v>
      </c>
      <c r="F42" s="232" t="str">
        <f t="shared" si="17"/>
        <v>***</v>
      </c>
      <c r="G42" s="54"/>
      <c r="H42" s="54">
        <f>+IFERROR(VLOOKUP($A42,'Goals &amp; Budget 2026'!$A$2:$EJ$49,20,FALSE),0)</f>
        <v>0</v>
      </c>
      <c r="I42" s="65" t="str">
        <f t="shared" si="18"/>
        <v>***</v>
      </c>
      <c r="J42" s="54"/>
      <c r="K42" s="54">
        <f>+IFERROR(VLOOKUP($A42,'Goals &amp; Budget 2026'!$A$2:$EJ$49,21,FALSE),0)</f>
        <v>0</v>
      </c>
      <c r="L42" s="65" t="str">
        <f t="shared" si="19"/>
        <v>***</v>
      </c>
      <c r="M42" s="54"/>
      <c r="N42" s="54">
        <f>+IFERROR(VLOOKUP($A42,'Goals &amp; Budget 2026'!$A$2:$EJ$49,22,FALSE),0)</f>
        <v>0</v>
      </c>
      <c r="O42" s="232" t="str">
        <f t="shared" si="20"/>
        <v>***</v>
      </c>
      <c r="P42" s="54"/>
      <c r="Q42" s="54">
        <f>+IFERROR(VLOOKUP($A42,'Goals &amp; Budget 2026'!$A$2:$EJ$49,23,FALSE),0)</f>
        <v>0</v>
      </c>
      <c r="R42" s="65" t="str">
        <f t="shared" si="21"/>
        <v>***</v>
      </c>
      <c r="S42" s="54"/>
      <c r="T42" s="54">
        <f>+IFERROR(VLOOKUP($A42,'Goals &amp; Budget 2026'!$A$2:$EJ$49,24,FALSE),0)</f>
        <v>0</v>
      </c>
      <c r="U42" s="65" t="str">
        <f t="shared" si="22"/>
        <v>***</v>
      </c>
      <c r="V42" s="54"/>
      <c r="W42" s="54">
        <f>+IFERROR(VLOOKUP($A42,'Goals &amp; Budget 2026'!$A$2:$EJ$49,25,FALSE),0)</f>
        <v>0</v>
      </c>
      <c r="X42" s="232" t="str">
        <f t="shared" si="23"/>
        <v>***</v>
      </c>
      <c r="Y42" s="54"/>
      <c r="Z42" s="54">
        <f>+IFERROR(VLOOKUP($A42,'Goals &amp; Budget 2026'!$A$2:$EJ$49,26,FALSE),0)</f>
        <v>0</v>
      </c>
      <c r="AA42" s="65" t="str">
        <f t="shared" si="24"/>
        <v>***</v>
      </c>
      <c r="AB42" s="54"/>
      <c r="AC42" s="54">
        <f>+IFERROR(VLOOKUP($A42,'Goals &amp; Budget 2026'!$A$2:$EJ$49,27,FALSE),0)</f>
        <v>0</v>
      </c>
      <c r="AD42" s="65" t="str">
        <f t="shared" si="25"/>
        <v>***</v>
      </c>
      <c r="AE42" s="54"/>
      <c r="AF42" s="54">
        <f>+IFERROR(VLOOKUP($A42,'Goals &amp; Budget 2026'!$A$2:$EJ$49,28,FALSE),0)</f>
        <v>0</v>
      </c>
      <c r="AG42" s="232" t="str">
        <f t="shared" si="26"/>
        <v>***</v>
      </c>
      <c r="AH42" s="54"/>
      <c r="AI42" s="54">
        <f>+IFERROR(VLOOKUP($A42,'Goals &amp; Budget 2026'!$A$2:$EJ$49,29,FALSE),0)</f>
        <v>0</v>
      </c>
      <c r="AJ42" s="65" t="str">
        <f t="shared" si="27"/>
        <v>***</v>
      </c>
      <c r="AK42" s="54"/>
      <c r="AL42" s="54">
        <f>+IFERROR(VLOOKUP($A42,'Goals &amp; Budget 2026'!$A$2:$EJ$49,30,FALSE),0)</f>
        <v>0</v>
      </c>
      <c r="AM42" s="65" t="str">
        <f t="shared" si="28"/>
        <v>***</v>
      </c>
      <c r="AN42" s="54"/>
      <c r="AO42" s="54">
        <f>+IFERROR(VLOOKUP($A42,'Goals &amp; Budget 2026'!$A$2:$EJ$49,31,FALSE),0)</f>
        <v>0</v>
      </c>
      <c r="AP42" s="66" t="str">
        <f t="shared" si="29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51">
        <f t="shared" si="15"/>
        <v>0</v>
      </c>
      <c r="E43" s="54">
        <f t="shared" si="16"/>
        <v>0</v>
      </c>
      <c r="F43" s="232" t="str">
        <f t="shared" si="17"/>
        <v>***</v>
      </c>
      <c r="G43" s="54"/>
      <c r="H43" s="54">
        <f>+IFERROR(VLOOKUP($A43,'Goals &amp; Budget 2026'!$A$2:$EJ$49,20,FALSE),0)</f>
        <v>0</v>
      </c>
      <c r="I43" s="65" t="str">
        <f t="shared" si="18"/>
        <v>***</v>
      </c>
      <c r="J43" s="54"/>
      <c r="K43" s="54">
        <f>+IFERROR(VLOOKUP($A43,'Goals &amp; Budget 2026'!$A$2:$EJ$49,21,FALSE),0)</f>
        <v>0</v>
      </c>
      <c r="L43" s="65" t="str">
        <f t="shared" si="19"/>
        <v>***</v>
      </c>
      <c r="M43" s="54"/>
      <c r="N43" s="54">
        <f>+IFERROR(VLOOKUP($A43,'Goals &amp; Budget 2026'!$A$2:$EJ$49,22,FALSE),0)</f>
        <v>0</v>
      </c>
      <c r="O43" s="232" t="str">
        <f t="shared" si="20"/>
        <v>***</v>
      </c>
      <c r="P43" s="54"/>
      <c r="Q43" s="54">
        <f>+IFERROR(VLOOKUP($A43,'Goals &amp; Budget 2026'!$A$2:$EJ$49,23,FALSE),0)</f>
        <v>0</v>
      </c>
      <c r="R43" s="65" t="str">
        <f t="shared" si="21"/>
        <v>***</v>
      </c>
      <c r="S43" s="54"/>
      <c r="T43" s="54">
        <f>+IFERROR(VLOOKUP($A43,'Goals &amp; Budget 2026'!$A$2:$EJ$49,24,FALSE),0)</f>
        <v>0</v>
      </c>
      <c r="U43" s="65" t="str">
        <f t="shared" si="22"/>
        <v>***</v>
      </c>
      <c r="V43" s="54"/>
      <c r="W43" s="54">
        <f>+IFERROR(VLOOKUP($A43,'Goals &amp; Budget 2026'!$A$2:$EJ$49,25,FALSE),0)</f>
        <v>0</v>
      </c>
      <c r="X43" s="232" t="str">
        <f t="shared" si="23"/>
        <v>***</v>
      </c>
      <c r="Y43" s="54"/>
      <c r="Z43" s="54">
        <f>+IFERROR(VLOOKUP($A43,'Goals &amp; Budget 2026'!$A$2:$EJ$49,26,FALSE),0)</f>
        <v>0</v>
      </c>
      <c r="AA43" s="65" t="str">
        <f t="shared" si="24"/>
        <v>***</v>
      </c>
      <c r="AB43" s="54"/>
      <c r="AC43" s="54">
        <f>+IFERROR(VLOOKUP($A43,'Goals &amp; Budget 2026'!$A$2:$EJ$49,27,FALSE),0)</f>
        <v>0</v>
      </c>
      <c r="AD43" s="65" t="str">
        <f t="shared" si="25"/>
        <v>***</v>
      </c>
      <c r="AE43" s="54"/>
      <c r="AF43" s="54">
        <f>+IFERROR(VLOOKUP($A43,'Goals &amp; Budget 2026'!$A$2:$EJ$49,28,FALSE),0)</f>
        <v>0</v>
      </c>
      <c r="AG43" s="232" t="str">
        <f t="shared" si="26"/>
        <v>***</v>
      </c>
      <c r="AH43" s="54"/>
      <c r="AI43" s="54">
        <f>+IFERROR(VLOOKUP($A43,'Goals &amp; Budget 2026'!$A$2:$EJ$49,29,FALSE),0)</f>
        <v>0</v>
      </c>
      <c r="AJ43" s="65" t="str">
        <f t="shared" si="27"/>
        <v>***</v>
      </c>
      <c r="AK43" s="54"/>
      <c r="AL43" s="54">
        <f>+IFERROR(VLOOKUP($A43,'Goals &amp; Budget 2026'!$A$2:$EJ$49,30,FALSE),0)</f>
        <v>0</v>
      </c>
      <c r="AM43" s="65" t="str">
        <f t="shared" si="28"/>
        <v>***</v>
      </c>
      <c r="AN43" s="54"/>
      <c r="AO43" s="54">
        <f>+IFERROR(VLOOKUP($A43,'Goals &amp; Budget 2026'!$A$2:$EJ$49,31,FALSE),0)</f>
        <v>0</v>
      </c>
      <c r="AP43" s="66" t="str">
        <f t="shared" si="29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15"/>
        <v>0</v>
      </c>
      <c r="E44" s="54">
        <f t="shared" si="16"/>
        <v>0</v>
      </c>
      <c r="F44" s="232" t="str">
        <f t="shared" si="17"/>
        <v>***</v>
      </c>
      <c r="G44" s="54"/>
      <c r="H44" s="54">
        <f>+IFERROR(VLOOKUP($A44,'Goals &amp; Budget 2026'!$A$2:$EJ$49,20,FALSE),0)</f>
        <v>0</v>
      </c>
      <c r="I44" s="65" t="str">
        <f t="shared" si="18"/>
        <v>***</v>
      </c>
      <c r="J44" s="54"/>
      <c r="K44" s="54">
        <f>+IFERROR(VLOOKUP($A44,'Goals &amp; Budget 2026'!$A$2:$EJ$49,21,FALSE),0)</f>
        <v>0</v>
      </c>
      <c r="L44" s="65" t="str">
        <f t="shared" si="19"/>
        <v>***</v>
      </c>
      <c r="M44" s="54"/>
      <c r="N44" s="54">
        <f>+IFERROR(VLOOKUP($A44,'Goals &amp; Budget 2026'!$A$2:$EJ$49,22,FALSE),0)</f>
        <v>0</v>
      </c>
      <c r="O44" s="232" t="str">
        <f t="shared" si="20"/>
        <v>***</v>
      </c>
      <c r="P44" s="54"/>
      <c r="Q44" s="54">
        <f>+IFERROR(VLOOKUP($A44,'Goals &amp; Budget 2026'!$A$2:$EJ$49,23,FALSE),0)</f>
        <v>0</v>
      </c>
      <c r="R44" s="65" t="str">
        <f t="shared" si="21"/>
        <v>***</v>
      </c>
      <c r="S44" s="54"/>
      <c r="T44" s="54">
        <f>+IFERROR(VLOOKUP($A44,'Goals &amp; Budget 2026'!$A$2:$EJ$49,24,FALSE),0)</f>
        <v>0</v>
      </c>
      <c r="U44" s="65" t="str">
        <f t="shared" si="22"/>
        <v>***</v>
      </c>
      <c r="V44" s="54"/>
      <c r="W44" s="54">
        <f>+IFERROR(VLOOKUP($A44,'Goals &amp; Budget 2026'!$A$2:$EJ$49,25,FALSE),0)</f>
        <v>0</v>
      </c>
      <c r="X44" s="232" t="str">
        <f t="shared" si="23"/>
        <v>***</v>
      </c>
      <c r="Y44" s="54"/>
      <c r="Z44" s="54">
        <f>+IFERROR(VLOOKUP($A44,'Goals &amp; Budget 2026'!$A$2:$EJ$49,26,FALSE),0)</f>
        <v>0</v>
      </c>
      <c r="AA44" s="65" t="str">
        <f t="shared" si="24"/>
        <v>***</v>
      </c>
      <c r="AB44" s="54"/>
      <c r="AC44" s="54">
        <f>+IFERROR(VLOOKUP($A44,'Goals &amp; Budget 2026'!$A$2:$EJ$49,27,FALSE),0)</f>
        <v>0</v>
      </c>
      <c r="AD44" s="65" t="str">
        <f t="shared" si="25"/>
        <v>***</v>
      </c>
      <c r="AE44" s="54"/>
      <c r="AF44" s="54">
        <f>+IFERROR(VLOOKUP($A44,'Goals &amp; Budget 2026'!$A$2:$EJ$49,28,FALSE),0)</f>
        <v>0</v>
      </c>
      <c r="AG44" s="232" t="str">
        <f t="shared" si="26"/>
        <v>***</v>
      </c>
      <c r="AH44" s="54"/>
      <c r="AI44" s="54">
        <f>+IFERROR(VLOOKUP($A44,'Goals &amp; Budget 2026'!$A$2:$EJ$49,29,FALSE),0)</f>
        <v>0</v>
      </c>
      <c r="AJ44" s="65" t="str">
        <f t="shared" si="27"/>
        <v>***</v>
      </c>
      <c r="AK44" s="54"/>
      <c r="AL44" s="54">
        <f>+IFERROR(VLOOKUP($A44,'Goals &amp; Budget 2026'!$A$2:$EJ$49,30,FALSE),0)</f>
        <v>0</v>
      </c>
      <c r="AM44" s="65" t="str">
        <f t="shared" si="28"/>
        <v>***</v>
      </c>
      <c r="AN44" s="54"/>
      <c r="AO44" s="54">
        <f>+IFERROR(VLOOKUP($A44,'Goals &amp; Budget 2026'!$A$2:$EJ$49,31,FALSE),0)</f>
        <v>0</v>
      </c>
      <c r="AP44" s="66" t="str">
        <f t="shared" si="29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15"/>
        <v>0</v>
      </c>
      <c r="E45" s="54">
        <f t="shared" si="16"/>
        <v>0</v>
      </c>
      <c r="F45" s="232" t="str">
        <f t="shared" si="17"/>
        <v>***</v>
      </c>
      <c r="G45" s="54"/>
      <c r="H45" s="54">
        <f>+IFERROR(VLOOKUP($A45,'Goals &amp; Budget 2026'!$A$2:$EJ$49,20,FALSE),0)</f>
        <v>0</v>
      </c>
      <c r="I45" s="65" t="str">
        <f t="shared" si="18"/>
        <v>***</v>
      </c>
      <c r="J45" s="54"/>
      <c r="K45" s="54">
        <f>+IFERROR(VLOOKUP($A45,'Goals &amp; Budget 2026'!$A$2:$EJ$49,21,FALSE),0)</f>
        <v>0</v>
      </c>
      <c r="L45" s="65" t="str">
        <f t="shared" si="19"/>
        <v>***</v>
      </c>
      <c r="M45" s="54"/>
      <c r="N45" s="54">
        <f>+IFERROR(VLOOKUP($A45,'Goals &amp; Budget 2026'!$A$2:$EJ$49,22,FALSE),0)</f>
        <v>0</v>
      </c>
      <c r="O45" s="232" t="str">
        <f t="shared" si="20"/>
        <v>***</v>
      </c>
      <c r="P45" s="54"/>
      <c r="Q45" s="54">
        <f>+IFERROR(VLOOKUP($A45,'Goals &amp; Budget 2026'!$A$2:$EJ$49,23,FALSE),0)</f>
        <v>0</v>
      </c>
      <c r="R45" s="65" t="str">
        <f t="shared" si="21"/>
        <v>***</v>
      </c>
      <c r="S45" s="54"/>
      <c r="T45" s="54">
        <f>+IFERROR(VLOOKUP($A45,'Goals &amp; Budget 2026'!$A$2:$EJ$49,24,FALSE),0)</f>
        <v>0</v>
      </c>
      <c r="U45" s="65" t="str">
        <f t="shared" si="22"/>
        <v>***</v>
      </c>
      <c r="V45" s="54"/>
      <c r="W45" s="54">
        <f>+IFERROR(VLOOKUP($A45,'Goals &amp; Budget 2026'!$A$2:$EJ$49,25,FALSE),0)</f>
        <v>0</v>
      </c>
      <c r="X45" s="232" t="str">
        <f t="shared" si="23"/>
        <v>***</v>
      </c>
      <c r="Y45" s="54"/>
      <c r="Z45" s="54">
        <f>+IFERROR(VLOOKUP($A45,'Goals &amp; Budget 2026'!$A$2:$EJ$49,26,FALSE),0)</f>
        <v>0</v>
      </c>
      <c r="AA45" s="65" t="str">
        <f t="shared" si="24"/>
        <v>***</v>
      </c>
      <c r="AB45" s="54"/>
      <c r="AC45" s="54">
        <f>+IFERROR(VLOOKUP($A45,'Goals &amp; Budget 2026'!$A$2:$EJ$49,27,FALSE),0)</f>
        <v>0</v>
      </c>
      <c r="AD45" s="65" t="str">
        <f t="shared" si="25"/>
        <v>***</v>
      </c>
      <c r="AE45" s="54"/>
      <c r="AF45" s="54">
        <f>+IFERROR(VLOOKUP($A45,'Goals &amp; Budget 2026'!$A$2:$EJ$49,28,FALSE),0)</f>
        <v>0</v>
      </c>
      <c r="AG45" s="232" t="str">
        <f t="shared" si="26"/>
        <v>***</v>
      </c>
      <c r="AH45" s="54"/>
      <c r="AI45" s="54">
        <f>+IFERROR(VLOOKUP($A45,'Goals &amp; Budget 2026'!$A$2:$EJ$49,29,FALSE),0)</f>
        <v>0</v>
      </c>
      <c r="AJ45" s="65" t="str">
        <f t="shared" si="27"/>
        <v>***</v>
      </c>
      <c r="AK45" s="54"/>
      <c r="AL45" s="54">
        <f>+IFERROR(VLOOKUP($A45,'Goals &amp; Budget 2026'!$A$2:$EJ$49,30,FALSE),0)</f>
        <v>0</v>
      </c>
      <c r="AM45" s="65" t="str">
        <f t="shared" si="28"/>
        <v>***</v>
      </c>
      <c r="AN45" s="54"/>
      <c r="AO45" s="54">
        <f>+IFERROR(VLOOKUP($A45,'Goals &amp; Budget 2026'!$A$2:$EJ$49,31,FALSE),0)</f>
        <v>0</v>
      </c>
      <c r="AP45" s="66" t="str">
        <f t="shared" si="29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1">
        <f t="shared" si="15"/>
        <v>0</v>
      </c>
      <c r="E46" s="54">
        <f t="shared" si="16"/>
        <v>0</v>
      </c>
      <c r="F46" s="232" t="str">
        <f t="shared" si="17"/>
        <v>***</v>
      </c>
      <c r="G46" s="54"/>
      <c r="H46" s="54">
        <f>+IFERROR(VLOOKUP($A46,'Goals &amp; Budget 2026'!$A$2:$EJ$49,20,FALSE),0)</f>
        <v>0</v>
      </c>
      <c r="I46" s="65" t="str">
        <f t="shared" si="18"/>
        <v>***</v>
      </c>
      <c r="J46" s="54"/>
      <c r="K46" s="54">
        <f>+IFERROR(VLOOKUP($A46,'Goals &amp; Budget 2026'!$A$2:$EJ$49,21,FALSE),0)</f>
        <v>0</v>
      </c>
      <c r="L46" s="65" t="str">
        <f t="shared" si="19"/>
        <v>***</v>
      </c>
      <c r="M46" s="54"/>
      <c r="N46" s="54">
        <f>+IFERROR(VLOOKUP($A46,'Goals &amp; Budget 2026'!$A$2:$EJ$49,22,FALSE),0)</f>
        <v>0</v>
      </c>
      <c r="O46" s="232" t="str">
        <f t="shared" si="20"/>
        <v>***</v>
      </c>
      <c r="P46" s="54"/>
      <c r="Q46" s="54">
        <f>+IFERROR(VLOOKUP($A46,'Goals &amp; Budget 2026'!$A$2:$EJ$49,23,FALSE),0)</f>
        <v>0</v>
      </c>
      <c r="R46" s="65" t="str">
        <f t="shared" si="21"/>
        <v>***</v>
      </c>
      <c r="S46" s="54"/>
      <c r="T46" s="54">
        <f>+IFERROR(VLOOKUP($A46,'Goals &amp; Budget 2026'!$A$2:$EJ$49,24,FALSE),0)</f>
        <v>0</v>
      </c>
      <c r="U46" s="65" t="str">
        <f t="shared" si="22"/>
        <v>***</v>
      </c>
      <c r="V46" s="54"/>
      <c r="W46" s="54">
        <f>+IFERROR(VLOOKUP($A46,'Goals &amp; Budget 2026'!$A$2:$EJ$49,25,FALSE),0)</f>
        <v>0</v>
      </c>
      <c r="X46" s="232" t="str">
        <f t="shared" si="23"/>
        <v>***</v>
      </c>
      <c r="Y46" s="54"/>
      <c r="Z46" s="54">
        <f>+IFERROR(VLOOKUP($A46,'Goals &amp; Budget 2026'!$A$2:$EJ$49,26,FALSE),0)</f>
        <v>0</v>
      </c>
      <c r="AA46" s="65" t="str">
        <f t="shared" si="24"/>
        <v>***</v>
      </c>
      <c r="AB46" s="54"/>
      <c r="AC46" s="54">
        <f>+IFERROR(VLOOKUP($A46,'Goals &amp; Budget 2026'!$A$2:$EJ$49,27,FALSE),0)</f>
        <v>0</v>
      </c>
      <c r="AD46" s="65" t="str">
        <f t="shared" si="25"/>
        <v>***</v>
      </c>
      <c r="AE46" s="54"/>
      <c r="AF46" s="54">
        <f>+IFERROR(VLOOKUP($A46,'Goals &amp; Budget 2026'!$A$2:$EJ$49,28,FALSE),0)</f>
        <v>0</v>
      </c>
      <c r="AG46" s="232" t="str">
        <f t="shared" si="26"/>
        <v>***</v>
      </c>
      <c r="AH46" s="54"/>
      <c r="AI46" s="54">
        <f>+IFERROR(VLOOKUP($A46,'Goals &amp; Budget 2026'!$A$2:$EJ$49,29,FALSE),0)</f>
        <v>0</v>
      </c>
      <c r="AJ46" s="65" t="str">
        <f t="shared" si="27"/>
        <v>***</v>
      </c>
      <c r="AK46" s="54"/>
      <c r="AL46" s="54">
        <f>+IFERROR(VLOOKUP($A46,'Goals &amp; Budget 2026'!$A$2:$EJ$49,30,FALSE),0)</f>
        <v>0</v>
      </c>
      <c r="AM46" s="65" t="str">
        <f t="shared" si="28"/>
        <v>***</v>
      </c>
      <c r="AN46" s="54"/>
      <c r="AO46" s="54">
        <f>+IFERROR(VLOOKUP($A46,'Goals &amp; Budget 2026'!$A$2:$EJ$49,31,FALSE),0)</f>
        <v>0</v>
      </c>
      <c r="AP46" s="66" t="str">
        <f t="shared" si="29"/>
        <v>***</v>
      </c>
    </row>
    <row r="47" spans="1:42" ht="20.100000000000001" customHeight="1" thickBot="1" x14ac:dyDescent="0.3">
      <c r="A47" s="51" t="s">
        <v>106</v>
      </c>
      <c r="B47" s="52">
        <v>1</v>
      </c>
      <c r="C47" s="53">
        <v>378</v>
      </c>
      <c r="D47" s="51">
        <f t="shared" si="15"/>
        <v>0</v>
      </c>
      <c r="E47" s="54">
        <f t="shared" si="16"/>
        <v>0</v>
      </c>
      <c r="F47" s="232" t="str">
        <f t="shared" si="17"/>
        <v>***</v>
      </c>
      <c r="G47" s="54"/>
      <c r="H47" s="54">
        <f>+IFERROR(VLOOKUP($A47,'Goals &amp; Budget 2026'!$A$2:$EJ$49,20,FALSE),0)</f>
        <v>0</v>
      </c>
      <c r="I47" s="65" t="str">
        <f t="shared" si="18"/>
        <v>***</v>
      </c>
      <c r="J47" s="54"/>
      <c r="K47" s="54">
        <f>+IFERROR(VLOOKUP($A47,'Goals &amp; Budget 2026'!$A$2:$EJ$49,21,FALSE),0)</f>
        <v>0</v>
      </c>
      <c r="L47" s="65" t="str">
        <f t="shared" si="19"/>
        <v>***</v>
      </c>
      <c r="M47" s="54"/>
      <c r="N47" s="54">
        <f>+IFERROR(VLOOKUP($A47,'Goals &amp; Budget 2026'!$A$2:$EJ$49,22,FALSE),0)</f>
        <v>0</v>
      </c>
      <c r="O47" s="232" t="str">
        <f t="shared" si="20"/>
        <v>***</v>
      </c>
      <c r="P47" s="54"/>
      <c r="Q47" s="54">
        <f>+IFERROR(VLOOKUP($A47,'Goals &amp; Budget 2026'!$A$2:$EJ$49,23,FALSE),0)</f>
        <v>0</v>
      </c>
      <c r="R47" s="65" t="str">
        <f t="shared" si="21"/>
        <v>***</v>
      </c>
      <c r="S47" s="54"/>
      <c r="T47" s="54">
        <f>+IFERROR(VLOOKUP($A47,'Goals &amp; Budget 2026'!$A$2:$EJ$49,24,FALSE),0)</f>
        <v>0</v>
      </c>
      <c r="U47" s="65" t="str">
        <f t="shared" si="22"/>
        <v>***</v>
      </c>
      <c r="V47" s="54"/>
      <c r="W47" s="54">
        <f>+IFERROR(VLOOKUP($A47,'Goals &amp; Budget 2026'!$A$2:$EJ$49,25,FALSE),0)</f>
        <v>0</v>
      </c>
      <c r="X47" s="232" t="str">
        <f t="shared" si="23"/>
        <v>***</v>
      </c>
      <c r="Y47" s="54"/>
      <c r="Z47" s="54">
        <f>+IFERROR(VLOOKUP($A47,'Goals &amp; Budget 2026'!$A$2:$EJ$49,26,FALSE),0)</f>
        <v>0</v>
      </c>
      <c r="AA47" s="65" t="str">
        <f t="shared" si="24"/>
        <v>***</v>
      </c>
      <c r="AB47" s="54"/>
      <c r="AC47" s="54">
        <f>+IFERROR(VLOOKUP($A47,'Goals &amp; Budget 2026'!$A$2:$EJ$49,27,FALSE),0)</f>
        <v>0</v>
      </c>
      <c r="AD47" s="65" t="str">
        <f t="shared" si="25"/>
        <v>***</v>
      </c>
      <c r="AE47" s="54"/>
      <c r="AF47" s="54">
        <f>+IFERROR(VLOOKUP($A47,'Goals &amp; Budget 2026'!$A$2:$EJ$49,28,FALSE),0)</f>
        <v>0</v>
      </c>
      <c r="AG47" s="232" t="str">
        <f t="shared" si="26"/>
        <v>***</v>
      </c>
      <c r="AH47" s="54"/>
      <c r="AI47" s="54">
        <f>+IFERROR(VLOOKUP($A47,'Goals &amp; Budget 2026'!$A$2:$EJ$49,29,FALSE),0)</f>
        <v>0</v>
      </c>
      <c r="AJ47" s="65" t="str">
        <f t="shared" si="27"/>
        <v>***</v>
      </c>
      <c r="AK47" s="54"/>
      <c r="AL47" s="54">
        <f>+IFERROR(VLOOKUP($A47,'Goals &amp; Budget 2026'!$A$2:$EJ$49,30,FALSE),0)</f>
        <v>0</v>
      </c>
      <c r="AM47" s="65" t="str">
        <f t="shared" si="28"/>
        <v>***</v>
      </c>
      <c r="AN47" s="54"/>
      <c r="AO47" s="54">
        <f>+IFERROR(VLOOKUP($A47,'Goals &amp; Budget 2026'!$A$2:$EJ$49,31,FALSE),0)</f>
        <v>0</v>
      </c>
      <c r="AP47" s="66" t="str">
        <f t="shared" si="29"/>
        <v>***</v>
      </c>
    </row>
    <row r="48" spans="1:42" ht="20.100000000000001" customHeight="1" x14ac:dyDescent="0.25">
      <c r="A48" s="172" t="s">
        <v>12</v>
      </c>
      <c r="B48" s="173"/>
      <c r="C48" s="236"/>
      <c r="D48" s="125">
        <f>+SUM(D3:D47)</f>
        <v>0</v>
      </c>
      <c r="E48" s="126">
        <f>+SUM(E3:E47)</f>
        <v>0</v>
      </c>
      <c r="F48" s="237" t="str">
        <f>IF(AND(D48&gt;0,E48&gt;0),D48/E48,IF(AND(D48&gt;0,E48=0),100%,IF(AND(D48=0,E48&gt;0),0,IF(AND(D48=0,E48=0),"***",0))))</f>
        <v>***</v>
      </c>
      <c r="G48" s="126">
        <f>+SUM(G3:G47)</f>
        <v>0</v>
      </c>
      <c r="H48" s="126">
        <f>+SUM(H3:H47)</f>
        <v>0</v>
      </c>
      <c r="I48" s="238" t="str">
        <f t="shared" ref="I48:I49" si="30">IF(AND(G48&gt;0,H48&gt;0),G48/H48,IF(AND(G48&gt;0,H48=0),100%,IF(AND(G48=0,H48&gt;0),0,IF(AND(G48=0,H48=0),"***",0))))</f>
        <v>***</v>
      </c>
      <c r="J48" s="126">
        <f>+SUM(J3:J47)</f>
        <v>0</v>
      </c>
      <c r="K48" s="126">
        <f>+SUM(K3:K47)</f>
        <v>0</v>
      </c>
      <c r="L48" s="238" t="str">
        <f t="shared" ref="L48:L49" si="31">IF(AND(J48&gt;0,K48&gt;0),J48/K48,IF(AND(J48&gt;0,K48=0),100%,IF(AND(J48=0,K48&gt;0),0,IF(AND(J48=0,K48=0),"***",0))))</f>
        <v>***</v>
      </c>
      <c r="M48" s="126">
        <f>+SUM(M3:M47)</f>
        <v>0</v>
      </c>
      <c r="N48" s="126">
        <f>+SUM(N3:N47)</f>
        <v>0</v>
      </c>
      <c r="O48" s="237" t="str">
        <f t="shared" ref="O48:O49" si="32">IF(AND(M48&gt;0,N48&gt;0),M48/N48,IF(AND(M48&gt;0,N48=0),100%,IF(AND(M48=0,N48&gt;0),0,IF(AND(M48=0,N48=0),"***",0))))</f>
        <v>***</v>
      </c>
      <c r="P48" s="126">
        <f>+SUM(P3:P47)</f>
        <v>0</v>
      </c>
      <c r="Q48" s="126">
        <f>+SUM(Q3:Q47)</f>
        <v>0</v>
      </c>
      <c r="R48" s="238" t="str">
        <f t="shared" ref="R48:R49" si="33">IF(AND(P48&gt;0,Q48&gt;0),P48/Q48,IF(AND(P48&gt;0,Q48=0),100%,IF(AND(P48=0,Q48&gt;0),0,IF(AND(P48=0,Q48=0),"***",0))))</f>
        <v>***</v>
      </c>
      <c r="S48" s="126">
        <f>+SUM(S3:S47)</f>
        <v>0</v>
      </c>
      <c r="T48" s="126">
        <f>+SUM(T3:T47)</f>
        <v>0</v>
      </c>
      <c r="U48" s="238" t="str">
        <f t="shared" ref="U48:U49" si="34">IF(AND(S48&gt;0,T48&gt;0),S48/T48,IF(AND(S48&gt;0,T48=0),100%,IF(AND(S48=0,T48&gt;0),0,IF(AND(S48=0,T48=0),"***",0))))</f>
        <v>***</v>
      </c>
      <c r="V48" s="126">
        <f>+SUM(V3:V47)</f>
        <v>0</v>
      </c>
      <c r="W48" s="126">
        <f>+SUM(W3:W47)</f>
        <v>0</v>
      </c>
      <c r="X48" s="237" t="str">
        <f t="shared" ref="X48:X49" si="35">IF(AND(V48&gt;0,W48&gt;0),V48/W48,IF(AND(V48&gt;0,W48=0),100%,IF(AND(V48=0,W48&gt;0),0,IF(AND(V48=0,W48=0),"***",0))))</f>
        <v>***</v>
      </c>
      <c r="Y48" s="126">
        <f>+SUM(Y3:Y47)</f>
        <v>0</v>
      </c>
      <c r="Z48" s="126">
        <f>+SUM(Z3:Z47)</f>
        <v>0</v>
      </c>
      <c r="AA48" s="238" t="str">
        <f t="shared" ref="AA48:AA49" si="36">IF(AND(Y48&gt;0,Z48&gt;0),Y48/Z48,IF(AND(Y48&gt;0,Z48=0),100%,IF(AND(Y48=0,Z48&gt;0),0,IF(AND(Y48=0,Z48=0),"***",0))))</f>
        <v>***</v>
      </c>
      <c r="AB48" s="126">
        <f>+SUM(AB3:AB47)</f>
        <v>0</v>
      </c>
      <c r="AC48" s="126">
        <f>+SUM(AC3:AC47)</f>
        <v>0</v>
      </c>
      <c r="AD48" s="238" t="str">
        <f t="shared" ref="AD48:AD49" si="37">IF(AND(AB48&gt;0,AC48&gt;0),AB48/AC48,IF(AND(AB48&gt;0,AC48=0),100%,IF(AND(AB48=0,AC48&gt;0),0,IF(AND(AB48=0,AC48=0),"***",0))))</f>
        <v>***</v>
      </c>
      <c r="AE48" s="126">
        <f>+SUM(AE3:AE47)</f>
        <v>0</v>
      </c>
      <c r="AF48" s="126">
        <f>+SUM(AF3:AF47)</f>
        <v>0</v>
      </c>
      <c r="AG48" s="237" t="str">
        <f t="shared" ref="AG48:AG49" si="38">IF(AND(AE48&gt;0,AF48&gt;0),AE48/AF48,IF(AND(AE48&gt;0,AF48=0),100%,IF(AND(AE48=0,AF48&gt;0),0,IF(AND(AE48=0,AF48=0),"***",0))))</f>
        <v>***</v>
      </c>
      <c r="AH48" s="126">
        <f>+SUM(AH3:AH47)</f>
        <v>0</v>
      </c>
      <c r="AI48" s="126">
        <f>+SUM(AI3:AI47)</f>
        <v>0</v>
      </c>
      <c r="AJ48" s="238" t="str">
        <f t="shared" ref="AJ48:AJ49" si="39">IF(AND(AH48&gt;0,AI48&gt;0),AH48/AI48,IF(AND(AH48&gt;0,AI48=0),100%,IF(AND(AH48=0,AI48&gt;0),0,IF(AND(AH48=0,AI48=0),"***",0))))</f>
        <v>***</v>
      </c>
      <c r="AK48" s="126">
        <f>+SUM(AK3:AK47)</f>
        <v>0</v>
      </c>
      <c r="AL48" s="126">
        <f>+SUM(AL3:AL47)</f>
        <v>0</v>
      </c>
      <c r="AM48" s="238" t="str">
        <f t="shared" ref="AM48:AM49" si="40">IF(AND(AK48&gt;0,AL48&gt;0),AK48/AL48,IF(AND(AK48&gt;0,AL48=0),100%,IF(AND(AK48=0,AL48&gt;0),0,IF(AND(AK48=0,AL48=0),"***",0))))</f>
        <v>***</v>
      </c>
      <c r="AN48" s="126">
        <f>+SUM(AN3:AN47)</f>
        <v>0</v>
      </c>
      <c r="AO48" s="126">
        <f>+SUM(AO3:AO47)</f>
        <v>0</v>
      </c>
      <c r="AP48" s="239" t="str">
        <f t="shared" ref="AP48:AP49" si="41">IF(AND(AN48&gt;0,AO48&gt;0),AN48/AO48,IF(AND(AN48&gt;0,AO48=0),100%,IF(AND(AN48=0,AO48&gt;0),0,IF(AND(AN48=0,AO48=0),"***",0))))</f>
        <v>***</v>
      </c>
    </row>
    <row r="49" spans="1:42" ht="20.100000000000001" customHeight="1" thickBot="1" x14ac:dyDescent="0.3">
      <c r="A49" s="240" t="s">
        <v>23</v>
      </c>
      <c r="B49" s="241"/>
      <c r="C49" s="242"/>
      <c r="D49" s="139">
        <f>+SUMPRODUCT(D3:D47,$B$3:$B$47)</f>
        <v>0</v>
      </c>
      <c r="E49" s="140">
        <f>+SUMPRODUCT(E3:E47,$B$3:$B$47)</f>
        <v>0</v>
      </c>
      <c r="F49" s="243" t="str">
        <f>IF(AND(D49&gt;0,E49&gt;0),D49/E49,IF(AND(D49&gt;0,E49=0),100%,IF(AND(D49=0,E49&gt;0),0,IF(AND(D49=0,E49=0),"***",0))))</f>
        <v>***</v>
      </c>
      <c r="G49" s="140">
        <f>+SUMPRODUCT(G3:G47,$B$3:$B$47)</f>
        <v>0</v>
      </c>
      <c r="H49" s="140">
        <f>+SUMPRODUCT(H3:H47,$B$3:$B$47)</f>
        <v>0</v>
      </c>
      <c r="I49" s="244" t="str">
        <f t="shared" si="30"/>
        <v>***</v>
      </c>
      <c r="J49" s="140">
        <f>+SUMPRODUCT(J3:J47,$B$3:$B$47)</f>
        <v>0</v>
      </c>
      <c r="K49" s="140">
        <f>+SUMPRODUCT(K3:K47,$B$3:$B$47)</f>
        <v>0</v>
      </c>
      <c r="L49" s="244" t="str">
        <f t="shared" si="31"/>
        <v>***</v>
      </c>
      <c r="M49" s="140">
        <f>+SUMPRODUCT(M3:M47,$B$3:$B$47)</f>
        <v>0</v>
      </c>
      <c r="N49" s="140">
        <f>+SUMPRODUCT(N3:N47,$B$3:$B$47)</f>
        <v>0</v>
      </c>
      <c r="O49" s="243" t="str">
        <f t="shared" si="32"/>
        <v>***</v>
      </c>
      <c r="P49" s="140">
        <f>+SUMPRODUCT(P3:P47,$B$3:$B$47)</f>
        <v>0</v>
      </c>
      <c r="Q49" s="140">
        <f>+SUMPRODUCT(Q3:Q47,$B$3:$B$47)</f>
        <v>0</v>
      </c>
      <c r="R49" s="244" t="str">
        <f t="shared" si="33"/>
        <v>***</v>
      </c>
      <c r="S49" s="140">
        <f>+SUMPRODUCT(S3:S47,$B$3:$B$47)</f>
        <v>0</v>
      </c>
      <c r="T49" s="140">
        <f>+SUMPRODUCT(T3:T47,$B$3:$B$47)</f>
        <v>0</v>
      </c>
      <c r="U49" s="244" t="str">
        <f t="shared" si="34"/>
        <v>***</v>
      </c>
      <c r="V49" s="140">
        <f>+SUMPRODUCT(V3:V47,$B$3:$B$47)</f>
        <v>0</v>
      </c>
      <c r="W49" s="140">
        <f>+SUMPRODUCT(W3:W47,$B$3:$B$47)</f>
        <v>0</v>
      </c>
      <c r="X49" s="243" t="str">
        <f t="shared" si="35"/>
        <v>***</v>
      </c>
      <c r="Y49" s="140">
        <f>+SUMPRODUCT(Y3:Y47,$B$3:$B$47)</f>
        <v>0</v>
      </c>
      <c r="Z49" s="140">
        <f>+SUMPRODUCT(Z3:Z47,$B$3:$B$47)</f>
        <v>0</v>
      </c>
      <c r="AA49" s="244" t="str">
        <f t="shared" si="36"/>
        <v>***</v>
      </c>
      <c r="AB49" s="140">
        <f>+SUMPRODUCT(AB3:AB47,$B$3:$B$47)</f>
        <v>0</v>
      </c>
      <c r="AC49" s="140">
        <f>+SUMPRODUCT(AC3:AC47,$B$3:$B$47)</f>
        <v>0</v>
      </c>
      <c r="AD49" s="244" t="str">
        <f t="shared" si="37"/>
        <v>***</v>
      </c>
      <c r="AE49" s="140">
        <f>+SUMPRODUCT(AE3:AE47,$B$3:$B$47)</f>
        <v>0</v>
      </c>
      <c r="AF49" s="140">
        <f>+SUMPRODUCT(AF3:AF47,$B$3:$B$47)</f>
        <v>0</v>
      </c>
      <c r="AG49" s="243" t="str">
        <f t="shared" si="38"/>
        <v>***</v>
      </c>
      <c r="AH49" s="140">
        <f>+SUMPRODUCT(AH3:AH47,$B$3:$B$47)</f>
        <v>0</v>
      </c>
      <c r="AI49" s="140">
        <f>+SUMPRODUCT(AI3:AI47,$B$3:$B$47)</f>
        <v>0</v>
      </c>
      <c r="AJ49" s="244" t="str">
        <f t="shared" si="39"/>
        <v>***</v>
      </c>
      <c r="AK49" s="140">
        <f>+SUMPRODUCT(AK3:AK47,$B$3:$B$47)</f>
        <v>0</v>
      </c>
      <c r="AL49" s="140">
        <f>+SUMPRODUCT(AL3:AL47,$B$3:$B$47)</f>
        <v>0</v>
      </c>
      <c r="AM49" s="244" t="str">
        <f t="shared" si="40"/>
        <v>***</v>
      </c>
      <c r="AN49" s="140">
        <f>+SUMPRODUCT(AN3:AN47,$B$3:$B$47)</f>
        <v>0</v>
      </c>
      <c r="AO49" s="140">
        <f>+SUMPRODUCT(AO3:AO47,$B$3:$B$47)</f>
        <v>0</v>
      </c>
      <c r="AP49" s="245" t="str">
        <f t="shared" si="41"/>
        <v>***</v>
      </c>
    </row>
  </sheetData>
  <mergeCells count="16">
    <mergeCell ref="AK1:AM1"/>
    <mergeCell ref="AN1:AP1"/>
    <mergeCell ref="A48:C48"/>
    <mergeCell ref="A49:C49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conditionalFormatting sqref="F3:F49 I3:I49 L3:L49 O3:O49 R3:R49 U3:U49 X3:X49 AA3:AA49 AD3:AD49 AG3:AG49 AJ3:AJ49 AM3:AM49 AP3:AP49">
    <cfRule type="cellIs" priority="1" operator="equal">
      <formula>"***"</formula>
    </cfRule>
    <cfRule type="cellIs" dxfId="19" priority="2" operator="lessThan">
      <formula>1</formula>
    </cfRule>
    <cfRule type="cellIs" dxfId="18" priority="3" operator="greaterThanOrEqual">
      <formula>1</formula>
    </cfRule>
  </conditionalFormatting>
  <pageMargins left="0.7" right="0.7" top="0.75" bottom="0.75" header="0.3" footer="0.3"/>
  <ignoredErrors>
    <ignoredError sqref="F4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86CF-1D6E-4BC4-9A37-2C5F3C06A85B}">
  <sheetPr>
    <tabColor theme="5" tint="0.79998168889431442"/>
  </sheetPr>
  <dimension ref="A1:AP48"/>
  <sheetViews>
    <sheetView showGridLines="0" zoomScale="55" zoomScaleNormal="55" workbookViewId="0">
      <pane xSplit="6" ySplit="2" topLeftCell="G6" activePane="bottomRight" state="frozen"/>
      <selection activeCell="Z21" sqref="Z21:Z23"/>
      <selection pane="topRight" activeCell="Z21" sqref="Z21:Z23"/>
      <selection pane="bottomLeft" activeCell="Z21" sqref="Z21:Z23"/>
      <selection pane="bottomRight" activeCell="C47" sqref="A1:AP48"/>
    </sheetView>
  </sheetViews>
  <sheetFormatPr defaultRowHeight="20.100000000000001" customHeight="1" x14ac:dyDescent="0.25"/>
  <cols>
    <col min="1" max="1" width="23.28515625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+'Dashboard - Overview &amp; Project'!H2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42">
        <f>+G3</f>
        <v>0</v>
      </c>
      <c r="E3" s="43">
        <f>+H3</f>
        <v>0</v>
      </c>
      <c r="F3" s="230" t="str">
        <f>IF(AND(D3&gt;0,E3&gt;0),D3/E3,IF(AND(D3&gt;0,E3=0),100%,IF(AND(D3=0,E3&gt;0),0,IF(AND(D3=0,E3=0),"***",0))))</f>
        <v>***</v>
      </c>
      <c r="G3" s="43"/>
      <c r="H3" s="43">
        <f>+IFERROR(VLOOKUP($A3,'Goals &amp; Budget 2026'!$A$2:$EJ$49,34,FALSE),0)</f>
        <v>0</v>
      </c>
      <c r="I3" s="49" t="str">
        <f>IF(AND(G3&gt;0,H3&gt;0),G3/H3,IF(AND(G3&gt;0,H3=0),100%,IF(AND(G3=0,H3&gt;0),0,IF(AND(G3=0,H3=0),"***",0))))</f>
        <v>***</v>
      </c>
      <c r="J3" s="43"/>
      <c r="K3" s="43">
        <f>+IFERROR(VLOOKUP($A3,'Goals &amp; Budget 2026'!$A$2:$EJ$49,35,FALSE),0)</f>
        <v>0</v>
      </c>
      <c r="L3" s="49" t="str">
        <f>IF(AND(J3&gt;0,K3&gt;0),J3/K3,IF(AND(J3&gt;0,K3=0),100%,IF(AND(J3=0,K3&gt;0),0,IF(AND(J3=0,K3=0),"***",0))))</f>
        <v>***</v>
      </c>
      <c r="M3" s="43"/>
      <c r="N3" s="43">
        <f>+IFERROR(VLOOKUP($A3,'Goals &amp; Budget 2026'!$A$2:$EJ$49,36,FALSE),0)</f>
        <v>0</v>
      </c>
      <c r="O3" s="230" t="str">
        <f>IF(AND(M3&gt;0,N3&gt;0),M3/N3,IF(AND(M3&gt;0,N3=0),100%,IF(AND(M3=0,N3&gt;0),0,IF(AND(M3=0,N3=0),"***",0))))</f>
        <v>***</v>
      </c>
      <c r="P3" s="43"/>
      <c r="Q3" s="43">
        <f>+IFERROR(VLOOKUP($A3,'Goals &amp; Budget 2026'!$A$2:$EJ$49,37,FALSE),0)</f>
        <v>0</v>
      </c>
      <c r="R3" s="49" t="str">
        <f>IF(AND(P3&gt;0,Q3&gt;0),P3/Q3,IF(AND(P3&gt;0,Q3=0),100%,IF(AND(P3=0,Q3&gt;0),0,IF(AND(P3=0,Q3=0),"***",0))))</f>
        <v>***</v>
      </c>
      <c r="S3" s="43"/>
      <c r="T3" s="43">
        <f>+IFERROR(VLOOKUP($A3,'Goals &amp; Budget 2026'!$A$2:$EJ$49,38,FALSE),0)</f>
        <v>0</v>
      </c>
      <c r="U3" s="49" t="str">
        <f>IF(AND(S3&gt;0,T3&gt;0),S3/T3,IF(AND(S3&gt;0,T3=0),100%,IF(AND(S3=0,T3&gt;0),0,IF(AND(S3=0,T3=0),"***",0))))</f>
        <v>***</v>
      </c>
      <c r="V3" s="43"/>
      <c r="W3" s="43">
        <f>+IFERROR(VLOOKUP($A3,'Goals &amp; Budget 2026'!$A$2:$EJ$49,39,FALSE),0)</f>
        <v>0</v>
      </c>
      <c r="X3" s="230" t="str">
        <f>IF(AND(V3&gt;0,W3&gt;0),V3/W3,IF(AND(V3&gt;0,W3=0),100%,IF(AND(V3=0,W3&gt;0),0,IF(AND(V3=0,W3=0),"***",0))))</f>
        <v>***</v>
      </c>
      <c r="Y3" s="43"/>
      <c r="Z3" s="43">
        <f>+IFERROR(VLOOKUP($A3,'Goals &amp; Budget 2026'!$A$2:$EJ$49,40,FALSE),0)</f>
        <v>0</v>
      </c>
      <c r="AA3" s="49" t="str">
        <f>IF(AND(Y3&gt;0,Z3&gt;0),Y3/Z3,IF(AND(Y3&gt;0,Z3=0),100%,IF(AND(Y3=0,Z3&gt;0),0,IF(AND(Y3=0,Z3=0),"***",0))))</f>
        <v>***</v>
      </c>
      <c r="AB3" s="43"/>
      <c r="AC3" s="43">
        <f>+IFERROR(VLOOKUP($A3,'Goals &amp; Budget 2026'!$A$2:$EJ$49,41,FALSE),0)</f>
        <v>0</v>
      </c>
      <c r="AD3" s="49" t="str">
        <f>IF(AND(AB3&gt;0,AC3&gt;0),AB3/AC3,IF(AND(AB3&gt;0,AC3=0),100%,IF(AND(AB3=0,AC3&gt;0),0,IF(AND(AB3=0,AC3=0),"***",0))))</f>
        <v>***</v>
      </c>
      <c r="AE3" s="43"/>
      <c r="AF3" s="43">
        <f>+IFERROR(VLOOKUP($A3,'Goals &amp; Budget 2026'!$A$2:$EJ$49,42,FALSE),0)</f>
        <v>0</v>
      </c>
      <c r="AG3" s="230" t="str">
        <f>IF(AND(AE3&gt;0,AF3&gt;0),AE3/AF3,IF(AND(AE3&gt;0,AF3=0),100%,IF(AND(AE3=0,AF3&gt;0),0,IF(AND(AE3=0,AF3=0),"***",0))))</f>
        <v>***</v>
      </c>
      <c r="AH3" s="43"/>
      <c r="AI3" s="43">
        <f>+IFERROR(VLOOKUP($A3,'Goals &amp; Budget 2026'!$A$2:$EJ$49,43,FALSE),0)</f>
        <v>0</v>
      </c>
      <c r="AJ3" s="49" t="str">
        <f>IF(AND(AH3&gt;0,AI3&gt;0),AH3/AI3,IF(AND(AH3&gt;0,AI3=0),100%,IF(AND(AH3=0,AI3&gt;0),0,IF(AND(AH3=0,AI3=0),"***",0))))</f>
        <v>***</v>
      </c>
      <c r="AK3" s="43"/>
      <c r="AL3" s="43">
        <f>+IFERROR(VLOOKUP($A3,'Goals &amp; Budget 2026'!$A$2:$EJ$49,44,FALSE),0)</f>
        <v>0</v>
      </c>
      <c r="AM3" s="49" t="str">
        <f>IF(AND(AK3&gt;0,AL3&gt;0),AK3/AL3,IF(AND(AK3&gt;0,AL3=0),100%,IF(AND(AK3=0,AL3&gt;0),0,IF(AND(AK3=0,AL3=0),"***",0))))</f>
        <v>***</v>
      </c>
      <c r="AN3" s="43"/>
      <c r="AO3" s="43">
        <f>+IFERROR(VLOOKUP($A3,'Goals &amp; Budget 2026'!$A$2:$EJ$49,45,FALSE),0)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7">
        <f t="shared" ref="D4:D47" si="0">+G4</f>
        <v>0</v>
      </c>
      <c r="E4" s="78">
        <f t="shared" ref="E4:E47" si="1">+H4</f>
        <v>0</v>
      </c>
      <c r="F4" s="231" t="str">
        <f t="shared" ref="F4:F47" si="2">IF(AND(D4&gt;0,E4&gt;0),D4/E4,IF(AND(D4&gt;0,E4=0),100%,IF(AND(D4=0,E4&gt;0),0,IF(AND(D4=0,E4=0),"***",0))))</f>
        <v>***</v>
      </c>
      <c r="G4" s="78"/>
      <c r="H4" s="78">
        <f>+IFERROR(VLOOKUP($A4,'Goals &amp; Budget 2026'!$A$2:$EJ$49,34,FALSE),0)</f>
        <v>0</v>
      </c>
      <c r="I4" s="84" t="str">
        <f t="shared" ref="I4:I47" si="3">IF(AND(G4&gt;0,H4&gt;0),G4/H4,IF(AND(G4&gt;0,H4=0),100%,IF(AND(G4=0,H4&gt;0),0,IF(AND(G4=0,H4=0),"***",0))))</f>
        <v>***</v>
      </c>
      <c r="J4" s="78"/>
      <c r="K4" s="78">
        <f>+IFERROR(VLOOKUP($A4,'Goals &amp; Budget 2026'!$A$2:$EJ$49,35,FALSE),0)</f>
        <v>0</v>
      </c>
      <c r="L4" s="84" t="str">
        <f t="shared" ref="L4:L47" si="4">IF(AND(J4&gt;0,K4&gt;0),J4/K4,IF(AND(J4&gt;0,K4=0),100%,IF(AND(J4=0,K4&gt;0),0,IF(AND(J4=0,K4=0),"***",0))))</f>
        <v>***</v>
      </c>
      <c r="M4" s="78"/>
      <c r="N4" s="78">
        <f>+IFERROR(VLOOKUP($A4,'Goals &amp; Budget 2026'!$A$2:$EJ$49,36,FALSE),0)</f>
        <v>0</v>
      </c>
      <c r="O4" s="231" t="str">
        <f t="shared" ref="O4:O47" si="5">IF(AND(M4&gt;0,N4&gt;0),M4/N4,IF(AND(M4&gt;0,N4=0),100%,IF(AND(M4=0,N4&gt;0),0,IF(AND(M4=0,N4=0),"***",0))))</f>
        <v>***</v>
      </c>
      <c r="P4" s="78"/>
      <c r="Q4" s="78">
        <f>+IFERROR(VLOOKUP($A4,'Goals &amp; Budget 2026'!$A$2:$EJ$49,37,FALSE),0)</f>
        <v>0</v>
      </c>
      <c r="R4" s="84" t="str">
        <f t="shared" ref="R4:R47" si="6">IF(AND(P4&gt;0,Q4&gt;0),P4/Q4,IF(AND(P4&gt;0,Q4=0),100%,IF(AND(P4=0,Q4&gt;0),0,IF(AND(P4=0,Q4=0),"***",0))))</f>
        <v>***</v>
      </c>
      <c r="S4" s="78"/>
      <c r="T4" s="78">
        <f>+IFERROR(VLOOKUP($A4,'Goals &amp; Budget 2026'!$A$2:$EJ$49,38,FALSE),0)</f>
        <v>0</v>
      </c>
      <c r="U4" s="84" t="str">
        <f t="shared" ref="U4:U47" si="7">IF(AND(S4&gt;0,T4&gt;0),S4/T4,IF(AND(S4&gt;0,T4=0),100%,IF(AND(S4=0,T4&gt;0),0,IF(AND(S4=0,T4=0),"***",0))))</f>
        <v>***</v>
      </c>
      <c r="V4" s="78"/>
      <c r="W4" s="78">
        <f>+IFERROR(VLOOKUP($A4,'Goals &amp; Budget 2026'!$A$2:$EJ$49,39,FALSE),0)</f>
        <v>0</v>
      </c>
      <c r="X4" s="231" t="str">
        <f t="shared" ref="X4:X47" si="8">IF(AND(V4&gt;0,W4&gt;0),V4/W4,IF(AND(V4&gt;0,W4=0),100%,IF(AND(V4=0,W4&gt;0),0,IF(AND(V4=0,W4=0),"***",0))))</f>
        <v>***</v>
      </c>
      <c r="Y4" s="78"/>
      <c r="Z4" s="78">
        <f>+IFERROR(VLOOKUP($A4,'Goals &amp; Budget 2026'!$A$2:$EJ$49,40,FALSE),0)</f>
        <v>0</v>
      </c>
      <c r="AA4" s="84" t="str">
        <f t="shared" ref="AA4:AA47" si="9">IF(AND(Y4&gt;0,Z4&gt;0),Y4/Z4,IF(AND(Y4&gt;0,Z4=0),100%,IF(AND(Y4=0,Z4&gt;0),0,IF(AND(Y4=0,Z4=0),"***",0))))</f>
        <v>***</v>
      </c>
      <c r="AB4" s="78"/>
      <c r="AC4" s="78">
        <f>+IFERROR(VLOOKUP($A4,'Goals &amp; Budget 2026'!$A$2:$EJ$49,41,FALSE),0)</f>
        <v>0</v>
      </c>
      <c r="AD4" s="84" t="str">
        <f t="shared" ref="AD4:AD47" si="10">IF(AND(AB4&gt;0,AC4&gt;0),AB4/AC4,IF(AND(AB4&gt;0,AC4=0),100%,IF(AND(AB4=0,AC4&gt;0),0,IF(AND(AB4=0,AC4=0),"***",0))))</f>
        <v>***</v>
      </c>
      <c r="AE4" s="78"/>
      <c r="AF4" s="78">
        <f>+IFERROR(VLOOKUP($A4,'Goals &amp; Budget 2026'!$A$2:$EJ$49,42,FALSE),0)</f>
        <v>0</v>
      </c>
      <c r="AG4" s="231" t="str">
        <f t="shared" ref="AG4:AG47" si="11">IF(AND(AE4&gt;0,AF4&gt;0),AE4/AF4,IF(AND(AE4&gt;0,AF4=0),100%,IF(AND(AE4=0,AF4&gt;0),0,IF(AND(AE4=0,AF4=0),"***",0))))</f>
        <v>***</v>
      </c>
      <c r="AH4" s="78"/>
      <c r="AI4" s="78">
        <f>+IFERROR(VLOOKUP($A4,'Goals &amp; Budget 2026'!$A$2:$EJ$49,43,FALSE),0)</f>
        <v>0</v>
      </c>
      <c r="AJ4" s="84" t="str">
        <f t="shared" ref="AJ4:AJ47" si="12">IF(AND(AH4&gt;0,AI4&gt;0),AH4/AI4,IF(AND(AH4&gt;0,AI4=0),100%,IF(AND(AH4=0,AI4&gt;0),0,IF(AND(AH4=0,AI4=0),"***",0))))</f>
        <v>***</v>
      </c>
      <c r="AK4" s="78"/>
      <c r="AL4" s="78">
        <f>+IFERROR(VLOOKUP($A4,'Goals &amp; Budget 2026'!$A$2:$EJ$49,44,FALSE),0)</f>
        <v>0</v>
      </c>
      <c r="AM4" s="84" t="str">
        <f t="shared" ref="AM4:AM47" si="13">IF(AND(AK4&gt;0,AL4&gt;0),AK4/AL4,IF(AND(AK4&gt;0,AL4=0),100%,IF(AND(AK4=0,AL4&gt;0),0,IF(AND(AK4=0,AL4=0),"***",0))))</f>
        <v>***</v>
      </c>
      <c r="AN4" s="78"/>
      <c r="AO4" s="78">
        <f>+IFERROR(VLOOKUP($A4,'Goals &amp; Budget 2026'!$A$2:$EJ$49,45,FALSE),0)</f>
        <v>0</v>
      </c>
      <c r="AP4" s="85" t="str">
        <f t="shared" ref="AP4:AP47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7">
        <f t="shared" si="0"/>
        <v>0</v>
      </c>
      <c r="E5" s="78">
        <f t="shared" si="1"/>
        <v>0</v>
      </c>
      <c r="F5" s="231" t="str">
        <f t="shared" si="2"/>
        <v>***</v>
      </c>
      <c r="G5" s="78"/>
      <c r="H5" s="78">
        <f>+IFERROR(VLOOKUP($A5,'Goals &amp; Budget 2026'!$A$2:$EJ$49,34,FALSE),0)</f>
        <v>0</v>
      </c>
      <c r="I5" s="84" t="str">
        <f t="shared" si="3"/>
        <v>***</v>
      </c>
      <c r="J5" s="78"/>
      <c r="K5" s="78">
        <f>+IFERROR(VLOOKUP($A5,'Goals &amp; Budget 2026'!$A$2:$EJ$49,35,FALSE),0)</f>
        <v>0</v>
      </c>
      <c r="L5" s="84" t="str">
        <f t="shared" si="4"/>
        <v>***</v>
      </c>
      <c r="M5" s="78"/>
      <c r="N5" s="78">
        <f>+IFERROR(VLOOKUP($A5,'Goals &amp; Budget 2026'!$A$2:$EJ$49,36,FALSE),0)</f>
        <v>0</v>
      </c>
      <c r="O5" s="231" t="str">
        <f t="shared" si="5"/>
        <v>***</v>
      </c>
      <c r="P5" s="78"/>
      <c r="Q5" s="78">
        <f>+IFERROR(VLOOKUP($A5,'Goals &amp; Budget 2026'!$A$2:$EJ$49,37,FALSE),0)</f>
        <v>0</v>
      </c>
      <c r="R5" s="84" t="str">
        <f t="shared" si="6"/>
        <v>***</v>
      </c>
      <c r="S5" s="78"/>
      <c r="T5" s="78">
        <f>+IFERROR(VLOOKUP($A5,'Goals &amp; Budget 2026'!$A$2:$EJ$49,38,FALSE),0)</f>
        <v>0</v>
      </c>
      <c r="U5" s="84" t="str">
        <f t="shared" si="7"/>
        <v>***</v>
      </c>
      <c r="V5" s="78"/>
      <c r="W5" s="78">
        <f>+IFERROR(VLOOKUP($A5,'Goals &amp; Budget 2026'!$A$2:$EJ$49,39,FALSE),0)</f>
        <v>0</v>
      </c>
      <c r="X5" s="231" t="str">
        <f t="shared" si="8"/>
        <v>***</v>
      </c>
      <c r="Y5" s="78"/>
      <c r="Z5" s="78">
        <f>+IFERROR(VLOOKUP($A5,'Goals &amp; Budget 2026'!$A$2:$EJ$49,40,FALSE),0)</f>
        <v>0</v>
      </c>
      <c r="AA5" s="84" t="str">
        <f t="shared" si="9"/>
        <v>***</v>
      </c>
      <c r="AB5" s="78"/>
      <c r="AC5" s="78">
        <f>+IFERROR(VLOOKUP($A5,'Goals &amp; Budget 2026'!$A$2:$EJ$49,41,FALSE),0)</f>
        <v>0</v>
      </c>
      <c r="AD5" s="84" t="str">
        <f t="shared" si="10"/>
        <v>***</v>
      </c>
      <c r="AE5" s="78"/>
      <c r="AF5" s="78">
        <f>+IFERROR(VLOOKUP($A5,'Goals &amp; Budget 2026'!$A$2:$EJ$49,42,FALSE),0)</f>
        <v>0</v>
      </c>
      <c r="AG5" s="231" t="str">
        <f t="shared" si="11"/>
        <v>***</v>
      </c>
      <c r="AH5" s="78"/>
      <c r="AI5" s="78">
        <f>+IFERROR(VLOOKUP($A5,'Goals &amp; Budget 2026'!$A$2:$EJ$49,43,FALSE),0)</f>
        <v>0</v>
      </c>
      <c r="AJ5" s="84" t="str">
        <f t="shared" si="12"/>
        <v>***</v>
      </c>
      <c r="AK5" s="78"/>
      <c r="AL5" s="78">
        <f>+IFERROR(VLOOKUP($A5,'Goals &amp; Budget 2026'!$A$2:$EJ$49,44,FALSE),0)</f>
        <v>0</v>
      </c>
      <c r="AM5" s="84" t="str">
        <f t="shared" si="13"/>
        <v>***</v>
      </c>
      <c r="AN5" s="78"/>
      <c r="AO5" s="78">
        <f>+IFERROR(VLOOKUP($A5,'Goals &amp; Budget 2026'!$A$2:$EJ$49,45,FALSE),0)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7">
        <f t="shared" si="0"/>
        <v>0</v>
      </c>
      <c r="E6" s="78">
        <f t="shared" si="1"/>
        <v>0</v>
      </c>
      <c r="F6" s="231" t="str">
        <f t="shared" si="2"/>
        <v>***</v>
      </c>
      <c r="G6" s="78"/>
      <c r="H6" s="78">
        <f>+IFERROR(VLOOKUP($A6,'Goals &amp; Budget 2026'!$A$2:$EJ$49,34,FALSE),0)</f>
        <v>0</v>
      </c>
      <c r="I6" s="84" t="str">
        <f t="shared" si="3"/>
        <v>***</v>
      </c>
      <c r="J6" s="78"/>
      <c r="K6" s="78">
        <f>+IFERROR(VLOOKUP($A6,'Goals &amp; Budget 2026'!$A$2:$EJ$49,35,FALSE),0)</f>
        <v>0</v>
      </c>
      <c r="L6" s="84" t="str">
        <f t="shared" si="4"/>
        <v>***</v>
      </c>
      <c r="M6" s="78"/>
      <c r="N6" s="78">
        <f>+IFERROR(VLOOKUP($A6,'Goals &amp; Budget 2026'!$A$2:$EJ$49,36,FALSE),0)</f>
        <v>0</v>
      </c>
      <c r="O6" s="231" t="str">
        <f t="shared" si="5"/>
        <v>***</v>
      </c>
      <c r="P6" s="78"/>
      <c r="Q6" s="78">
        <f>+IFERROR(VLOOKUP($A6,'Goals &amp; Budget 2026'!$A$2:$EJ$49,37,FALSE),0)</f>
        <v>0</v>
      </c>
      <c r="R6" s="84" t="str">
        <f t="shared" si="6"/>
        <v>***</v>
      </c>
      <c r="S6" s="78"/>
      <c r="T6" s="78">
        <f>+IFERROR(VLOOKUP($A6,'Goals &amp; Budget 2026'!$A$2:$EJ$49,38,FALSE),0)</f>
        <v>0</v>
      </c>
      <c r="U6" s="84" t="str">
        <f t="shared" si="7"/>
        <v>***</v>
      </c>
      <c r="V6" s="78"/>
      <c r="W6" s="78">
        <f>+IFERROR(VLOOKUP($A6,'Goals &amp; Budget 2026'!$A$2:$EJ$49,39,FALSE),0)</f>
        <v>0</v>
      </c>
      <c r="X6" s="231" t="str">
        <f t="shared" si="8"/>
        <v>***</v>
      </c>
      <c r="Y6" s="78"/>
      <c r="Z6" s="78">
        <f>+IFERROR(VLOOKUP($A6,'Goals &amp; Budget 2026'!$A$2:$EJ$49,40,FALSE),0)</f>
        <v>0</v>
      </c>
      <c r="AA6" s="84" t="str">
        <f t="shared" si="9"/>
        <v>***</v>
      </c>
      <c r="AB6" s="78"/>
      <c r="AC6" s="78">
        <f>+IFERROR(VLOOKUP($A6,'Goals &amp; Budget 2026'!$A$2:$EJ$49,41,FALSE),0)</f>
        <v>0</v>
      </c>
      <c r="AD6" s="84" t="str">
        <f t="shared" si="10"/>
        <v>***</v>
      </c>
      <c r="AE6" s="78"/>
      <c r="AF6" s="78">
        <f>+IFERROR(VLOOKUP($A6,'Goals &amp; Budget 2026'!$A$2:$EJ$49,42,FALSE),0)</f>
        <v>0</v>
      </c>
      <c r="AG6" s="231" t="str">
        <f t="shared" si="11"/>
        <v>***</v>
      </c>
      <c r="AH6" s="78"/>
      <c r="AI6" s="78">
        <f>+IFERROR(VLOOKUP($A6,'Goals &amp; Budget 2026'!$A$2:$EJ$49,43,FALSE),0)</f>
        <v>0</v>
      </c>
      <c r="AJ6" s="84" t="str">
        <f t="shared" si="12"/>
        <v>***</v>
      </c>
      <c r="AK6" s="78"/>
      <c r="AL6" s="78">
        <f>+IFERROR(VLOOKUP($A6,'Goals &amp; Budget 2026'!$A$2:$EJ$49,44,FALSE),0)</f>
        <v>0</v>
      </c>
      <c r="AM6" s="84" t="str">
        <f t="shared" si="13"/>
        <v>***</v>
      </c>
      <c r="AN6" s="78"/>
      <c r="AO6" s="78">
        <f>+IFERROR(VLOOKUP($A6,'Goals &amp; Budget 2026'!$A$2:$EJ$49,45,FALSE),0)</f>
        <v>0</v>
      </c>
      <c r="AP6" s="85" t="str">
        <f t="shared" si="14"/>
        <v>***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7">
        <f t="shared" si="0"/>
        <v>0</v>
      </c>
      <c r="E7" s="78">
        <f t="shared" si="1"/>
        <v>0</v>
      </c>
      <c r="F7" s="231" t="str">
        <f t="shared" si="2"/>
        <v>***</v>
      </c>
      <c r="G7" s="78"/>
      <c r="H7" s="78">
        <f>+IFERROR(VLOOKUP($A7,'Goals &amp; Budget 2026'!$A$2:$EJ$49,34,FALSE),0)</f>
        <v>0</v>
      </c>
      <c r="I7" s="84" t="str">
        <f t="shared" si="3"/>
        <v>***</v>
      </c>
      <c r="J7" s="78"/>
      <c r="K7" s="78">
        <f>+IFERROR(VLOOKUP($A7,'Goals &amp; Budget 2026'!$A$2:$EJ$49,35,FALSE),0)</f>
        <v>0</v>
      </c>
      <c r="L7" s="84" t="str">
        <f t="shared" si="4"/>
        <v>***</v>
      </c>
      <c r="M7" s="78"/>
      <c r="N7" s="78">
        <f>+IFERROR(VLOOKUP($A7,'Goals &amp; Budget 2026'!$A$2:$EJ$49,36,FALSE),0)</f>
        <v>0</v>
      </c>
      <c r="O7" s="231" t="str">
        <f t="shared" si="5"/>
        <v>***</v>
      </c>
      <c r="P7" s="78"/>
      <c r="Q7" s="78">
        <f>+IFERROR(VLOOKUP($A7,'Goals &amp; Budget 2026'!$A$2:$EJ$49,37,FALSE),0)</f>
        <v>0</v>
      </c>
      <c r="R7" s="84" t="str">
        <f t="shared" si="6"/>
        <v>***</v>
      </c>
      <c r="S7" s="78"/>
      <c r="T7" s="78">
        <f>+IFERROR(VLOOKUP($A7,'Goals &amp; Budget 2026'!$A$2:$EJ$49,38,FALSE),0)</f>
        <v>0</v>
      </c>
      <c r="U7" s="84" t="str">
        <f t="shared" si="7"/>
        <v>***</v>
      </c>
      <c r="V7" s="78"/>
      <c r="W7" s="78">
        <f>+IFERROR(VLOOKUP($A7,'Goals &amp; Budget 2026'!$A$2:$EJ$49,39,FALSE),0)</f>
        <v>0</v>
      </c>
      <c r="X7" s="231" t="str">
        <f t="shared" si="8"/>
        <v>***</v>
      </c>
      <c r="Y7" s="78"/>
      <c r="Z7" s="78">
        <f>+IFERROR(VLOOKUP($A7,'Goals &amp; Budget 2026'!$A$2:$EJ$49,40,FALSE),0)</f>
        <v>0</v>
      </c>
      <c r="AA7" s="84" t="str">
        <f t="shared" si="9"/>
        <v>***</v>
      </c>
      <c r="AB7" s="78"/>
      <c r="AC7" s="78">
        <f>+IFERROR(VLOOKUP($A7,'Goals &amp; Budget 2026'!$A$2:$EJ$49,41,FALSE),0)</f>
        <v>0</v>
      </c>
      <c r="AD7" s="84" t="str">
        <f t="shared" si="10"/>
        <v>***</v>
      </c>
      <c r="AE7" s="78"/>
      <c r="AF7" s="78">
        <f>+IFERROR(VLOOKUP($A7,'Goals &amp; Budget 2026'!$A$2:$EJ$49,42,FALSE),0)</f>
        <v>0</v>
      </c>
      <c r="AG7" s="231" t="str">
        <f t="shared" si="11"/>
        <v>***</v>
      </c>
      <c r="AH7" s="78"/>
      <c r="AI7" s="78">
        <f>+IFERROR(VLOOKUP($A7,'Goals &amp; Budget 2026'!$A$2:$EJ$49,43,FALSE),0)</f>
        <v>0</v>
      </c>
      <c r="AJ7" s="84" t="str">
        <f t="shared" si="12"/>
        <v>***</v>
      </c>
      <c r="AK7" s="78"/>
      <c r="AL7" s="78">
        <f>+IFERROR(VLOOKUP($A7,'Goals &amp; Budget 2026'!$A$2:$EJ$49,44,FALSE),0)</f>
        <v>0</v>
      </c>
      <c r="AM7" s="84" t="str">
        <f t="shared" si="13"/>
        <v>***</v>
      </c>
      <c r="AN7" s="78"/>
      <c r="AO7" s="78">
        <f>+IFERROR(VLOOKUP($A7,'Goals &amp; Budget 2026'!$A$2:$EJ$49,45,FALSE),0)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7">
        <f t="shared" si="0"/>
        <v>0</v>
      </c>
      <c r="E8" s="78">
        <f t="shared" si="1"/>
        <v>0</v>
      </c>
      <c r="F8" s="231" t="str">
        <f t="shared" si="2"/>
        <v>***</v>
      </c>
      <c r="G8" s="78"/>
      <c r="H8" s="78">
        <f>+IFERROR(VLOOKUP($A8,'Goals &amp; Budget 2026'!$A$2:$EJ$49,34,FALSE),0)</f>
        <v>0</v>
      </c>
      <c r="I8" s="84" t="str">
        <f t="shared" si="3"/>
        <v>***</v>
      </c>
      <c r="J8" s="78"/>
      <c r="K8" s="78">
        <f>+IFERROR(VLOOKUP($A8,'Goals &amp; Budget 2026'!$A$2:$EJ$49,35,FALSE),0)</f>
        <v>0</v>
      </c>
      <c r="L8" s="84" t="str">
        <f t="shared" si="4"/>
        <v>***</v>
      </c>
      <c r="M8" s="78"/>
      <c r="N8" s="78">
        <f>+IFERROR(VLOOKUP($A8,'Goals &amp; Budget 2026'!$A$2:$EJ$49,36,FALSE),0)</f>
        <v>0</v>
      </c>
      <c r="O8" s="231" t="str">
        <f t="shared" si="5"/>
        <v>***</v>
      </c>
      <c r="P8" s="78"/>
      <c r="Q8" s="78">
        <f>+IFERROR(VLOOKUP($A8,'Goals &amp; Budget 2026'!$A$2:$EJ$49,37,FALSE),0)</f>
        <v>0</v>
      </c>
      <c r="R8" s="84" t="str">
        <f t="shared" si="6"/>
        <v>***</v>
      </c>
      <c r="S8" s="78"/>
      <c r="T8" s="78">
        <f>+IFERROR(VLOOKUP($A8,'Goals &amp; Budget 2026'!$A$2:$EJ$49,38,FALSE),0)</f>
        <v>0</v>
      </c>
      <c r="U8" s="84" t="str">
        <f t="shared" si="7"/>
        <v>***</v>
      </c>
      <c r="V8" s="78"/>
      <c r="W8" s="78">
        <f>+IFERROR(VLOOKUP($A8,'Goals &amp; Budget 2026'!$A$2:$EJ$49,39,FALSE),0)</f>
        <v>0</v>
      </c>
      <c r="X8" s="231" t="str">
        <f t="shared" si="8"/>
        <v>***</v>
      </c>
      <c r="Y8" s="78"/>
      <c r="Z8" s="78">
        <f>+IFERROR(VLOOKUP($A8,'Goals &amp; Budget 2026'!$A$2:$EJ$49,40,FALSE),0)</f>
        <v>0</v>
      </c>
      <c r="AA8" s="84" t="str">
        <f t="shared" si="9"/>
        <v>***</v>
      </c>
      <c r="AB8" s="78"/>
      <c r="AC8" s="78">
        <f>+IFERROR(VLOOKUP($A8,'Goals &amp; Budget 2026'!$A$2:$EJ$49,41,FALSE),0)</f>
        <v>0</v>
      </c>
      <c r="AD8" s="84" t="str">
        <f t="shared" si="10"/>
        <v>***</v>
      </c>
      <c r="AE8" s="78"/>
      <c r="AF8" s="78">
        <f>+IFERROR(VLOOKUP($A8,'Goals &amp; Budget 2026'!$A$2:$EJ$49,42,FALSE),0)</f>
        <v>0</v>
      </c>
      <c r="AG8" s="231" t="str">
        <f t="shared" si="11"/>
        <v>***</v>
      </c>
      <c r="AH8" s="78"/>
      <c r="AI8" s="78">
        <f>+IFERROR(VLOOKUP($A8,'Goals &amp; Budget 2026'!$A$2:$EJ$49,43,FALSE),0)</f>
        <v>0</v>
      </c>
      <c r="AJ8" s="84" t="str">
        <f t="shared" si="12"/>
        <v>***</v>
      </c>
      <c r="AK8" s="78"/>
      <c r="AL8" s="78">
        <f>+IFERROR(VLOOKUP($A8,'Goals &amp; Budget 2026'!$A$2:$EJ$49,44,FALSE),0)</f>
        <v>0</v>
      </c>
      <c r="AM8" s="84" t="str">
        <f t="shared" si="13"/>
        <v>***</v>
      </c>
      <c r="AN8" s="78"/>
      <c r="AO8" s="78">
        <f>+IFERROR(VLOOKUP($A8,'Goals &amp; Budget 2026'!$A$2:$EJ$49,45,FALSE),0)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7">
        <f t="shared" si="0"/>
        <v>0</v>
      </c>
      <c r="E9" s="78">
        <f t="shared" si="1"/>
        <v>0</v>
      </c>
      <c r="F9" s="231" t="str">
        <f t="shared" si="2"/>
        <v>***</v>
      </c>
      <c r="G9" s="78"/>
      <c r="H9" s="78">
        <f>+IFERROR(VLOOKUP($A9,'Goals &amp; Budget 2026'!$A$2:$EJ$49,34,FALSE),0)</f>
        <v>0</v>
      </c>
      <c r="I9" s="84" t="str">
        <f t="shared" si="3"/>
        <v>***</v>
      </c>
      <c r="J9" s="78"/>
      <c r="K9" s="78">
        <f>+IFERROR(VLOOKUP($A9,'Goals &amp; Budget 2026'!$A$2:$EJ$49,35,FALSE),0)</f>
        <v>0</v>
      </c>
      <c r="L9" s="84" t="str">
        <f t="shared" si="4"/>
        <v>***</v>
      </c>
      <c r="M9" s="78"/>
      <c r="N9" s="78">
        <f>+IFERROR(VLOOKUP($A9,'Goals &amp; Budget 2026'!$A$2:$EJ$49,36,FALSE),0)</f>
        <v>0</v>
      </c>
      <c r="O9" s="231" t="str">
        <f t="shared" si="5"/>
        <v>***</v>
      </c>
      <c r="P9" s="78"/>
      <c r="Q9" s="78">
        <f>+IFERROR(VLOOKUP($A9,'Goals &amp; Budget 2026'!$A$2:$EJ$49,37,FALSE),0)</f>
        <v>0</v>
      </c>
      <c r="R9" s="84" t="str">
        <f t="shared" si="6"/>
        <v>***</v>
      </c>
      <c r="S9" s="78"/>
      <c r="T9" s="78">
        <f>+IFERROR(VLOOKUP($A9,'Goals &amp; Budget 2026'!$A$2:$EJ$49,38,FALSE),0)</f>
        <v>0</v>
      </c>
      <c r="U9" s="84" t="str">
        <f t="shared" si="7"/>
        <v>***</v>
      </c>
      <c r="V9" s="78"/>
      <c r="W9" s="78">
        <f>+IFERROR(VLOOKUP($A9,'Goals &amp; Budget 2026'!$A$2:$EJ$49,39,FALSE),0)</f>
        <v>0</v>
      </c>
      <c r="X9" s="231" t="str">
        <f t="shared" si="8"/>
        <v>***</v>
      </c>
      <c r="Y9" s="78"/>
      <c r="Z9" s="78">
        <f>+IFERROR(VLOOKUP($A9,'Goals &amp; Budget 2026'!$A$2:$EJ$49,40,FALSE),0)</f>
        <v>0</v>
      </c>
      <c r="AA9" s="84" t="str">
        <f t="shared" si="9"/>
        <v>***</v>
      </c>
      <c r="AB9" s="78"/>
      <c r="AC9" s="78">
        <f>+IFERROR(VLOOKUP($A9,'Goals &amp; Budget 2026'!$A$2:$EJ$49,41,FALSE),0)</f>
        <v>0</v>
      </c>
      <c r="AD9" s="84" t="str">
        <f t="shared" si="10"/>
        <v>***</v>
      </c>
      <c r="AE9" s="78"/>
      <c r="AF9" s="78">
        <f>+IFERROR(VLOOKUP($A9,'Goals &amp; Budget 2026'!$A$2:$EJ$49,42,FALSE),0)</f>
        <v>0</v>
      </c>
      <c r="AG9" s="231" t="str">
        <f t="shared" si="11"/>
        <v>***</v>
      </c>
      <c r="AH9" s="78"/>
      <c r="AI9" s="78">
        <f>+IFERROR(VLOOKUP($A9,'Goals &amp; Budget 2026'!$A$2:$EJ$49,43,FALSE),0)</f>
        <v>0</v>
      </c>
      <c r="AJ9" s="84" t="str">
        <f t="shared" si="12"/>
        <v>***</v>
      </c>
      <c r="AK9" s="78"/>
      <c r="AL9" s="78">
        <f>+IFERROR(VLOOKUP($A9,'Goals &amp; Budget 2026'!$A$2:$EJ$49,44,FALSE),0)</f>
        <v>0</v>
      </c>
      <c r="AM9" s="84" t="str">
        <f t="shared" si="13"/>
        <v>***</v>
      </c>
      <c r="AN9" s="78"/>
      <c r="AO9" s="78">
        <f>+IFERROR(VLOOKUP($A9,'Goals &amp; Budget 2026'!$A$2:$EJ$49,45,FALSE),0)</f>
        <v>0</v>
      </c>
      <c r="AP9" s="85" t="str">
        <f t="shared" si="14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7">
        <f t="shared" si="0"/>
        <v>0</v>
      </c>
      <c r="E10" s="78">
        <f t="shared" si="1"/>
        <v>0</v>
      </c>
      <c r="F10" s="231" t="str">
        <f t="shared" si="2"/>
        <v>***</v>
      </c>
      <c r="G10" s="78"/>
      <c r="H10" s="78">
        <f>+IFERROR(VLOOKUP($A10,'Goals &amp; Budget 2026'!$A$2:$EJ$49,34,FALSE),0)</f>
        <v>0</v>
      </c>
      <c r="I10" s="84" t="str">
        <f t="shared" si="3"/>
        <v>***</v>
      </c>
      <c r="J10" s="78"/>
      <c r="K10" s="78">
        <f>+IFERROR(VLOOKUP($A10,'Goals &amp; Budget 2026'!$A$2:$EJ$49,35,FALSE),0)</f>
        <v>0</v>
      </c>
      <c r="L10" s="84" t="str">
        <f t="shared" si="4"/>
        <v>***</v>
      </c>
      <c r="M10" s="78"/>
      <c r="N10" s="78">
        <f>+IFERROR(VLOOKUP($A10,'Goals &amp; Budget 2026'!$A$2:$EJ$49,36,FALSE),0)</f>
        <v>0</v>
      </c>
      <c r="O10" s="231" t="str">
        <f t="shared" si="5"/>
        <v>***</v>
      </c>
      <c r="P10" s="78"/>
      <c r="Q10" s="78">
        <f>+IFERROR(VLOOKUP($A10,'Goals &amp; Budget 2026'!$A$2:$EJ$49,37,FALSE),0)</f>
        <v>0</v>
      </c>
      <c r="R10" s="84" t="str">
        <f t="shared" si="6"/>
        <v>***</v>
      </c>
      <c r="S10" s="78"/>
      <c r="T10" s="78">
        <f>+IFERROR(VLOOKUP($A10,'Goals &amp; Budget 2026'!$A$2:$EJ$49,38,FALSE),0)</f>
        <v>0</v>
      </c>
      <c r="U10" s="84" t="str">
        <f t="shared" si="7"/>
        <v>***</v>
      </c>
      <c r="V10" s="78"/>
      <c r="W10" s="78">
        <f>+IFERROR(VLOOKUP($A10,'Goals &amp; Budget 2026'!$A$2:$EJ$49,39,FALSE),0)</f>
        <v>0</v>
      </c>
      <c r="X10" s="231" t="str">
        <f t="shared" si="8"/>
        <v>***</v>
      </c>
      <c r="Y10" s="78"/>
      <c r="Z10" s="78">
        <f>+IFERROR(VLOOKUP($A10,'Goals &amp; Budget 2026'!$A$2:$EJ$49,40,FALSE),0)</f>
        <v>0</v>
      </c>
      <c r="AA10" s="84" t="str">
        <f t="shared" si="9"/>
        <v>***</v>
      </c>
      <c r="AB10" s="78"/>
      <c r="AC10" s="78">
        <f>+IFERROR(VLOOKUP($A10,'Goals &amp; Budget 2026'!$A$2:$EJ$49,41,FALSE),0)</f>
        <v>0</v>
      </c>
      <c r="AD10" s="84" t="str">
        <f t="shared" si="10"/>
        <v>***</v>
      </c>
      <c r="AE10" s="78"/>
      <c r="AF10" s="78">
        <f>+IFERROR(VLOOKUP($A10,'Goals &amp; Budget 2026'!$A$2:$EJ$49,42,FALSE),0)</f>
        <v>0</v>
      </c>
      <c r="AG10" s="231" t="str">
        <f t="shared" si="11"/>
        <v>***</v>
      </c>
      <c r="AH10" s="78"/>
      <c r="AI10" s="78">
        <f>+IFERROR(VLOOKUP($A10,'Goals &amp; Budget 2026'!$A$2:$EJ$49,43,FALSE),0)</f>
        <v>0</v>
      </c>
      <c r="AJ10" s="84" t="str">
        <f t="shared" si="12"/>
        <v>***</v>
      </c>
      <c r="AK10" s="78"/>
      <c r="AL10" s="78">
        <f>+IFERROR(VLOOKUP($A10,'Goals &amp; Budget 2026'!$A$2:$EJ$49,44,FALSE),0)</f>
        <v>0</v>
      </c>
      <c r="AM10" s="84" t="str">
        <f t="shared" si="13"/>
        <v>***</v>
      </c>
      <c r="AN10" s="78"/>
      <c r="AO10" s="78">
        <f>+IFERROR(VLOOKUP($A10,'Goals &amp; Budget 2026'!$A$2:$EJ$49,45,FALSE),0)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7">
        <f t="shared" si="0"/>
        <v>0</v>
      </c>
      <c r="E11" s="78">
        <f t="shared" si="1"/>
        <v>0</v>
      </c>
      <c r="F11" s="231" t="str">
        <f t="shared" si="2"/>
        <v>***</v>
      </c>
      <c r="G11" s="78"/>
      <c r="H11" s="78">
        <f>+IFERROR(VLOOKUP($A11,'Goals &amp; Budget 2026'!$A$2:$EJ$49,34,FALSE),0)</f>
        <v>0</v>
      </c>
      <c r="I11" s="84" t="str">
        <f t="shared" si="3"/>
        <v>***</v>
      </c>
      <c r="J11" s="78"/>
      <c r="K11" s="78">
        <f>+IFERROR(VLOOKUP($A11,'Goals &amp; Budget 2026'!$A$2:$EJ$49,35,FALSE),0)</f>
        <v>0</v>
      </c>
      <c r="L11" s="84" t="str">
        <f t="shared" si="4"/>
        <v>***</v>
      </c>
      <c r="M11" s="78"/>
      <c r="N11" s="78">
        <f>+IFERROR(VLOOKUP($A11,'Goals &amp; Budget 2026'!$A$2:$EJ$49,36,FALSE),0)</f>
        <v>0</v>
      </c>
      <c r="O11" s="231" t="str">
        <f t="shared" si="5"/>
        <v>***</v>
      </c>
      <c r="P11" s="78"/>
      <c r="Q11" s="78">
        <f>+IFERROR(VLOOKUP($A11,'Goals &amp; Budget 2026'!$A$2:$EJ$49,37,FALSE),0)</f>
        <v>0</v>
      </c>
      <c r="R11" s="84" t="str">
        <f t="shared" si="6"/>
        <v>***</v>
      </c>
      <c r="S11" s="78"/>
      <c r="T11" s="78">
        <f>+IFERROR(VLOOKUP($A11,'Goals &amp; Budget 2026'!$A$2:$EJ$49,38,FALSE),0)</f>
        <v>0</v>
      </c>
      <c r="U11" s="84" t="str">
        <f t="shared" si="7"/>
        <v>***</v>
      </c>
      <c r="V11" s="78"/>
      <c r="W11" s="78">
        <f>+IFERROR(VLOOKUP($A11,'Goals &amp; Budget 2026'!$A$2:$EJ$49,39,FALSE),0)</f>
        <v>0</v>
      </c>
      <c r="X11" s="231" t="str">
        <f t="shared" si="8"/>
        <v>***</v>
      </c>
      <c r="Y11" s="78"/>
      <c r="Z11" s="78">
        <f>+IFERROR(VLOOKUP($A11,'Goals &amp; Budget 2026'!$A$2:$EJ$49,40,FALSE),0)</f>
        <v>0</v>
      </c>
      <c r="AA11" s="84" t="str">
        <f t="shared" si="9"/>
        <v>***</v>
      </c>
      <c r="AB11" s="78"/>
      <c r="AC11" s="78">
        <f>+IFERROR(VLOOKUP($A11,'Goals &amp; Budget 2026'!$A$2:$EJ$49,41,FALSE),0)</f>
        <v>0</v>
      </c>
      <c r="AD11" s="84" t="str">
        <f t="shared" si="10"/>
        <v>***</v>
      </c>
      <c r="AE11" s="78"/>
      <c r="AF11" s="78">
        <f>+IFERROR(VLOOKUP($A11,'Goals &amp; Budget 2026'!$A$2:$EJ$49,42,FALSE),0)</f>
        <v>0</v>
      </c>
      <c r="AG11" s="231" t="str">
        <f t="shared" si="11"/>
        <v>***</v>
      </c>
      <c r="AH11" s="78"/>
      <c r="AI11" s="78">
        <f>+IFERROR(VLOOKUP($A11,'Goals &amp; Budget 2026'!$A$2:$EJ$49,43,FALSE),0)</f>
        <v>0</v>
      </c>
      <c r="AJ11" s="84" t="str">
        <f t="shared" si="12"/>
        <v>***</v>
      </c>
      <c r="AK11" s="78"/>
      <c r="AL11" s="78">
        <f>+IFERROR(VLOOKUP($A11,'Goals &amp; Budget 2026'!$A$2:$EJ$49,44,FALSE),0)</f>
        <v>0</v>
      </c>
      <c r="AM11" s="84" t="str">
        <f t="shared" si="13"/>
        <v>***</v>
      </c>
      <c r="AN11" s="78"/>
      <c r="AO11" s="78">
        <f>+IFERROR(VLOOKUP($A11,'Goals &amp; Budget 2026'!$A$2:$EJ$49,45,FALSE),0)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7">
        <f t="shared" si="0"/>
        <v>0</v>
      </c>
      <c r="E12" s="78">
        <f t="shared" si="1"/>
        <v>0</v>
      </c>
      <c r="F12" s="231" t="str">
        <f t="shared" si="2"/>
        <v>***</v>
      </c>
      <c r="G12" s="78"/>
      <c r="H12" s="78">
        <f>+IFERROR(VLOOKUP($A12,'Goals &amp; Budget 2026'!$A$2:$EJ$49,34,FALSE),0)</f>
        <v>0</v>
      </c>
      <c r="I12" s="84" t="str">
        <f t="shared" si="3"/>
        <v>***</v>
      </c>
      <c r="J12" s="78"/>
      <c r="K12" s="78">
        <f>+IFERROR(VLOOKUP($A12,'Goals &amp; Budget 2026'!$A$2:$EJ$49,35,FALSE),0)</f>
        <v>0</v>
      </c>
      <c r="L12" s="84" t="str">
        <f t="shared" si="4"/>
        <v>***</v>
      </c>
      <c r="M12" s="78"/>
      <c r="N12" s="78">
        <f>+IFERROR(VLOOKUP($A12,'Goals &amp; Budget 2026'!$A$2:$EJ$49,36,FALSE),0)</f>
        <v>0</v>
      </c>
      <c r="O12" s="231" t="str">
        <f t="shared" si="5"/>
        <v>***</v>
      </c>
      <c r="P12" s="78"/>
      <c r="Q12" s="78">
        <f>+IFERROR(VLOOKUP($A12,'Goals &amp; Budget 2026'!$A$2:$EJ$49,37,FALSE),0)</f>
        <v>0</v>
      </c>
      <c r="R12" s="84" t="str">
        <f t="shared" si="6"/>
        <v>***</v>
      </c>
      <c r="S12" s="78"/>
      <c r="T12" s="78">
        <f>+IFERROR(VLOOKUP($A12,'Goals &amp; Budget 2026'!$A$2:$EJ$49,38,FALSE),0)</f>
        <v>0</v>
      </c>
      <c r="U12" s="84" t="str">
        <f t="shared" si="7"/>
        <v>***</v>
      </c>
      <c r="V12" s="78"/>
      <c r="W12" s="78">
        <f>+IFERROR(VLOOKUP($A12,'Goals &amp; Budget 2026'!$A$2:$EJ$49,39,FALSE),0)</f>
        <v>0</v>
      </c>
      <c r="X12" s="231" t="str">
        <f t="shared" si="8"/>
        <v>***</v>
      </c>
      <c r="Y12" s="78"/>
      <c r="Z12" s="78">
        <f>+IFERROR(VLOOKUP($A12,'Goals &amp; Budget 2026'!$A$2:$EJ$49,40,FALSE),0)</f>
        <v>0</v>
      </c>
      <c r="AA12" s="84" t="str">
        <f t="shared" si="9"/>
        <v>***</v>
      </c>
      <c r="AB12" s="78"/>
      <c r="AC12" s="78">
        <f>+IFERROR(VLOOKUP($A12,'Goals &amp; Budget 2026'!$A$2:$EJ$49,41,FALSE),0)</f>
        <v>0</v>
      </c>
      <c r="AD12" s="84" t="str">
        <f t="shared" si="10"/>
        <v>***</v>
      </c>
      <c r="AE12" s="78"/>
      <c r="AF12" s="78">
        <f>+IFERROR(VLOOKUP($A12,'Goals &amp; Budget 2026'!$A$2:$EJ$49,42,FALSE),0)</f>
        <v>0</v>
      </c>
      <c r="AG12" s="231" t="str">
        <f t="shared" si="11"/>
        <v>***</v>
      </c>
      <c r="AH12" s="78"/>
      <c r="AI12" s="78">
        <f>+IFERROR(VLOOKUP($A12,'Goals &amp; Budget 2026'!$A$2:$EJ$49,43,FALSE),0)</f>
        <v>0</v>
      </c>
      <c r="AJ12" s="84" t="str">
        <f t="shared" si="12"/>
        <v>***</v>
      </c>
      <c r="AK12" s="78"/>
      <c r="AL12" s="78">
        <f>+IFERROR(VLOOKUP($A12,'Goals &amp; Budget 2026'!$A$2:$EJ$49,44,FALSE),0)</f>
        <v>0</v>
      </c>
      <c r="AM12" s="84" t="str">
        <f t="shared" si="13"/>
        <v>***</v>
      </c>
      <c r="AN12" s="78"/>
      <c r="AO12" s="78">
        <f>+IFERROR(VLOOKUP($A12,'Goals &amp; Budget 2026'!$A$2:$EJ$49,45,FALSE),0)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7">
        <f t="shared" si="0"/>
        <v>0</v>
      </c>
      <c r="E13" s="78">
        <f t="shared" si="1"/>
        <v>0</v>
      </c>
      <c r="F13" s="231" t="str">
        <f t="shared" si="2"/>
        <v>***</v>
      </c>
      <c r="G13" s="78"/>
      <c r="H13" s="78">
        <f>+IFERROR(VLOOKUP($A13,'Goals &amp; Budget 2026'!$A$2:$EJ$49,34,FALSE),0)</f>
        <v>0</v>
      </c>
      <c r="I13" s="84" t="str">
        <f t="shared" si="3"/>
        <v>***</v>
      </c>
      <c r="J13" s="78"/>
      <c r="K13" s="78">
        <f>+IFERROR(VLOOKUP($A13,'Goals &amp; Budget 2026'!$A$2:$EJ$49,35,FALSE),0)</f>
        <v>0</v>
      </c>
      <c r="L13" s="84" t="str">
        <f t="shared" si="4"/>
        <v>***</v>
      </c>
      <c r="M13" s="78"/>
      <c r="N13" s="78">
        <f>+IFERROR(VLOOKUP($A13,'Goals &amp; Budget 2026'!$A$2:$EJ$49,36,FALSE),0)</f>
        <v>0</v>
      </c>
      <c r="O13" s="231" t="str">
        <f t="shared" si="5"/>
        <v>***</v>
      </c>
      <c r="P13" s="78"/>
      <c r="Q13" s="78">
        <f>+IFERROR(VLOOKUP($A13,'Goals &amp; Budget 2026'!$A$2:$EJ$49,37,FALSE),0)</f>
        <v>0</v>
      </c>
      <c r="R13" s="84" t="str">
        <f t="shared" si="6"/>
        <v>***</v>
      </c>
      <c r="S13" s="78"/>
      <c r="T13" s="78">
        <f>+IFERROR(VLOOKUP($A13,'Goals &amp; Budget 2026'!$A$2:$EJ$49,38,FALSE),0)</f>
        <v>0</v>
      </c>
      <c r="U13" s="84" t="str">
        <f t="shared" si="7"/>
        <v>***</v>
      </c>
      <c r="V13" s="78"/>
      <c r="W13" s="78">
        <f>+IFERROR(VLOOKUP($A13,'Goals &amp; Budget 2026'!$A$2:$EJ$49,39,FALSE),0)</f>
        <v>0</v>
      </c>
      <c r="X13" s="231" t="str">
        <f t="shared" si="8"/>
        <v>***</v>
      </c>
      <c r="Y13" s="78"/>
      <c r="Z13" s="78">
        <f>+IFERROR(VLOOKUP($A13,'Goals &amp; Budget 2026'!$A$2:$EJ$49,40,FALSE),0)</f>
        <v>0</v>
      </c>
      <c r="AA13" s="84" t="str">
        <f t="shared" si="9"/>
        <v>***</v>
      </c>
      <c r="AB13" s="78"/>
      <c r="AC13" s="78">
        <f>+IFERROR(VLOOKUP($A13,'Goals &amp; Budget 2026'!$A$2:$EJ$49,41,FALSE),0)</f>
        <v>0</v>
      </c>
      <c r="AD13" s="84" t="str">
        <f t="shared" si="10"/>
        <v>***</v>
      </c>
      <c r="AE13" s="78"/>
      <c r="AF13" s="78">
        <f>+IFERROR(VLOOKUP($A13,'Goals &amp; Budget 2026'!$A$2:$EJ$49,42,FALSE),0)</f>
        <v>0</v>
      </c>
      <c r="AG13" s="231" t="str">
        <f t="shared" si="11"/>
        <v>***</v>
      </c>
      <c r="AH13" s="78"/>
      <c r="AI13" s="78">
        <f>+IFERROR(VLOOKUP($A13,'Goals &amp; Budget 2026'!$A$2:$EJ$49,43,FALSE),0)</f>
        <v>0</v>
      </c>
      <c r="AJ13" s="84" t="str">
        <f t="shared" si="12"/>
        <v>***</v>
      </c>
      <c r="AK13" s="78"/>
      <c r="AL13" s="78">
        <f>+IFERROR(VLOOKUP($A13,'Goals &amp; Budget 2026'!$A$2:$EJ$49,44,FALSE),0)</f>
        <v>0</v>
      </c>
      <c r="AM13" s="84" t="str">
        <f t="shared" si="13"/>
        <v>***</v>
      </c>
      <c r="AN13" s="78"/>
      <c r="AO13" s="78">
        <f>+IFERROR(VLOOKUP($A13,'Goals &amp; Budget 2026'!$A$2:$EJ$49,45,FALSE),0)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7">
        <f t="shared" si="0"/>
        <v>0</v>
      </c>
      <c r="E14" s="78">
        <f t="shared" si="1"/>
        <v>0</v>
      </c>
      <c r="F14" s="231" t="str">
        <f t="shared" si="2"/>
        <v>***</v>
      </c>
      <c r="G14" s="78"/>
      <c r="H14" s="78">
        <f>+IFERROR(VLOOKUP($A14,'Goals &amp; Budget 2026'!$A$2:$EJ$49,34,FALSE),0)</f>
        <v>0</v>
      </c>
      <c r="I14" s="84" t="str">
        <f t="shared" si="3"/>
        <v>***</v>
      </c>
      <c r="J14" s="78"/>
      <c r="K14" s="78">
        <f>+IFERROR(VLOOKUP($A14,'Goals &amp; Budget 2026'!$A$2:$EJ$49,35,FALSE),0)</f>
        <v>0</v>
      </c>
      <c r="L14" s="84" t="str">
        <f t="shared" si="4"/>
        <v>***</v>
      </c>
      <c r="M14" s="78"/>
      <c r="N14" s="78">
        <f>+IFERROR(VLOOKUP($A14,'Goals &amp; Budget 2026'!$A$2:$EJ$49,36,FALSE),0)</f>
        <v>0</v>
      </c>
      <c r="O14" s="231" t="str">
        <f t="shared" si="5"/>
        <v>***</v>
      </c>
      <c r="P14" s="78"/>
      <c r="Q14" s="78">
        <f>+IFERROR(VLOOKUP($A14,'Goals &amp; Budget 2026'!$A$2:$EJ$49,37,FALSE),0)</f>
        <v>0</v>
      </c>
      <c r="R14" s="84" t="str">
        <f t="shared" si="6"/>
        <v>***</v>
      </c>
      <c r="S14" s="78"/>
      <c r="T14" s="78">
        <f>+IFERROR(VLOOKUP($A14,'Goals &amp; Budget 2026'!$A$2:$EJ$49,38,FALSE),0)</f>
        <v>0</v>
      </c>
      <c r="U14" s="84" t="str">
        <f t="shared" si="7"/>
        <v>***</v>
      </c>
      <c r="V14" s="78"/>
      <c r="W14" s="78">
        <f>+IFERROR(VLOOKUP($A14,'Goals &amp; Budget 2026'!$A$2:$EJ$49,39,FALSE),0)</f>
        <v>0</v>
      </c>
      <c r="X14" s="231" t="str">
        <f t="shared" si="8"/>
        <v>***</v>
      </c>
      <c r="Y14" s="78"/>
      <c r="Z14" s="78">
        <f>+IFERROR(VLOOKUP($A14,'Goals &amp; Budget 2026'!$A$2:$EJ$49,40,FALSE),0)</f>
        <v>0</v>
      </c>
      <c r="AA14" s="84" t="str">
        <f t="shared" si="9"/>
        <v>***</v>
      </c>
      <c r="AB14" s="78"/>
      <c r="AC14" s="78">
        <f>+IFERROR(VLOOKUP($A14,'Goals &amp; Budget 2026'!$A$2:$EJ$49,41,FALSE),0)</f>
        <v>0</v>
      </c>
      <c r="AD14" s="84" t="str">
        <f t="shared" si="10"/>
        <v>***</v>
      </c>
      <c r="AE14" s="78"/>
      <c r="AF14" s="78">
        <f>+IFERROR(VLOOKUP($A14,'Goals &amp; Budget 2026'!$A$2:$EJ$49,42,FALSE),0)</f>
        <v>0</v>
      </c>
      <c r="AG14" s="231" t="str">
        <f t="shared" si="11"/>
        <v>***</v>
      </c>
      <c r="AH14" s="78"/>
      <c r="AI14" s="78">
        <f>+IFERROR(VLOOKUP($A14,'Goals &amp; Budget 2026'!$A$2:$EJ$49,43,FALSE),0)</f>
        <v>0</v>
      </c>
      <c r="AJ14" s="84" t="str">
        <f t="shared" si="12"/>
        <v>***</v>
      </c>
      <c r="AK14" s="78"/>
      <c r="AL14" s="78">
        <f>+IFERROR(VLOOKUP($A14,'Goals &amp; Budget 2026'!$A$2:$EJ$49,44,FALSE),0)</f>
        <v>0</v>
      </c>
      <c r="AM14" s="84" t="str">
        <f t="shared" si="13"/>
        <v>***</v>
      </c>
      <c r="AN14" s="78"/>
      <c r="AO14" s="78">
        <f>+IFERROR(VLOOKUP($A14,'Goals &amp; Budget 2026'!$A$2:$EJ$49,45,FALSE),0)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7">
        <f t="shared" si="0"/>
        <v>0</v>
      </c>
      <c r="E15" s="78">
        <f t="shared" si="1"/>
        <v>0</v>
      </c>
      <c r="F15" s="231" t="str">
        <f t="shared" si="2"/>
        <v>***</v>
      </c>
      <c r="G15" s="78"/>
      <c r="H15" s="78">
        <f>+IFERROR(VLOOKUP($A15,'Goals &amp; Budget 2026'!$A$2:$EJ$49,34,FALSE),0)</f>
        <v>0</v>
      </c>
      <c r="I15" s="84" t="str">
        <f t="shared" si="3"/>
        <v>***</v>
      </c>
      <c r="J15" s="78"/>
      <c r="K15" s="78">
        <f>+IFERROR(VLOOKUP($A15,'Goals &amp; Budget 2026'!$A$2:$EJ$49,35,FALSE),0)</f>
        <v>0</v>
      </c>
      <c r="L15" s="84" t="str">
        <f t="shared" si="4"/>
        <v>***</v>
      </c>
      <c r="M15" s="78"/>
      <c r="N15" s="78">
        <f>+IFERROR(VLOOKUP($A15,'Goals &amp; Budget 2026'!$A$2:$EJ$49,36,FALSE),0)</f>
        <v>0</v>
      </c>
      <c r="O15" s="231" t="str">
        <f t="shared" si="5"/>
        <v>***</v>
      </c>
      <c r="P15" s="78"/>
      <c r="Q15" s="78">
        <f>+IFERROR(VLOOKUP($A15,'Goals &amp; Budget 2026'!$A$2:$EJ$49,37,FALSE),0)</f>
        <v>0</v>
      </c>
      <c r="R15" s="84" t="str">
        <f t="shared" si="6"/>
        <v>***</v>
      </c>
      <c r="S15" s="78"/>
      <c r="T15" s="78">
        <f>+IFERROR(VLOOKUP($A15,'Goals &amp; Budget 2026'!$A$2:$EJ$49,38,FALSE),0)</f>
        <v>0</v>
      </c>
      <c r="U15" s="84" t="str">
        <f t="shared" si="7"/>
        <v>***</v>
      </c>
      <c r="V15" s="78"/>
      <c r="W15" s="78">
        <f>+IFERROR(VLOOKUP($A15,'Goals &amp; Budget 2026'!$A$2:$EJ$49,39,FALSE),0)</f>
        <v>0</v>
      </c>
      <c r="X15" s="231" t="str">
        <f t="shared" si="8"/>
        <v>***</v>
      </c>
      <c r="Y15" s="78"/>
      <c r="Z15" s="78">
        <f>+IFERROR(VLOOKUP($A15,'Goals &amp; Budget 2026'!$A$2:$EJ$49,40,FALSE),0)</f>
        <v>0</v>
      </c>
      <c r="AA15" s="84" t="str">
        <f t="shared" si="9"/>
        <v>***</v>
      </c>
      <c r="AB15" s="78"/>
      <c r="AC15" s="78">
        <f>+IFERROR(VLOOKUP($A15,'Goals &amp; Budget 2026'!$A$2:$EJ$49,41,FALSE),0)</f>
        <v>0</v>
      </c>
      <c r="AD15" s="84" t="str">
        <f t="shared" si="10"/>
        <v>***</v>
      </c>
      <c r="AE15" s="78"/>
      <c r="AF15" s="78">
        <f>+IFERROR(VLOOKUP($A15,'Goals &amp; Budget 2026'!$A$2:$EJ$49,42,FALSE),0)</f>
        <v>0</v>
      </c>
      <c r="AG15" s="231" t="str">
        <f t="shared" si="11"/>
        <v>***</v>
      </c>
      <c r="AH15" s="78"/>
      <c r="AI15" s="78">
        <f>+IFERROR(VLOOKUP($A15,'Goals &amp; Budget 2026'!$A$2:$EJ$49,43,FALSE),0)</f>
        <v>0</v>
      </c>
      <c r="AJ15" s="84" t="str">
        <f t="shared" si="12"/>
        <v>***</v>
      </c>
      <c r="AK15" s="78"/>
      <c r="AL15" s="78">
        <f>+IFERROR(VLOOKUP($A15,'Goals &amp; Budget 2026'!$A$2:$EJ$49,44,FALSE),0)</f>
        <v>0</v>
      </c>
      <c r="AM15" s="84" t="str">
        <f t="shared" si="13"/>
        <v>***</v>
      </c>
      <c r="AN15" s="78"/>
      <c r="AO15" s="78">
        <f>+IFERROR(VLOOKUP($A15,'Goals &amp; Budget 2026'!$A$2:$EJ$49,45,FALSE),0)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7">
        <f t="shared" si="0"/>
        <v>0</v>
      </c>
      <c r="E16" s="78">
        <f t="shared" si="1"/>
        <v>0</v>
      </c>
      <c r="F16" s="231" t="str">
        <f t="shared" si="2"/>
        <v>***</v>
      </c>
      <c r="G16" s="78"/>
      <c r="H16" s="78">
        <f>+IFERROR(VLOOKUP($A16,'Goals &amp; Budget 2026'!$A$2:$EJ$49,34,FALSE),0)</f>
        <v>0</v>
      </c>
      <c r="I16" s="84" t="str">
        <f t="shared" si="3"/>
        <v>***</v>
      </c>
      <c r="J16" s="78"/>
      <c r="K16" s="78">
        <f>+IFERROR(VLOOKUP($A16,'Goals &amp; Budget 2026'!$A$2:$EJ$49,35,FALSE),0)</f>
        <v>0</v>
      </c>
      <c r="L16" s="84" t="str">
        <f t="shared" si="4"/>
        <v>***</v>
      </c>
      <c r="M16" s="78"/>
      <c r="N16" s="78">
        <f>+IFERROR(VLOOKUP($A16,'Goals &amp; Budget 2026'!$A$2:$EJ$49,36,FALSE),0)</f>
        <v>0</v>
      </c>
      <c r="O16" s="231" t="str">
        <f t="shared" si="5"/>
        <v>***</v>
      </c>
      <c r="P16" s="78"/>
      <c r="Q16" s="78">
        <f>+IFERROR(VLOOKUP($A16,'Goals &amp; Budget 2026'!$A$2:$EJ$49,37,FALSE),0)</f>
        <v>0</v>
      </c>
      <c r="R16" s="84" t="str">
        <f t="shared" si="6"/>
        <v>***</v>
      </c>
      <c r="S16" s="78"/>
      <c r="T16" s="78">
        <f>+IFERROR(VLOOKUP($A16,'Goals &amp; Budget 2026'!$A$2:$EJ$49,38,FALSE),0)</f>
        <v>0</v>
      </c>
      <c r="U16" s="84" t="str">
        <f t="shared" si="7"/>
        <v>***</v>
      </c>
      <c r="V16" s="78"/>
      <c r="W16" s="78">
        <f>+IFERROR(VLOOKUP($A16,'Goals &amp; Budget 2026'!$A$2:$EJ$49,39,FALSE),0)</f>
        <v>0</v>
      </c>
      <c r="X16" s="231" t="str">
        <f t="shared" si="8"/>
        <v>***</v>
      </c>
      <c r="Y16" s="78"/>
      <c r="Z16" s="78">
        <f>+IFERROR(VLOOKUP($A16,'Goals &amp; Budget 2026'!$A$2:$EJ$49,40,FALSE),0)</f>
        <v>0</v>
      </c>
      <c r="AA16" s="84" t="str">
        <f t="shared" si="9"/>
        <v>***</v>
      </c>
      <c r="AB16" s="78"/>
      <c r="AC16" s="78">
        <f>+IFERROR(VLOOKUP($A16,'Goals &amp; Budget 2026'!$A$2:$EJ$49,41,FALSE),0)</f>
        <v>0</v>
      </c>
      <c r="AD16" s="84" t="str">
        <f t="shared" si="10"/>
        <v>***</v>
      </c>
      <c r="AE16" s="78"/>
      <c r="AF16" s="78">
        <f>+IFERROR(VLOOKUP($A16,'Goals &amp; Budget 2026'!$A$2:$EJ$49,42,FALSE),0)</f>
        <v>0</v>
      </c>
      <c r="AG16" s="231" t="str">
        <f t="shared" si="11"/>
        <v>***</v>
      </c>
      <c r="AH16" s="78"/>
      <c r="AI16" s="78">
        <f>+IFERROR(VLOOKUP($A16,'Goals &amp; Budget 2026'!$A$2:$EJ$49,43,FALSE),0)</f>
        <v>0</v>
      </c>
      <c r="AJ16" s="84" t="str">
        <f t="shared" si="12"/>
        <v>***</v>
      </c>
      <c r="AK16" s="78"/>
      <c r="AL16" s="78">
        <f>+IFERROR(VLOOKUP($A16,'Goals &amp; Budget 2026'!$A$2:$EJ$49,44,FALSE),0)</f>
        <v>0</v>
      </c>
      <c r="AM16" s="84" t="str">
        <f t="shared" si="13"/>
        <v>***</v>
      </c>
      <c r="AN16" s="78"/>
      <c r="AO16" s="78">
        <f>+IFERROR(VLOOKUP($A16,'Goals &amp; Budget 2026'!$A$2:$EJ$49,45,FALSE),0)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7">
        <f t="shared" si="0"/>
        <v>0</v>
      </c>
      <c r="E17" s="78">
        <f t="shared" si="1"/>
        <v>0</v>
      </c>
      <c r="F17" s="231" t="str">
        <f t="shared" si="2"/>
        <v>***</v>
      </c>
      <c r="G17" s="78"/>
      <c r="H17" s="78">
        <f>+IFERROR(VLOOKUP($A17,'Goals &amp; Budget 2026'!$A$2:$EJ$49,34,FALSE),0)</f>
        <v>0</v>
      </c>
      <c r="I17" s="84" t="str">
        <f t="shared" si="3"/>
        <v>***</v>
      </c>
      <c r="J17" s="78"/>
      <c r="K17" s="78">
        <f>+IFERROR(VLOOKUP($A17,'Goals &amp; Budget 2026'!$A$2:$EJ$49,35,FALSE),0)</f>
        <v>0</v>
      </c>
      <c r="L17" s="84" t="str">
        <f t="shared" si="4"/>
        <v>***</v>
      </c>
      <c r="M17" s="78"/>
      <c r="N17" s="78">
        <f>+IFERROR(VLOOKUP($A17,'Goals &amp; Budget 2026'!$A$2:$EJ$49,36,FALSE),0)</f>
        <v>0</v>
      </c>
      <c r="O17" s="231" t="str">
        <f t="shared" si="5"/>
        <v>***</v>
      </c>
      <c r="P17" s="78"/>
      <c r="Q17" s="78">
        <f>+IFERROR(VLOOKUP($A17,'Goals &amp; Budget 2026'!$A$2:$EJ$49,37,FALSE),0)</f>
        <v>0</v>
      </c>
      <c r="R17" s="84" t="str">
        <f t="shared" si="6"/>
        <v>***</v>
      </c>
      <c r="S17" s="78"/>
      <c r="T17" s="78">
        <f>+IFERROR(VLOOKUP($A17,'Goals &amp; Budget 2026'!$A$2:$EJ$49,38,FALSE),0)</f>
        <v>0</v>
      </c>
      <c r="U17" s="84" t="str">
        <f t="shared" si="7"/>
        <v>***</v>
      </c>
      <c r="V17" s="78"/>
      <c r="W17" s="78">
        <f>+IFERROR(VLOOKUP($A17,'Goals &amp; Budget 2026'!$A$2:$EJ$49,39,FALSE),0)</f>
        <v>0</v>
      </c>
      <c r="X17" s="231" t="str">
        <f t="shared" si="8"/>
        <v>***</v>
      </c>
      <c r="Y17" s="78"/>
      <c r="Z17" s="78">
        <f>+IFERROR(VLOOKUP($A17,'Goals &amp; Budget 2026'!$A$2:$EJ$49,40,FALSE),0)</f>
        <v>0</v>
      </c>
      <c r="AA17" s="84" t="str">
        <f t="shared" si="9"/>
        <v>***</v>
      </c>
      <c r="AB17" s="78"/>
      <c r="AC17" s="78">
        <f>+IFERROR(VLOOKUP($A17,'Goals &amp; Budget 2026'!$A$2:$EJ$49,41,FALSE),0)</f>
        <v>0</v>
      </c>
      <c r="AD17" s="84" t="str">
        <f t="shared" si="10"/>
        <v>***</v>
      </c>
      <c r="AE17" s="78"/>
      <c r="AF17" s="78">
        <f>+IFERROR(VLOOKUP($A17,'Goals &amp; Budget 2026'!$A$2:$EJ$49,42,FALSE),0)</f>
        <v>0</v>
      </c>
      <c r="AG17" s="231" t="str">
        <f t="shared" si="11"/>
        <v>***</v>
      </c>
      <c r="AH17" s="78"/>
      <c r="AI17" s="78">
        <f>+IFERROR(VLOOKUP($A17,'Goals &amp; Budget 2026'!$A$2:$EJ$49,43,FALSE),0)</f>
        <v>0</v>
      </c>
      <c r="AJ17" s="84" t="str">
        <f t="shared" si="12"/>
        <v>***</v>
      </c>
      <c r="AK17" s="78"/>
      <c r="AL17" s="78">
        <f>+IFERROR(VLOOKUP($A17,'Goals &amp; Budget 2026'!$A$2:$EJ$49,44,FALSE),0)</f>
        <v>0</v>
      </c>
      <c r="AM17" s="84" t="str">
        <f t="shared" si="13"/>
        <v>***</v>
      </c>
      <c r="AN17" s="78"/>
      <c r="AO17" s="78">
        <f>+IFERROR(VLOOKUP($A17,'Goals &amp; Budget 2026'!$A$2:$EJ$49,45,FALSE),0)</f>
        <v>0</v>
      </c>
      <c r="AP17" s="85" t="str">
        <f t="shared" si="14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7">
        <f t="shared" si="0"/>
        <v>0</v>
      </c>
      <c r="E18" s="78">
        <f t="shared" si="1"/>
        <v>0</v>
      </c>
      <c r="F18" s="231" t="str">
        <f t="shared" si="2"/>
        <v>***</v>
      </c>
      <c r="G18" s="78"/>
      <c r="H18" s="78">
        <f>+IFERROR(VLOOKUP($A18,'Goals &amp; Budget 2026'!$A$2:$EJ$49,34,FALSE),0)</f>
        <v>0</v>
      </c>
      <c r="I18" s="84" t="str">
        <f t="shared" si="3"/>
        <v>***</v>
      </c>
      <c r="J18" s="78"/>
      <c r="K18" s="78">
        <f>+IFERROR(VLOOKUP($A18,'Goals &amp; Budget 2026'!$A$2:$EJ$49,35,FALSE),0)</f>
        <v>0</v>
      </c>
      <c r="L18" s="84" t="str">
        <f t="shared" si="4"/>
        <v>***</v>
      </c>
      <c r="M18" s="78"/>
      <c r="N18" s="78">
        <f>+IFERROR(VLOOKUP($A18,'Goals &amp; Budget 2026'!$A$2:$EJ$49,36,FALSE),0)</f>
        <v>0</v>
      </c>
      <c r="O18" s="231" t="str">
        <f t="shared" si="5"/>
        <v>***</v>
      </c>
      <c r="P18" s="78"/>
      <c r="Q18" s="78">
        <f>+IFERROR(VLOOKUP($A18,'Goals &amp; Budget 2026'!$A$2:$EJ$49,37,FALSE),0)</f>
        <v>0</v>
      </c>
      <c r="R18" s="84" t="str">
        <f t="shared" si="6"/>
        <v>***</v>
      </c>
      <c r="S18" s="78"/>
      <c r="T18" s="78">
        <f>+IFERROR(VLOOKUP($A18,'Goals &amp; Budget 2026'!$A$2:$EJ$49,38,FALSE),0)</f>
        <v>0</v>
      </c>
      <c r="U18" s="84" t="str">
        <f t="shared" si="7"/>
        <v>***</v>
      </c>
      <c r="V18" s="78"/>
      <c r="W18" s="78">
        <f>+IFERROR(VLOOKUP($A18,'Goals &amp; Budget 2026'!$A$2:$EJ$49,39,FALSE),0)</f>
        <v>0</v>
      </c>
      <c r="X18" s="231" t="str">
        <f t="shared" si="8"/>
        <v>***</v>
      </c>
      <c r="Y18" s="78"/>
      <c r="Z18" s="78">
        <f>+IFERROR(VLOOKUP($A18,'Goals &amp; Budget 2026'!$A$2:$EJ$49,40,FALSE),0)</f>
        <v>0</v>
      </c>
      <c r="AA18" s="84" t="str">
        <f t="shared" si="9"/>
        <v>***</v>
      </c>
      <c r="AB18" s="78"/>
      <c r="AC18" s="78">
        <f>+IFERROR(VLOOKUP($A18,'Goals &amp; Budget 2026'!$A$2:$EJ$49,41,FALSE),0)</f>
        <v>0</v>
      </c>
      <c r="AD18" s="84" t="str">
        <f t="shared" si="10"/>
        <v>***</v>
      </c>
      <c r="AE18" s="78"/>
      <c r="AF18" s="78">
        <f>+IFERROR(VLOOKUP($A18,'Goals &amp; Budget 2026'!$A$2:$EJ$49,42,FALSE),0)</f>
        <v>0</v>
      </c>
      <c r="AG18" s="231" t="str">
        <f t="shared" si="11"/>
        <v>***</v>
      </c>
      <c r="AH18" s="78"/>
      <c r="AI18" s="78">
        <f>+IFERROR(VLOOKUP($A18,'Goals &amp; Budget 2026'!$A$2:$EJ$49,43,FALSE),0)</f>
        <v>0</v>
      </c>
      <c r="AJ18" s="84" t="str">
        <f t="shared" si="12"/>
        <v>***</v>
      </c>
      <c r="AK18" s="78"/>
      <c r="AL18" s="78">
        <f>+IFERROR(VLOOKUP($A18,'Goals &amp; Budget 2026'!$A$2:$EJ$49,44,FALSE),0)</f>
        <v>0</v>
      </c>
      <c r="AM18" s="84" t="str">
        <f t="shared" si="13"/>
        <v>***</v>
      </c>
      <c r="AN18" s="78"/>
      <c r="AO18" s="78">
        <f>+IFERROR(VLOOKUP($A18,'Goals &amp; Budget 2026'!$A$2:$EJ$49,45,FALSE),0)</f>
        <v>0</v>
      </c>
      <c r="AP18" s="85" t="str">
        <f t="shared" si="14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7">
        <f t="shared" si="0"/>
        <v>0</v>
      </c>
      <c r="E19" s="78">
        <f t="shared" si="1"/>
        <v>0</v>
      </c>
      <c r="F19" s="231" t="str">
        <f t="shared" si="2"/>
        <v>***</v>
      </c>
      <c r="G19" s="78"/>
      <c r="H19" s="78">
        <f>+IFERROR(VLOOKUP($A19,'Goals &amp; Budget 2026'!$A$2:$EJ$49,34,FALSE),0)</f>
        <v>0</v>
      </c>
      <c r="I19" s="84" t="str">
        <f t="shared" si="3"/>
        <v>***</v>
      </c>
      <c r="J19" s="78"/>
      <c r="K19" s="78">
        <f>+IFERROR(VLOOKUP($A19,'Goals &amp; Budget 2026'!$A$2:$EJ$49,35,FALSE),0)</f>
        <v>0</v>
      </c>
      <c r="L19" s="84" t="str">
        <f t="shared" si="4"/>
        <v>***</v>
      </c>
      <c r="M19" s="78"/>
      <c r="N19" s="78">
        <f>+IFERROR(VLOOKUP($A19,'Goals &amp; Budget 2026'!$A$2:$EJ$49,36,FALSE),0)</f>
        <v>0</v>
      </c>
      <c r="O19" s="231" t="str">
        <f t="shared" si="5"/>
        <v>***</v>
      </c>
      <c r="P19" s="78"/>
      <c r="Q19" s="78">
        <f>+IFERROR(VLOOKUP($A19,'Goals &amp; Budget 2026'!$A$2:$EJ$49,37,FALSE),0)</f>
        <v>0</v>
      </c>
      <c r="R19" s="84" t="str">
        <f t="shared" si="6"/>
        <v>***</v>
      </c>
      <c r="S19" s="78"/>
      <c r="T19" s="78">
        <f>+IFERROR(VLOOKUP($A19,'Goals &amp; Budget 2026'!$A$2:$EJ$49,38,FALSE),0)</f>
        <v>0</v>
      </c>
      <c r="U19" s="84" t="str">
        <f t="shared" si="7"/>
        <v>***</v>
      </c>
      <c r="V19" s="78"/>
      <c r="W19" s="78">
        <f>+IFERROR(VLOOKUP($A19,'Goals &amp; Budget 2026'!$A$2:$EJ$49,39,FALSE),0)</f>
        <v>0</v>
      </c>
      <c r="X19" s="231" t="str">
        <f t="shared" si="8"/>
        <v>***</v>
      </c>
      <c r="Y19" s="78"/>
      <c r="Z19" s="78">
        <f>+IFERROR(VLOOKUP($A19,'Goals &amp; Budget 2026'!$A$2:$EJ$49,40,FALSE),0)</f>
        <v>0</v>
      </c>
      <c r="AA19" s="84" t="str">
        <f t="shared" si="9"/>
        <v>***</v>
      </c>
      <c r="AB19" s="78"/>
      <c r="AC19" s="78">
        <f>+IFERROR(VLOOKUP($A19,'Goals &amp; Budget 2026'!$A$2:$EJ$49,41,FALSE),0)</f>
        <v>0</v>
      </c>
      <c r="AD19" s="84" t="str">
        <f t="shared" si="10"/>
        <v>***</v>
      </c>
      <c r="AE19" s="78"/>
      <c r="AF19" s="78">
        <f>+IFERROR(VLOOKUP($A19,'Goals &amp; Budget 2026'!$A$2:$EJ$49,42,FALSE),0)</f>
        <v>0</v>
      </c>
      <c r="AG19" s="231" t="str">
        <f t="shared" si="11"/>
        <v>***</v>
      </c>
      <c r="AH19" s="78"/>
      <c r="AI19" s="78">
        <f>+IFERROR(VLOOKUP($A19,'Goals &amp; Budget 2026'!$A$2:$EJ$49,43,FALSE),0)</f>
        <v>0</v>
      </c>
      <c r="AJ19" s="84" t="str">
        <f t="shared" si="12"/>
        <v>***</v>
      </c>
      <c r="AK19" s="78"/>
      <c r="AL19" s="78">
        <f>+IFERROR(VLOOKUP($A19,'Goals &amp; Budget 2026'!$A$2:$EJ$49,44,FALSE),0)</f>
        <v>0</v>
      </c>
      <c r="AM19" s="84" t="str">
        <f t="shared" si="13"/>
        <v>***</v>
      </c>
      <c r="AN19" s="78"/>
      <c r="AO19" s="78">
        <f>+IFERROR(VLOOKUP($A19,'Goals &amp; Budget 2026'!$A$2:$EJ$49,45,FALSE),0)</f>
        <v>0</v>
      </c>
      <c r="AP19" s="85" t="str">
        <f t="shared" si="14"/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7">
        <f t="shared" si="0"/>
        <v>0</v>
      </c>
      <c r="E20" s="78">
        <f t="shared" si="1"/>
        <v>0</v>
      </c>
      <c r="F20" s="231" t="str">
        <f t="shared" si="2"/>
        <v>***</v>
      </c>
      <c r="G20" s="78"/>
      <c r="H20" s="78">
        <f>+IFERROR(VLOOKUP($A20,'Goals &amp; Budget 2026'!$A$2:$EJ$49,34,FALSE),0)</f>
        <v>0</v>
      </c>
      <c r="I20" s="84" t="str">
        <f t="shared" si="3"/>
        <v>***</v>
      </c>
      <c r="J20" s="78"/>
      <c r="K20" s="78">
        <f>+IFERROR(VLOOKUP($A20,'Goals &amp; Budget 2026'!$A$2:$EJ$49,35,FALSE),0)</f>
        <v>0</v>
      </c>
      <c r="L20" s="84" t="str">
        <f t="shared" si="4"/>
        <v>***</v>
      </c>
      <c r="M20" s="78"/>
      <c r="N20" s="78">
        <f>+IFERROR(VLOOKUP($A20,'Goals &amp; Budget 2026'!$A$2:$EJ$49,36,FALSE),0)</f>
        <v>0</v>
      </c>
      <c r="O20" s="231" t="str">
        <f t="shared" si="5"/>
        <v>***</v>
      </c>
      <c r="P20" s="78"/>
      <c r="Q20" s="78">
        <f>+IFERROR(VLOOKUP($A20,'Goals &amp; Budget 2026'!$A$2:$EJ$49,37,FALSE),0)</f>
        <v>0</v>
      </c>
      <c r="R20" s="84" t="str">
        <f t="shared" si="6"/>
        <v>***</v>
      </c>
      <c r="S20" s="78"/>
      <c r="T20" s="78">
        <f>+IFERROR(VLOOKUP($A20,'Goals &amp; Budget 2026'!$A$2:$EJ$49,38,FALSE),0)</f>
        <v>0</v>
      </c>
      <c r="U20" s="84" t="str">
        <f t="shared" si="7"/>
        <v>***</v>
      </c>
      <c r="V20" s="78"/>
      <c r="W20" s="78">
        <f>+IFERROR(VLOOKUP($A20,'Goals &amp; Budget 2026'!$A$2:$EJ$49,39,FALSE),0)</f>
        <v>0</v>
      </c>
      <c r="X20" s="231" t="str">
        <f t="shared" si="8"/>
        <v>***</v>
      </c>
      <c r="Y20" s="78"/>
      <c r="Z20" s="78">
        <f>+IFERROR(VLOOKUP($A20,'Goals &amp; Budget 2026'!$A$2:$EJ$49,40,FALSE),0)</f>
        <v>0</v>
      </c>
      <c r="AA20" s="84" t="str">
        <f t="shared" si="9"/>
        <v>***</v>
      </c>
      <c r="AB20" s="78"/>
      <c r="AC20" s="78">
        <f>+IFERROR(VLOOKUP($A20,'Goals &amp; Budget 2026'!$A$2:$EJ$49,41,FALSE),0)</f>
        <v>0</v>
      </c>
      <c r="AD20" s="84" t="str">
        <f t="shared" si="10"/>
        <v>***</v>
      </c>
      <c r="AE20" s="78"/>
      <c r="AF20" s="78">
        <f>+IFERROR(VLOOKUP($A20,'Goals &amp; Budget 2026'!$A$2:$EJ$49,42,FALSE),0)</f>
        <v>0</v>
      </c>
      <c r="AG20" s="231" t="str">
        <f t="shared" si="11"/>
        <v>***</v>
      </c>
      <c r="AH20" s="78"/>
      <c r="AI20" s="78">
        <f>+IFERROR(VLOOKUP($A20,'Goals &amp; Budget 2026'!$A$2:$EJ$49,43,FALSE),0)</f>
        <v>0</v>
      </c>
      <c r="AJ20" s="84" t="str">
        <f t="shared" si="12"/>
        <v>***</v>
      </c>
      <c r="AK20" s="78"/>
      <c r="AL20" s="78">
        <f>+IFERROR(VLOOKUP($A20,'Goals &amp; Budget 2026'!$A$2:$EJ$49,44,FALSE),0)</f>
        <v>0</v>
      </c>
      <c r="AM20" s="84" t="str">
        <f t="shared" si="13"/>
        <v>***</v>
      </c>
      <c r="AN20" s="78"/>
      <c r="AO20" s="78">
        <f>+IFERROR(VLOOKUP($A20,'Goals &amp; Budget 2026'!$A$2:$EJ$49,45,FALSE),0)</f>
        <v>0</v>
      </c>
      <c r="AP20" s="85" t="str">
        <f t="shared" si="14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7">
        <f t="shared" si="0"/>
        <v>0</v>
      </c>
      <c r="E21" s="78">
        <f t="shared" si="1"/>
        <v>0</v>
      </c>
      <c r="F21" s="231" t="str">
        <f t="shared" si="2"/>
        <v>***</v>
      </c>
      <c r="G21" s="78"/>
      <c r="H21" s="78">
        <f>+IFERROR(VLOOKUP($A21,'Goals &amp; Budget 2026'!$A$2:$EJ$49,34,FALSE),0)</f>
        <v>0</v>
      </c>
      <c r="I21" s="84" t="str">
        <f t="shared" si="3"/>
        <v>***</v>
      </c>
      <c r="J21" s="78"/>
      <c r="K21" s="78">
        <f>+IFERROR(VLOOKUP($A21,'Goals &amp; Budget 2026'!$A$2:$EJ$49,35,FALSE),0)</f>
        <v>0</v>
      </c>
      <c r="L21" s="84" t="str">
        <f t="shared" si="4"/>
        <v>***</v>
      </c>
      <c r="M21" s="78"/>
      <c r="N21" s="78">
        <f>+IFERROR(VLOOKUP($A21,'Goals &amp; Budget 2026'!$A$2:$EJ$49,36,FALSE),0)</f>
        <v>0</v>
      </c>
      <c r="O21" s="231" t="str">
        <f t="shared" si="5"/>
        <v>***</v>
      </c>
      <c r="P21" s="78"/>
      <c r="Q21" s="78">
        <f>+IFERROR(VLOOKUP($A21,'Goals &amp; Budget 2026'!$A$2:$EJ$49,37,FALSE),0)</f>
        <v>0</v>
      </c>
      <c r="R21" s="84" t="str">
        <f t="shared" si="6"/>
        <v>***</v>
      </c>
      <c r="S21" s="78"/>
      <c r="T21" s="78">
        <f>+IFERROR(VLOOKUP($A21,'Goals &amp; Budget 2026'!$A$2:$EJ$49,38,FALSE),0)</f>
        <v>0</v>
      </c>
      <c r="U21" s="84" t="str">
        <f t="shared" si="7"/>
        <v>***</v>
      </c>
      <c r="V21" s="78"/>
      <c r="W21" s="78">
        <f>+IFERROR(VLOOKUP($A21,'Goals &amp; Budget 2026'!$A$2:$EJ$49,39,FALSE),0)</f>
        <v>0</v>
      </c>
      <c r="X21" s="231" t="str">
        <f t="shared" si="8"/>
        <v>***</v>
      </c>
      <c r="Y21" s="78"/>
      <c r="Z21" s="78">
        <f>+IFERROR(VLOOKUP($A21,'Goals &amp; Budget 2026'!$A$2:$EJ$49,40,FALSE),0)</f>
        <v>0</v>
      </c>
      <c r="AA21" s="84" t="str">
        <f t="shared" si="9"/>
        <v>***</v>
      </c>
      <c r="AB21" s="78"/>
      <c r="AC21" s="78">
        <f>+IFERROR(VLOOKUP($A21,'Goals &amp; Budget 2026'!$A$2:$EJ$49,41,FALSE),0)</f>
        <v>0</v>
      </c>
      <c r="AD21" s="84" t="str">
        <f t="shared" si="10"/>
        <v>***</v>
      </c>
      <c r="AE21" s="78"/>
      <c r="AF21" s="78">
        <f>+IFERROR(VLOOKUP($A21,'Goals &amp; Budget 2026'!$A$2:$EJ$49,42,FALSE),0)</f>
        <v>0</v>
      </c>
      <c r="AG21" s="231" t="str">
        <f t="shared" si="11"/>
        <v>***</v>
      </c>
      <c r="AH21" s="78"/>
      <c r="AI21" s="78">
        <f>+IFERROR(VLOOKUP($A21,'Goals &amp; Budget 2026'!$A$2:$EJ$49,43,FALSE),0)</f>
        <v>0</v>
      </c>
      <c r="AJ21" s="84" t="str">
        <f t="shared" si="12"/>
        <v>***</v>
      </c>
      <c r="AK21" s="78"/>
      <c r="AL21" s="78">
        <f>+IFERROR(VLOOKUP($A21,'Goals &amp; Budget 2026'!$A$2:$EJ$49,44,FALSE),0)</f>
        <v>0</v>
      </c>
      <c r="AM21" s="84" t="str">
        <f t="shared" si="13"/>
        <v>***</v>
      </c>
      <c r="AN21" s="78"/>
      <c r="AO21" s="78">
        <f>+IFERROR(VLOOKUP($A21,'Goals &amp; Budget 2026'!$A$2:$EJ$49,45,FALSE),0)</f>
        <v>0</v>
      </c>
      <c r="AP21" s="85" t="str">
        <f t="shared" si="14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7">
        <f t="shared" si="0"/>
        <v>0</v>
      </c>
      <c r="E22" s="78">
        <f t="shared" si="1"/>
        <v>0</v>
      </c>
      <c r="F22" s="231" t="str">
        <f t="shared" si="2"/>
        <v>***</v>
      </c>
      <c r="G22" s="78"/>
      <c r="H22" s="78">
        <f>+IFERROR(VLOOKUP($A22,'Goals &amp; Budget 2026'!$A$2:$EJ$49,34,FALSE),0)</f>
        <v>0</v>
      </c>
      <c r="I22" s="84" t="str">
        <f t="shared" si="3"/>
        <v>***</v>
      </c>
      <c r="J22" s="78"/>
      <c r="K22" s="78">
        <f>+IFERROR(VLOOKUP($A22,'Goals &amp; Budget 2026'!$A$2:$EJ$49,35,FALSE),0)</f>
        <v>0</v>
      </c>
      <c r="L22" s="84" t="str">
        <f t="shared" si="4"/>
        <v>***</v>
      </c>
      <c r="M22" s="78"/>
      <c r="N22" s="78">
        <f>+IFERROR(VLOOKUP($A22,'Goals &amp; Budget 2026'!$A$2:$EJ$49,36,FALSE),0)</f>
        <v>0</v>
      </c>
      <c r="O22" s="231" t="str">
        <f t="shared" si="5"/>
        <v>***</v>
      </c>
      <c r="P22" s="78"/>
      <c r="Q22" s="78">
        <f>+IFERROR(VLOOKUP($A22,'Goals &amp; Budget 2026'!$A$2:$EJ$49,37,FALSE),0)</f>
        <v>0</v>
      </c>
      <c r="R22" s="84" t="str">
        <f t="shared" si="6"/>
        <v>***</v>
      </c>
      <c r="S22" s="78"/>
      <c r="T22" s="78">
        <f>+IFERROR(VLOOKUP($A22,'Goals &amp; Budget 2026'!$A$2:$EJ$49,38,FALSE),0)</f>
        <v>0</v>
      </c>
      <c r="U22" s="84" t="str">
        <f t="shared" si="7"/>
        <v>***</v>
      </c>
      <c r="V22" s="78"/>
      <c r="W22" s="78">
        <f>+IFERROR(VLOOKUP($A22,'Goals &amp; Budget 2026'!$A$2:$EJ$49,39,FALSE),0)</f>
        <v>0</v>
      </c>
      <c r="X22" s="231" t="str">
        <f t="shared" si="8"/>
        <v>***</v>
      </c>
      <c r="Y22" s="78"/>
      <c r="Z22" s="78">
        <f>+IFERROR(VLOOKUP($A22,'Goals &amp; Budget 2026'!$A$2:$EJ$49,40,FALSE),0)</f>
        <v>0</v>
      </c>
      <c r="AA22" s="84" t="str">
        <f t="shared" si="9"/>
        <v>***</v>
      </c>
      <c r="AB22" s="78"/>
      <c r="AC22" s="78">
        <f>+IFERROR(VLOOKUP($A22,'Goals &amp; Budget 2026'!$A$2:$EJ$49,41,FALSE),0)</f>
        <v>0</v>
      </c>
      <c r="AD22" s="84" t="str">
        <f t="shared" si="10"/>
        <v>***</v>
      </c>
      <c r="AE22" s="78"/>
      <c r="AF22" s="78">
        <f>+IFERROR(VLOOKUP($A22,'Goals &amp; Budget 2026'!$A$2:$EJ$49,42,FALSE),0)</f>
        <v>0</v>
      </c>
      <c r="AG22" s="231" t="str">
        <f t="shared" si="11"/>
        <v>***</v>
      </c>
      <c r="AH22" s="78"/>
      <c r="AI22" s="78">
        <f>+IFERROR(VLOOKUP($A22,'Goals &amp; Budget 2026'!$A$2:$EJ$49,43,FALSE),0)</f>
        <v>0</v>
      </c>
      <c r="AJ22" s="84" t="str">
        <f t="shared" si="12"/>
        <v>***</v>
      </c>
      <c r="AK22" s="78"/>
      <c r="AL22" s="78">
        <f>+IFERROR(VLOOKUP($A22,'Goals &amp; Budget 2026'!$A$2:$EJ$49,44,FALSE),0)</f>
        <v>0</v>
      </c>
      <c r="AM22" s="84" t="str">
        <f t="shared" si="13"/>
        <v>***</v>
      </c>
      <c r="AN22" s="78"/>
      <c r="AO22" s="78">
        <f>+IFERROR(VLOOKUP($A22,'Goals &amp; Budget 2026'!$A$2:$EJ$49,45,FALSE),0)</f>
        <v>0</v>
      </c>
      <c r="AP22" s="85" t="str">
        <f t="shared" si="14"/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7">
        <f t="shared" si="0"/>
        <v>0</v>
      </c>
      <c r="E23" s="78">
        <f t="shared" si="1"/>
        <v>0</v>
      </c>
      <c r="F23" s="231" t="str">
        <f t="shared" si="2"/>
        <v>***</v>
      </c>
      <c r="G23" s="78"/>
      <c r="H23" s="78">
        <f>+IFERROR(VLOOKUP($A23,'Goals &amp; Budget 2026'!$A$2:$EJ$49,34,FALSE),0)</f>
        <v>0</v>
      </c>
      <c r="I23" s="84" t="str">
        <f t="shared" si="3"/>
        <v>***</v>
      </c>
      <c r="J23" s="78"/>
      <c r="K23" s="78">
        <f>+IFERROR(VLOOKUP($A23,'Goals &amp; Budget 2026'!$A$2:$EJ$49,35,FALSE),0)</f>
        <v>0</v>
      </c>
      <c r="L23" s="84" t="str">
        <f t="shared" si="4"/>
        <v>***</v>
      </c>
      <c r="M23" s="78"/>
      <c r="N23" s="78">
        <f>+IFERROR(VLOOKUP($A23,'Goals &amp; Budget 2026'!$A$2:$EJ$49,36,FALSE),0)</f>
        <v>0</v>
      </c>
      <c r="O23" s="231" t="str">
        <f t="shared" si="5"/>
        <v>***</v>
      </c>
      <c r="P23" s="78"/>
      <c r="Q23" s="78">
        <f>+IFERROR(VLOOKUP($A23,'Goals &amp; Budget 2026'!$A$2:$EJ$49,37,FALSE),0)</f>
        <v>0</v>
      </c>
      <c r="R23" s="84" t="str">
        <f t="shared" si="6"/>
        <v>***</v>
      </c>
      <c r="S23" s="78"/>
      <c r="T23" s="78">
        <f>+IFERROR(VLOOKUP($A23,'Goals &amp; Budget 2026'!$A$2:$EJ$49,38,FALSE),0)</f>
        <v>0</v>
      </c>
      <c r="U23" s="84" t="str">
        <f t="shared" si="7"/>
        <v>***</v>
      </c>
      <c r="V23" s="78"/>
      <c r="W23" s="78">
        <f>+IFERROR(VLOOKUP($A23,'Goals &amp; Budget 2026'!$A$2:$EJ$49,39,FALSE),0)</f>
        <v>0</v>
      </c>
      <c r="X23" s="231" t="str">
        <f t="shared" si="8"/>
        <v>***</v>
      </c>
      <c r="Y23" s="78"/>
      <c r="Z23" s="78">
        <f>+IFERROR(VLOOKUP($A23,'Goals &amp; Budget 2026'!$A$2:$EJ$49,40,FALSE),0)</f>
        <v>0</v>
      </c>
      <c r="AA23" s="84" t="str">
        <f t="shared" si="9"/>
        <v>***</v>
      </c>
      <c r="AB23" s="78"/>
      <c r="AC23" s="78">
        <f>+IFERROR(VLOOKUP($A23,'Goals &amp; Budget 2026'!$A$2:$EJ$49,41,FALSE),0)</f>
        <v>0</v>
      </c>
      <c r="AD23" s="84" t="str">
        <f t="shared" si="10"/>
        <v>***</v>
      </c>
      <c r="AE23" s="78"/>
      <c r="AF23" s="78">
        <f>+IFERROR(VLOOKUP($A23,'Goals &amp; Budget 2026'!$A$2:$EJ$49,42,FALSE),0)</f>
        <v>0</v>
      </c>
      <c r="AG23" s="231" t="str">
        <f t="shared" si="11"/>
        <v>***</v>
      </c>
      <c r="AH23" s="78"/>
      <c r="AI23" s="78">
        <f>+IFERROR(VLOOKUP($A23,'Goals &amp; Budget 2026'!$A$2:$EJ$49,43,FALSE),0)</f>
        <v>0</v>
      </c>
      <c r="AJ23" s="84" t="str">
        <f t="shared" si="12"/>
        <v>***</v>
      </c>
      <c r="AK23" s="78"/>
      <c r="AL23" s="78">
        <f>+IFERROR(VLOOKUP($A23,'Goals &amp; Budget 2026'!$A$2:$EJ$49,44,FALSE),0)</f>
        <v>0</v>
      </c>
      <c r="AM23" s="84" t="str">
        <f t="shared" si="13"/>
        <v>***</v>
      </c>
      <c r="AN23" s="78"/>
      <c r="AO23" s="78">
        <f>+IFERROR(VLOOKUP($A23,'Goals &amp; Budget 2026'!$A$2:$EJ$49,45,FALSE),0)</f>
        <v>0</v>
      </c>
      <c r="AP23" s="85" t="str">
        <f t="shared" si="14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7">
        <f t="shared" si="0"/>
        <v>0</v>
      </c>
      <c r="E24" s="78">
        <f t="shared" si="1"/>
        <v>0</v>
      </c>
      <c r="F24" s="231" t="str">
        <f t="shared" si="2"/>
        <v>***</v>
      </c>
      <c r="G24" s="78"/>
      <c r="H24" s="78">
        <f>+IFERROR(VLOOKUP($A24,'Goals &amp; Budget 2026'!$A$2:$EJ$49,34,FALSE),0)</f>
        <v>0</v>
      </c>
      <c r="I24" s="84" t="str">
        <f t="shared" si="3"/>
        <v>***</v>
      </c>
      <c r="J24" s="78"/>
      <c r="K24" s="78">
        <f>+IFERROR(VLOOKUP($A24,'Goals &amp; Budget 2026'!$A$2:$EJ$49,35,FALSE),0)</f>
        <v>0</v>
      </c>
      <c r="L24" s="84" t="str">
        <f t="shared" si="4"/>
        <v>***</v>
      </c>
      <c r="M24" s="78"/>
      <c r="N24" s="78">
        <f>+IFERROR(VLOOKUP($A24,'Goals &amp; Budget 2026'!$A$2:$EJ$49,36,FALSE),0)</f>
        <v>0</v>
      </c>
      <c r="O24" s="231" t="str">
        <f t="shared" si="5"/>
        <v>***</v>
      </c>
      <c r="P24" s="78"/>
      <c r="Q24" s="78">
        <f>+IFERROR(VLOOKUP($A24,'Goals &amp; Budget 2026'!$A$2:$EJ$49,37,FALSE),0)</f>
        <v>0</v>
      </c>
      <c r="R24" s="84" t="str">
        <f t="shared" si="6"/>
        <v>***</v>
      </c>
      <c r="S24" s="78"/>
      <c r="T24" s="78">
        <f>+IFERROR(VLOOKUP($A24,'Goals &amp; Budget 2026'!$A$2:$EJ$49,38,FALSE),0)</f>
        <v>0</v>
      </c>
      <c r="U24" s="84" t="str">
        <f t="shared" si="7"/>
        <v>***</v>
      </c>
      <c r="V24" s="78"/>
      <c r="W24" s="78">
        <f>+IFERROR(VLOOKUP($A24,'Goals &amp; Budget 2026'!$A$2:$EJ$49,39,FALSE),0)</f>
        <v>0</v>
      </c>
      <c r="X24" s="231" t="str">
        <f t="shared" si="8"/>
        <v>***</v>
      </c>
      <c r="Y24" s="78"/>
      <c r="Z24" s="78">
        <f>+IFERROR(VLOOKUP($A24,'Goals &amp; Budget 2026'!$A$2:$EJ$49,40,FALSE),0)</f>
        <v>0</v>
      </c>
      <c r="AA24" s="84" t="str">
        <f t="shared" si="9"/>
        <v>***</v>
      </c>
      <c r="AB24" s="78"/>
      <c r="AC24" s="78">
        <f>+IFERROR(VLOOKUP($A24,'Goals &amp; Budget 2026'!$A$2:$EJ$49,41,FALSE),0)</f>
        <v>0</v>
      </c>
      <c r="AD24" s="84" t="str">
        <f t="shared" si="10"/>
        <v>***</v>
      </c>
      <c r="AE24" s="78"/>
      <c r="AF24" s="78">
        <f>+IFERROR(VLOOKUP($A24,'Goals &amp; Budget 2026'!$A$2:$EJ$49,42,FALSE),0)</f>
        <v>0</v>
      </c>
      <c r="AG24" s="231" t="str">
        <f t="shared" si="11"/>
        <v>***</v>
      </c>
      <c r="AH24" s="78"/>
      <c r="AI24" s="78">
        <f>+IFERROR(VLOOKUP($A24,'Goals &amp; Budget 2026'!$A$2:$EJ$49,43,FALSE),0)</f>
        <v>0</v>
      </c>
      <c r="AJ24" s="84" t="str">
        <f t="shared" si="12"/>
        <v>***</v>
      </c>
      <c r="AK24" s="78"/>
      <c r="AL24" s="78">
        <f>+IFERROR(VLOOKUP($A24,'Goals &amp; Budget 2026'!$A$2:$EJ$49,44,FALSE),0)</f>
        <v>0</v>
      </c>
      <c r="AM24" s="84" t="str">
        <f t="shared" si="13"/>
        <v>***</v>
      </c>
      <c r="AN24" s="78"/>
      <c r="AO24" s="78">
        <f>+IFERROR(VLOOKUP($A24,'Goals &amp; Budget 2026'!$A$2:$EJ$49,45,FALSE),0)</f>
        <v>0</v>
      </c>
      <c r="AP24" s="85" t="str">
        <f t="shared" si="14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7">
        <f t="shared" si="0"/>
        <v>0</v>
      </c>
      <c r="E25" s="78">
        <f t="shared" si="1"/>
        <v>0</v>
      </c>
      <c r="F25" s="231" t="str">
        <f t="shared" si="2"/>
        <v>***</v>
      </c>
      <c r="G25" s="78"/>
      <c r="H25" s="78">
        <f>+IFERROR(VLOOKUP($A25,'Goals &amp; Budget 2026'!$A$2:$EJ$49,34,FALSE),0)</f>
        <v>0</v>
      </c>
      <c r="I25" s="84" t="str">
        <f t="shared" si="3"/>
        <v>***</v>
      </c>
      <c r="J25" s="78"/>
      <c r="K25" s="78">
        <f>+IFERROR(VLOOKUP($A25,'Goals &amp; Budget 2026'!$A$2:$EJ$49,35,FALSE),0)</f>
        <v>0</v>
      </c>
      <c r="L25" s="84" t="str">
        <f t="shared" si="4"/>
        <v>***</v>
      </c>
      <c r="M25" s="78"/>
      <c r="N25" s="78">
        <f>+IFERROR(VLOOKUP($A25,'Goals &amp; Budget 2026'!$A$2:$EJ$49,36,FALSE),0)</f>
        <v>0</v>
      </c>
      <c r="O25" s="231" t="str">
        <f t="shared" si="5"/>
        <v>***</v>
      </c>
      <c r="P25" s="78"/>
      <c r="Q25" s="78">
        <f>+IFERROR(VLOOKUP($A25,'Goals &amp; Budget 2026'!$A$2:$EJ$49,37,FALSE),0)</f>
        <v>0</v>
      </c>
      <c r="R25" s="84" t="str">
        <f t="shared" si="6"/>
        <v>***</v>
      </c>
      <c r="S25" s="78"/>
      <c r="T25" s="78">
        <f>+IFERROR(VLOOKUP($A25,'Goals &amp; Budget 2026'!$A$2:$EJ$49,38,FALSE),0)</f>
        <v>0</v>
      </c>
      <c r="U25" s="84" t="str">
        <f t="shared" si="7"/>
        <v>***</v>
      </c>
      <c r="V25" s="78"/>
      <c r="W25" s="78">
        <f>+IFERROR(VLOOKUP($A25,'Goals &amp; Budget 2026'!$A$2:$EJ$49,39,FALSE),0)</f>
        <v>0</v>
      </c>
      <c r="X25" s="231" t="str">
        <f t="shared" si="8"/>
        <v>***</v>
      </c>
      <c r="Y25" s="78"/>
      <c r="Z25" s="78">
        <f>+IFERROR(VLOOKUP($A25,'Goals &amp; Budget 2026'!$A$2:$EJ$49,40,FALSE),0)</f>
        <v>0</v>
      </c>
      <c r="AA25" s="84" t="str">
        <f t="shared" si="9"/>
        <v>***</v>
      </c>
      <c r="AB25" s="78"/>
      <c r="AC25" s="78">
        <f>+IFERROR(VLOOKUP($A25,'Goals &amp; Budget 2026'!$A$2:$EJ$49,41,FALSE),0)</f>
        <v>0</v>
      </c>
      <c r="AD25" s="84" t="str">
        <f t="shared" si="10"/>
        <v>***</v>
      </c>
      <c r="AE25" s="78"/>
      <c r="AF25" s="78">
        <f>+IFERROR(VLOOKUP($A25,'Goals &amp; Budget 2026'!$A$2:$EJ$49,42,FALSE),0)</f>
        <v>0</v>
      </c>
      <c r="AG25" s="231" t="str">
        <f t="shared" si="11"/>
        <v>***</v>
      </c>
      <c r="AH25" s="78"/>
      <c r="AI25" s="78">
        <f>+IFERROR(VLOOKUP($A25,'Goals &amp; Budget 2026'!$A$2:$EJ$49,43,FALSE),0)</f>
        <v>0</v>
      </c>
      <c r="AJ25" s="84" t="str">
        <f t="shared" si="12"/>
        <v>***</v>
      </c>
      <c r="AK25" s="78"/>
      <c r="AL25" s="78">
        <f>+IFERROR(VLOOKUP($A25,'Goals &amp; Budget 2026'!$A$2:$EJ$49,44,FALSE),0)</f>
        <v>0</v>
      </c>
      <c r="AM25" s="84" t="str">
        <f t="shared" si="13"/>
        <v>***</v>
      </c>
      <c r="AN25" s="78"/>
      <c r="AO25" s="78">
        <f>+IFERROR(VLOOKUP($A25,'Goals &amp; Budget 2026'!$A$2:$EJ$49,45,FALSE),0)</f>
        <v>0</v>
      </c>
      <c r="AP25" s="85" t="str">
        <f t="shared" si="14"/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77">
        <f t="shared" si="0"/>
        <v>0</v>
      </c>
      <c r="E26" s="78">
        <f t="shared" si="1"/>
        <v>0</v>
      </c>
      <c r="F26" s="231" t="str">
        <f t="shared" si="2"/>
        <v>***</v>
      </c>
      <c r="G26" s="78"/>
      <c r="H26" s="78">
        <f>+IFERROR(VLOOKUP($A26,'Goals &amp; Budget 2026'!$A$2:$EJ$49,34,FALSE),0)</f>
        <v>0</v>
      </c>
      <c r="I26" s="84" t="str">
        <f t="shared" si="3"/>
        <v>***</v>
      </c>
      <c r="J26" s="78"/>
      <c r="K26" s="78">
        <f>+IFERROR(VLOOKUP($A26,'Goals &amp; Budget 2026'!$A$2:$EJ$49,35,FALSE),0)</f>
        <v>0</v>
      </c>
      <c r="L26" s="84" t="str">
        <f t="shared" si="4"/>
        <v>***</v>
      </c>
      <c r="M26" s="78"/>
      <c r="N26" s="78">
        <f>+IFERROR(VLOOKUP($A26,'Goals &amp; Budget 2026'!$A$2:$EJ$49,36,FALSE),0)</f>
        <v>0</v>
      </c>
      <c r="O26" s="231" t="str">
        <f t="shared" si="5"/>
        <v>***</v>
      </c>
      <c r="P26" s="78"/>
      <c r="Q26" s="78">
        <f>+IFERROR(VLOOKUP($A26,'Goals &amp; Budget 2026'!$A$2:$EJ$49,37,FALSE),0)</f>
        <v>0</v>
      </c>
      <c r="R26" s="84" t="str">
        <f t="shared" si="6"/>
        <v>***</v>
      </c>
      <c r="S26" s="78"/>
      <c r="T26" s="78">
        <f>+IFERROR(VLOOKUP($A26,'Goals &amp; Budget 2026'!$A$2:$EJ$49,38,FALSE),0)</f>
        <v>0</v>
      </c>
      <c r="U26" s="84" t="str">
        <f t="shared" si="7"/>
        <v>***</v>
      </c>
      <c r="V26" s="78"/>
      <c r="W26" s="78">
        <f>+IFERROR(VLOOKUP($A26,'Goals &amp; Budget 2026'!$A$2:$EJ$49,39,FALSE),0)</f>
        <v>0</v>
      </c>
      <c r="X26" s="231" t="str">
        <f t="shared" si="8"/>
        <v>***</v>
      </c>
      <c r="Y26" s="78"/>
      <c r="Z26" s="78">
        <f>+IFERROR(VLOOKUP($A26,'Goals &amp; Budget 2026'!$A$2:$EJ$49,40,FALSE),0)</f>
        <v>0</v>
      </c>
      <c r="AA26" s="84" t="str">
        <f t="shared" si="9"/>
        <v>***</v>
      </c>
      <c r="AB26" s="78"/>
      <c r="AC26" s="78">
        <f>+IFERROR(VLOOKUP($A26,'Goals &amp; Budget 2026'!$A$2:$EJ$49,41,FALSE),0)</f>
        <v>0</v>
      </c>
      <c r="AD26" s="84" t="str">
        <f t="shared" si="10"/>
        <v>***</v>
      </c>
      <c r="AE26" s="78"/>
      <c r="AF26" s="78">
        <f>+IFERROR(VLOOKUP($A26,'Goals &amp; Budget 2026'!$A$2:$EJ$49,42,FALSE),0)</f>
        <v>0</v>
      </c>
      <c r="AG26" s="231" t="str">
        <f t="shared" si="11"/>
        <v>***</v>
      </c>
      <c r="AH26" s="78"/>
      <c r="AI26" s="78">
        <f>+IFERROR(VLOOKUP($A26,'Goals &amp; Budget 2026'!$A$2:$EJ$49,43,FALSE),0)</f>
        <v>0</v>
      </c>
      <c r="AJ26" s="84" t="str">
        <f t="shared" si="12"/>
        <v>***</v>
      </c>
      <c r="AK26" s="78"/>
      <c r="AL26" s="78">
        <f>+IFERROR(VLOOKUP($A26,'Goals &amp; Budget 2026'!$A$2:$EJ$49,44,FALSE),0)</f>
        <v>0</v>
      </c>
      <c r="AM26" s="84" t="str">
        <f t="shared" si="13"/>
        <v>***</v>
      </c>
      <c r="AN26" s="78"/>
      <c r="AO26" s="78">
        <f>+IFERROR(VLOOKUP($A26,'Goals &amp; Budget 2026'!$A$2:$EJ$49,45,FALSE),0)</f>
        <v>0</v>
      </c>
      <c r="AP26" s="85" t="str">
        <f t="shared" si="14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77">
        <f t="shared" si="0"/>
        <v>0</v>
      </c>
      <c r="E27" s="78">
        <f t="shared" si="1"/>
        <v>0</v>
      </c>
      <c r="F27" s="231" t="str">
        <f t="shared" si="2"/>
        <v>***</v>
      </c>
      <c r="G27" s="78"/>
      <c r="H27" s="78">
        <f>+IFERROR(VLOOKUP($A27,'Goals &amp; Budget 2026'!$A$2:$EJ$49,34,FALSE),0)</f>
        <v>0</v>
      </c>
      <c r="I27" s="84" t="str">
        <f t="shared" si="3"/>
        <v>***</v>
      </c>
      <c r="J27" s="78"/>
      <c r="K27" s="78">
        <f>+IFERROR(VLOOKUP($A27,'Goals &amp; Budget 2026'!$A$2:$EJ$49,35,FALSE),0)</f>
        <v>0</v>
      </c>
      <c r="L27" s="84" t="str">
        <f t="shared" si="4"/>
        <v>***</v>
      </c>
      <c r="M27" s="78"/>
      <c r="N27" s="78">
        <f>+IFERROR(VLOOKUP($A27,'Goals &amp; Budget 2026'!$A$2:$EJ$49,36,FALSE),0)</f>
        <v>0</v>
      </c>
      <c r="O27" s="231" t="str">
        <f t="shared" si="5"/>
        <v>***</v>
      </c>
      <c r="P27" s="78"/>
      <c r="Q27" s="78">
        <f>+IFERROR(VLOOKUP($A27,'Goals &amp; Budget 2026'!$A$2:$EJ$49,37,FALSE),0)</f>
        <v>0</v>
      </c>
      <c r="R27" s="84" t="str">
        <f t="shared" si="6"/>
        <v>***</v>
      </c>
      <c r="S27" s="78"/>
      <c r="T27" s="78">
        <f>+IFERROR(VLOOKUP($A27,'Goals &amp; Budget 2026'!$A$2:$EJ$49,38,FALSE),0)</f>
        <v>0</v>
      </c>
      <c r="U27" s="84" t="str">
        <f t="shared" si="7"/>
        <v>***</v>
      </c>
      <c r="V27" s="78"/>
      <c r="W27" s="78">
        <f>+IFERROR(VLOOKUP($A27,'Goals &amp; Budget 2026'!$A$2:$EJ$49,39,FALSE),0)</f>
        <v>0</v>
      </c>
      <c r="X27" s="231" t="str">
        <f t="shared" si="8"/>
        <v>***</v>
      </c>
      <c r="Y27" s="78"/>
      <c r="Z27" s="78">
        <f>+IFERROR(VLOOKUP($A27,'Goals &amp; Budget 2026'!$A$2:$EJ$49,40,FALSE),0)</f>
        <v>0</v>
      </c>
      <c r="AA27" s="84" t="str">
        <f t="shared" si="9"/>
        <v>***</v>
      </c>
      <c r="AB27" s="78"/>
      <c r="AC27" s="78">
        <f>+IFERROR(VLOOKUP($A27,'Goals &amp; Budget 2026'!$A$2:$EJ$49,41,FALSE),0)</f>
        <v>0</v>
      </c>
      <c r="AD27" s="84" t="str">
        <f t="shared" si="10"/>
        <v>***</v>
      </c>
      <c r="AE27" s="78"/>
      <c r="AF27" s="78">
        <f>+IFERROR(VLOOKUP($A27,'Goals &amp; Budget 2026'!$A$2:$EJ$49,42,FALSE),0)</f>
        <v>0</v>
      </c>
      <c r="AG27" s="231" t="str">
        <f t="shared" si="11"/>
        <v>***</v>
      </c>
      <c r="AH27" s="78"/>
      <c r="AI27" s="78">
        <f>+IFERROR(VLOOKUP($A27,'Goals &amp; Budget 2026'!$A$2:$EJ$49,43,FALSE),0)</f>
        <v>0</v>
      </c>
      <c r="AJ27" s="84" t="str">
        <f t="shared" si="12"/>
        <v>***</v>
      </c>
      <c r="AK27" s="78"/>
      <c r="AL27" s="78">
        <f>+IFERROR(VLOOKUP($A27,'Goals &amp; Budget 2026'!$A$2:$EJ$49,44,FALSE),0)</f>
        <v>0</v>
      </c>
      <c r="AM27" s="84" t="str">
        <f t="shared" si="13"/>
        <v>***</v>
      </c>
      <c r="AN27" s="78"/>
      <c r="AO27" s="78">
        <f>+IFERROR(VLOOKUP($A27,'Goals &amp; Budget 2026'!$A$2:$EJ$49,45,FALSE),0)</f>
        <v>0</v>
      </c>
      <c r="AP27" s="85" t="str">
        <f t="shared" si="14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77">
        <f t="shared" si="0"/>
        <v>0</v>
      </c>
      <c r="E28" s="78">
        <f t="shared" si="1"/>
        <v>0</v>
      </c>
      <c r="F28" s="231" t="str">
        <f t="shared" si="2"/>
        <v>***</v>
      </c>
      <c r="G28" s="78"/>
      <c r="H28" s="78">
        <f>+IFERROR(VLOOKUP($A28,'Goals &amp; Budget 2026'!$A$2:$EJ$49,34,FALSE),0)</f>
        <v>0</v>
      </c>
      <c r="I28" s="84" t="str">
        <f t="shared" si="3"/>
        <v>***</v>
      </c>
      <c r="J28" s="78"/>
      <c r="K28" s="78">
        <f>+IFERROR(VLOOKUP($A28,'Goals &amp; Budget 2026'!$A$2:$EJ$49,35,FALSE),0)</f>
        <v>0</v>
      </c>
      <c r="L28" s="84" t="str">
        <f t="shared" si="4"/>
        <v>***</v>
      </c>
      <c r="M28" s="78"/>
      <c r="N28" s="78">
        <f>+IFERROR(VLOOKUP($A28,'Goals &amp; Budget 2026'!$A$2:$EJ$49,36,FALSE),0)</f>
        <v>0</v>
      </c>
      <c r="O28" s="231" t="str">
        <f t="shared" si="5"/>
        <v>***</v>
      </c>
      <c r="P28" s="78"/>
      <c r="Q28" s="78">
        <f>+IFERROR(VLOOKUP($A28,'Goals &amp; Budget 2026'!$A$2:$EJ$49,37,FALSE),0)</f>
        <v>0</v>
      </c>
      <c r="R28" s="84" t="str">
        <f t="shared" si="6"/>
        <v>***</v>
      </c>
      <c r="S28" s="78"/>
      <c r="T28" s="78">
        <f>+IFERROR(VLOOKUP($A28,'Goals &amp; Budget 2026'!$A$2:$EJ$49,38,FALSE),0)</f>
        <v>0</v>
      </c>
      <c r="U28" s="84" t="str">
        <f t="shared" si="7"/>
        <v>***</v>
      </c>
      <c r="V28" s="78"/>
      <c r="W28" s="78">
        <f>+IFERROR(VLOOKUP($A28,'Goals &amp; Budget 2026'!$A$2:$EJ$49,39,FALSE),0)</f>
        <v>0</v>
      </c>
      <c r="X28" s="231" t="str">
        <f t="shared" si="8"/>
        <v>***</v>
      </c>
      <c r="Y28" s="78"/>
      <c r="Z28" s="78">
        <f>+IFERROR(VLOOKUP($A28,'Goals &amp; Budget 2026'!$A$2:$EJ$49,40,FALSE),0)</f>
        <v>0</v>
      </c>
      <c r="AA28" s="84" t="str">
        <f t="shared" si="9"/>
        <v>***</v>
      </c>
      <c r="AB28" s="78"/>
      <c r="AC28" s="78">
        <f>+IFERROR(VLOOKUP($A28,'Goals &amp; Budget 2026'!$A$2:$EJ$49,41,FALSE),0)</f>
        <v>0</v>
      </c>
      <c r="AD28" s="84" t="str">
        <f t="shared" si="10"/>
        <v>***</v>
      </c>
      <c r="AE28" s="78"/>
      <c r="AF28" s="78">
        <f>+IFERROR(VLOOKUP($A28,'Goals &amp; Budget 2026'!$A$2:$EJ$49,42,FALSE),0)</f>
        <v>0</v>
      </c>
      <c r="AG28" s="231" t="str">
        <f t="shared" si="11"/>
        <v>***</v>
      </c>
      <c r="AH28" s="78"/>
      <c r="AI28" s="78">
        <f>+IFERROR(VLOOKUP($A28,'Goals &amp; Budget 2026'!$A$2:$EJ$49,43,FALSE),0)</f>
        <v>0</v>
      </c>
      <c r="AJ28" s="84" t="str">
        <f t="shared" si="12"/>
        <v>***</v>
      </c>
      <c r="AK28" s="78"/>
      <c r="AL28" s="78">
        <f>+IFERROR(VLOOKUP($A28,'Goals &amp; Budget 2026'!$A$2:$EJ$49,44,FALSE),0)</f>
        <v>0</v>
      </c>
      <c r="AM28" s="84" t="str">
        <f t="shared" si="13"/>
        <v>***</v>
      </c>
      <c r="AN28" s="78"/>
      <c r="AO28" s="78">
        <f>+IFERROR(VLOOKUP($A28,'Goals &amp; Budget 2026'!$A$2:$EJ$49,45,FALSE),0)</f>
        <v>0</v>
      </c>
      <c r="AP28" s="85" t="str">
        <f t="shared" si="14"/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77">
        <f t="shared" si="0"/>
        <v>0</v>
      </c>
      <c r="E29" s="78">
        <f t="shared" si="1"/>
        <v>0</v>
      </c>
      <c r="F29" s="231" t="str">
        <f t="shared" si="2"/>
        <v>***</v>
      </c>
      <c r="G29" s="78"/>
      <c r="H29" s="78">
        <f>+IFERROR(VLOOKUP($A29,'Goals &amp; Budget 2026'!$A$2:$EJ$49,34,FALSE),0)</f>
        <v>0</v>
      </c>
      <c r="I29" s="84" t="str">
        <f t="shared" si="3"/>
        <v>***</v>
      </c>
      <c r="J29" s="78"/>
      <c r="K29" s="78">
        <f>+IFERROR(VLOOKUP($A29,'Goals &amp; Budget 2026'!$A$2:$EJ$49,35,FALSE),0)</f>
        <v>0</v>
      </c>
      <c r="L29" s="84" t="str">
        <f t="shared" si="4"/>
        <v>***</v>
      </c>
      <c r="M29" s="78"/>
      <c r="N29" s="78">
        <f>+IFERROR(VLOOKUP($A29,'Goals &amp; Budget 2026'!$A$2:$EJ$49,36,FALSE),0)</f>
        <v>0</v>
      </c>
      <c r="O29" s="231" t="str">
        <f t="shared" si="5"/>
        <v>***</v>
      </c>
      <c r="P29" s="78"/>
      <c r="Q29" s="78">
        <f>+IFERROR(VLOOKUP($A29,'Goals &amp; Budget 2026'!$A$2:$EJ$49,37,FALSE),0)</f>
        <v>0</v>
      </c>
      <c r="R29" s="84" t="str">
        <f t="shared" si="6"/>
        <v>***</v>
      </c>
      <c r="S29" s="78"/>
      <c r="T29" s="78">
        <f>+IFERROR(VLOOKUP($A29,'Goals &amp; Budget 2026'!$A$2:$EJ$49,38,FALSE),0)</f>
        <v>0</v>
      </c>
      <c r="U29" s="84" t="str">
        <f t="shared" si="7"/>
        <v>***</v>
      </c>
      <c r="V29" s="78"/>
      <c r="W29" s="78">
        <f>+IFERROR(VLOOKUP($A29,'Goals &amp; Budget 2026'!$A$2:$EJ$49,39,FALSE),0)</f>
        <v>0</v>
      </c>
      <c r="X29" s="231" t="str">
        <f t="shared" si="8"/>
        <v>***</v>
      </c>
      <c r="Y29" s="78"/>
      <c r="Z29" s="78">
        <f>+IFERROR(VLOOKUP($A29,'Goals &amp; Budget 2026'!$A$2:$EJ$49,40,FALSE),0)</f>
        <v>0</v>
      </c>
      <c r="AA29" s="84" t="str">
        <f t="shared" si="9"/>
        <v>***</v>
      </c>
      <c r="AB29" s="78"/>
      <c r="AC29" s="78">
        <f>+IFERROR(VLOOKUP($A29,'Goals &amp; Budget 2026'!$A$2:$EJ$49,41,FALSE),0)</f>
        <v>0</v>
      </c>
      <c r="AD29" s="84" t="str">
        <f t="shared" si="10"/>
        <v>***</v>
      </c>
      <c r="AE29" s="78"/>
      <c r="AF29" s="78">
        <f>+IFERROR(VLOOKUP($A29,'Goals &amp; Budget 2026'!$A$2:$EJ$49,42,FALSE),0)</f>
        <v>0</v>
      </c>
      <c r="AG29" s="231" t="str">
        <f t="shared" si="11"/>
        <v>***</v>
      </c>
      <c r="AH29" s="78"/>
      <c r="AI29" s="78">
        <f>+IFERROR(VLOOKUP($A29,'Goals &amp; Budget 2026'!$A$2:$EJ$49,43,FALSE),0)</f>
        <v>0</v>
      </c>
      <c r="AJ29" s="84" t="str">
        <f t="shared" si="12"/>
        <v>***</v>
      </c>
      <c r="AK29" s="78"/>
      <c r="AL29" s="78">
        <f>+IFERROR(VLOOKUP($A29,'Goals &amp; Budget 2026'!$A$2:$EJ$49,44,FALSE),0)</f>
        <v>0</v>
      </c>
      <c r="AM29" s="84" t="str">
        <f t="shared" si="13"/>
        <v>***</v>
      </c>
      <c r="AN29" s="78"/>
      <c r="AO29" s="78">
        <f>+IFERROR(VLOOKUP($A29,'Goals &amp; Budget 2026'!$A$2:$EJ$49,45,FALSE),0)</f>
        <v>0</v>
      </c>
      <c r="AP29" s="85" t="str">
        <f t="shared" si="14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77">
        <f t="shared" si="0"/>
        <v>0</v>
      </c>
      <c r="E30" s="78">
        <f t="shared" si="1"/>
        <v>0</v>
      </c>
      <c r="F30" s="231" t="str">
        <f t="shared" si="2"/>
        <v>***</v>
      </c>
      <c r="G30" s="78"/>
      <c r="H30" s="78">
        <f>+IFERROR(VLOOKUP($A30,'Goals &amp; Budget 2026'!$A$2:$EJ$49,34,FALSE),0)</f>
        <v>0</v>
      </c>
      <c r="I30" s="84" t="str">
        <f t="shared" si="3"/>
        <v>***</v>
      </c>
      <c r="J30" s="78"/>
      <c r="K30" s="78">
        <f>+IFERROR(VLOOKUP($A30,'Goals &amp; Budget 2026'!$A$2:$EJ$49,35,FALSE),0)</f>
        <v>0</v>
      </c>
      <c r="L30" s="84" t="str">
        <f t="shared" si="4"/>
        <v>***</v>
      </c>
      <c r="M30" s="78"/>
      <c r="N30" s="78">
        <f>+IFERROR(VLOOKUP($A30,'Goals &amp; Budget 2026'!$A$2:$EJ$49,36,FALSE),0)</f>
        <v>0</v>
      </c>
      <c r="O30" s="231" t="str">
        <f t="shared" si="5"/>
        <v>***</v>
      </c>
      <c r="P30" s="78"/>
      <c r="Q30" s="78">
        <f>+IFERROR(VLOOKUP($A30,'Goals &amp; Budget 2026'!$A$2:$EJ$49,37,FALSE),0)</f>
        <v>0</v>
      </c>
      <c r="R30" s="84" t="str">
        <f t="shared" si="6"/>
        <v>***</v>
      </c>
      <c r="S30" s="78"/>
      <c r="T30" s="78">
        <f>+IFERROR(VLOOKUP($A30,'Goals &amp; Budget 2026'!$A$2:$EJ$49,38,FALSE),0)</f>
        <v>0</v>
      </c>
      <c r="U30" s="84" t="str">
        <f t="shared" si="7"/>
        <v>***</v>
      </c>
      <c r="V30" s="78"/>
      <c r="W30" s="78">
        <f>+IFERROR(VLOOKUP($A30,'Goals &amp; Budget 2026'!$A$2:$EJ$49,39,FALSE),0)</f>
        <v>0</v>
      </c>
      <c r="X30" s="231" t="str">
        <f t="shared" si="8"/>
        <v>***</v>
      </c>
      <c r="Y30" s="78"/>
      <c r="Z30" s="78">
        <f>+IFERROR(VLOOKUP($A30,'Goals &amp; Budget 2026'!$A$2:$EJ$49,40,FALSE),0)</f>
        <v>0</v>
      </c>
      <c r="AA30" s="84" t="str">
        <f t="shared" si="9"/>
        <v>***</v>
      </c>
      <c r="AB30" s="78"/>
      <c r="AC30" s="78">
        <f>+IFERROR(VLOOKUP($A30,'Goals &amp; Budget 2026'!$A$2:$EJ$49,41,FALSE),0)</f>
        <v>0</v>
      </c>
      <c r="AD30" s="84" t="str">
        <f t="shared" si="10"/>
        <v>***</v>
      </c>
      <c r="AE30" s="78"/>
      <c r="AF30" s="78">
        <f>+IFERROR(VLOOKUP($A30,'Goals &amp; Budget 2026'!$A$2:$EJ$49,42,FALSE),0)</f>
        <v>0</v>
      </c>
      <c r="AG30" s="231" t="str">
        <f t="shared" si="11"/>
        <v>***</v>
      </c>
      <c r="AH30" s="78"/>
      <c r="AI30" s="78">
        <f>+IFERROR(VLOOKUP($A30,'Goals &amp; Budget 2026'!$A$2:$EJ$49,43,FALSE),0)</f>
        <v>0</v>
      </c>
      <c r="AJ30" s="84" t="str">
        <f t="shared" si="12"/>
        <v>***</v>
      </c>
      <c r="AK30" s="78"/>
      <c r="AL30" s="78">
        <f>+IFERROR(VLOOKUP($A30,'Goals &amp; Budget 2026'!$A$2:$EJ$49,44,FALSE),0)</f>
        <v>0</v>
      </c>
      <c r="AM30" s="84" t="str">
        <f t="shared" si="13"/>
        <v>***</v>
      </c>
      <c r="AN30" s="78"/>
      <c r="AO30" s="78">
        <f>+IFERROR(VLOOKUP($A30,'Goals &amp; Budget 2026'!$A$2:$EJ$49,45,FALSE),0)</f>
        <v>0</v>
      </c>
      <c r="AP30" s="85" t="str">
        <f t="shared" si="14"/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77">
        <f t="shared" ref="D31:D47" si="15">+G31</f>
        <v>0</v>
      </c>
      <c r="E31" s="78">
        <f t="shared" ref="E31:E47" si="16">+H31</f>
        <v>0</v>
      </c>
      <c r="F31" s="231" t="str">
        <f t="shared" ref="F31:F47" si="17">IF(AND(D31&gt;0,E31&gt;0),D31/E31,IF(AND(D31&gt;0,E31=0),100%,IF(AND(D31=0,E31&gt;0),0,IF(AND(D31=0,E31=0),"***",0))))</f>
        <v>***</v>
      </c>
      <c r="G31" s="78"/>
      <c r="H31" s="78">
        <f>+IFERROR(VLOOKUP($A31,'Goals &amp; Budget 2026'!$A$2:$EJ$49,34,FALSE),0)</f>
        <v>0</v>
      </c>
      <c r="I31" s="84" t="str">
        <f t="shared" ref="I31:I47" si="18">IF(AND(G31&gt;0,H31&gt;0),G31/H31,IF(AND(G31&gt;0,H31=0),100%,IF(AND(G31=0,H31&gt;0),0,IF(AND(G31=0,H31=0),"***",0))))</f>
        <v>***</v>
      </c>
      <c r="J31" s="78"/>
      <c r="K31" s="78">
        <f>+IFERROR(VLOOKUP($A31,'Goals &amp; Budget 2026'!$A$2:$EJ$49,35,FALSE),0)</f>
        <v>0</v>
      </c>
      <c r="L31" s="84" t="str">
        <f t="shared" ref="L31:L47" si="19">IF(AND(J31&gt;0,K31&gt;0),J31/K31,IF(AND(J31&gt;0,K31=0),100%,IF(AND(J31=0,K31&gt;0),0,IF(AND(J31=0,K31=0),"***",0))))</f>
        <v>***</v>
      </c>
      <c r="M31" s="78"/>
      <c r="N31" s="78">
        <f>+IFERROR(VLOOKUP($A31,'Goals &amp; Budget 2026'!$A$2:$EJ$49,36,FALSE),0)</f>
        <v>0</v>
      </c>
      <c r="O31" s="231" t="str">
        <f t="shared" ref="O31:O47" si="20">IF(AND(M31&gt;0,N31&gt;0),M31/N31,IF(AND(M31&gt;0,N31=0),100%,IF(AND(M31=0,N31&gt;0),0,IF(AND(M31=0,N31=0),"***",0))))</f>
        <v>***</v>
      </c>
      <c r="P31" s="78"/>
      <c r="Q31" s="78">
        <f>+IFERROR(VLOOKUP($A31,'Goals &amp; Budget 2026'!$A$2:$EJ$49,37,FALSE),0)</f>
        <v>0</v>
      </c>
      <c r="R31" s="84" t="str">
        <f t="shared" ref="R31:R47" si="21">IF(AND(P31&gt;0,Q31&gt;0),P31/Q31,IF(AND(P31&gt;0,Q31=0),100%,IF(AND(P31=0,Q31&gt;0),0,IF(AND(P31=0,Q31=0),"***",0))))</f>
        <v>***</v>
      </c>
      <c r="S31" s="78"/>
      <c r="T31" s="78">
        <f>+IFERROR(VLOOKUP($A31,'Goals &amp; Budget 2026'!$A$2:$EJ$49,38,FALSE),0)</f>
        <v>0</v>
      </c>
      <c r="U31" s="84" t="str">
        <f t="shared" ref="U31:U47" si="22">IF(AND(S31&gt;0,T31&gt;0),S31/T31,IF(AND(S31&gt;0,T31=0),100%,IF(AND(S31=0,T31&gt;0),0,IF(AND(S31=0,T31=0),"***",0))))</f>
        <v>***</v>
      </c>
      <c r="V31" s="78"/>
      <c r="W31" s="78">
        <f>+IFERROR(VLOOKUP($A31,'Goals &amp; Budget 2026'!$A$2:$EJ$49,39,FALSE),0)</f>
        <v>0</v>
      </c>
      <c r="X31" s="231" t="str">
        <f t="shared" ref="X31:X47" si="23">IF(AND(V31&gt;0,W31&gt;0),V31/W31,IF(AND(V31&gt;0,W31=0),100%,IF(AND(V31=0,W31&gt;0),0,IF(AND(V31=0,W31=0),"***",0))))</f>
        <v>***</v>
      </c>
      <c r="Y31" s="78"/>
      <c r="Z31" s="78">
        <f>+IFERROR(VLOOKUP($A31,'Goals &amp; Budget 2026'!$A$2:$EJ$49,40,FALSE),0)</f>
        <v>0</v>
      </c>
      <c r="AA31" s="84" t="str">
        <f t="shared" ref="AA31:AA47" si="24">IF(AND(Y31&gt;0,Z31&gt;0),Y31/Z31,IF(AND(Y31&gt;0,Z31=0),100%,IF(AND(Y31=0,Z31&gt;0),0,IF(AND(Y31=0,Z31=0),"***",0))))</f>
        <v>***</v>
      </c>
      <c r="AB31" s="78"/>
      <c r="AC31" s="78">
        <f>+IFERROR(VLOOKUP($A31,'Goals &amp; Budget 2026'!$A$2:$EJ$49,41,FALSE),0)</f>
        <v>0</v>
      </c>
      <c r="AD31" s="84" t="str">
        <f t="shared" ref="AD31:AD47" si="25">IF(AND(AB31&gt;0,AC31&gt;0),AB31/AC31,IF(AND(AB31&gt;0,AC31=0),100%,IF(AND(AB31=0,AC31&gt;0),0,IF(AND(AB31=0,AC31=0),"***",0))))</f>
        <v>***</v>
      </c>
      <c r="AE31" s="78"/>
      <c r="AF31" s="78">
        <f>+IFERROR(VLOOKUP($A31,'Goals &amp; Budget 2026'!$A$2:$EJ$49,42,FALSE),0)</f>
        <v>0</v>
      </c>
      <c r="AG31" s="231" t="str">
        <f t="shared" ref="AG31:AG47" si="26">IF(AND(AE31&gt;0,AF31&gt;0),AE31/AF31,IF(AND(AE31&gt;0,AF31=0),100%,IF(AND(AE31=0,AF31&gt;0),0,IF(AND(AE31=0,AF31=0),"***",0))))</f>
        <v>***</v>
      </c>
      <c r="AH31" s="78"/>
      <c r="AI31" s="78">
        <f>+IFERROR(VLOOKUP($A31,'Goals &amp; Budget 2026'!$A$2:$EJ$49,43,FALSE),0)</f>
        <v>0</v>
      </c>
      <c r="AJ31" s="84" t="str">
        <f t="shared" ref="AJ31:AJ47" si="27">IF(AND(AH31&gt;0,AI31&gt;0),AH31/AI31,IF(AND(AH31&gt;0,AI31=0),100%,IF(AND(AH31=0,AI31&gt;0),0,IF(AND(AH31=0,AI31=0),"***",0))))</f>
        <v>***</v>
      </c>
      <c r="AK31" s="78"/>
      <c r="AL31" s="78">
        <f>+IFERROR(VLOOKUP($A31,'Goals &amp; Budget 2026'!$A$2:$EJ$49,44,FALSE),0)</f>
        <v>0</v>
      </c>
      <c r="AM31" s="84" t="str">
        <f t="shared" ref="AM31:AM47" si="28">IF(AND(AK31&gt;0,AL31&gt;0),AK31/AL31,IF(AND(AK31&gt;0,AL31=0),100%,IF(AND(AK31=0,AL31&gt;0),0,IF(AND(AK31=0,AL31=0),"***",0))))</f>
        <v>***</v>
      </c>
      <c r="AN31" s="78"/>
      <c r="AO31" s="78">
        <f>+IFERROR(VLOOKUP($A31,'Goals &amp; Budget 2026'!$A$2:$EJ$49,45,FALSE),0)</f>
        <v>0</v>
      </c>
      <c r="AP31" s="85" t="str">
        <f t="shared" ref="AP31:AP47" si="29">IF(AND(AN31&gt;0,AO31&gt;0),AN31/AO31,IF(AND(AN31&gt;0,AO31=0),100%,IF(AND(AN31=0,AO31&gt;0),0,IF(AND(AN31=0,AO31=0),"***",0))))</f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77">
        <f t="shared" si="15"/>
        <v>0</v>
      </c>
      <c r="E32" s="78">
        <f t="shared" si="16"/>
        <v>0</v>
      </c>
      <c r="F32" s="231" t="str">
        <f t="shared" si="17"/>
        <v>***</v>
      </c>
      <c r="G32" s="78"/>
      <c r="H32" s="78">
        <f>+IFERROR(VLOOKUP($A32,'Goals &amp; Budget 2026'!$A$2:$EJ$49,34,FALSE),0)</f>
        <v>0</v>
      </c>
      <c r="I32" s="84" t="str">
        <f t="shared" si="18"/>
        <v>***</v>
      </c>
      <c r="J32" s="78"/>
      <c r="K32" s="78">
        <f>+IFERROR(VLOOKUP($A32,'Goals &amp; Budget 2026'!$A$2:$EJ$49,35,FALSE),0)</f>
        <v>0</v>
      </c>
      <c r="L32" s="84" t="str">
        <f t="shared" si="19"/>
        <v>***</v>
      </c>
      <c r="M32" s="78"/>
      <c r="N32" s="78">
        <f>+IFERROR(VLOOKUP($A32,'Goals &amp; Budget 2026'!$A$2:$EJ$49,36,FALSE),0)</f>
        <v>0</v>
      </c>
      <c r="O32" s="231" t="str">
        <f t="shared" si="20"/>
        <v>***</v>
      </c>
      <c r="P32" s="78"/>
      <c r="Q32" s="78">
        <f>+IFERROR(VLOOKUP($A32,'Goals &amp; Budget 2026'!$A$2:$EJ$49,37,FALSE),0)</f>
        <v>0</v>
      </c>
      <c r="R32" s="84" t="str">
        <f t="shared" si="21"/>
        <v>***</v>
      </c>
      <c r="S32" s="78"/>
      <c r="T32" s="78">
        <f>+IFERROR(VLOOKUP($A32,'Goals &amp; Budget 2026'!$A$2:$EJ$49,38,FALSE),0)</f>
        <v>0</v>
      </c>
      <c r="U32" s="84" t="str">
        <f t="shared" si="22"/>
        <v>***</v>
      </c>
      <c r="V32" s="78"/>
      <c r="W32" s="78">
        <f>+IFERROR(VLOOKUP($A32,'Goals &amp; Budget 2026'!$A$2:$EJ$49,39,FALSE),0)</f>
        <v>0</v>
      </c>
      <c r="X32" s="231" t="str">
        <f t="shared" si="23"/>
        <v>***</v>
      </c>
      <c r="Y32" s="78"/>
      <c r="Z32" s="78">
        <f>+IFERROR(VLOOKUP($A32,'Goals &amp; Budget 2026'!$A$2:$EJ$49,40,FALSE),0)</f>
        <v>0</v>
      </c>
      <c r="AA32" s="84" t="str">
        <f t="shared" si="24"/>
        <v>***</v>
      </c>
      <c r="AB32" s="78"/>
      <c r="AC32" s="78">
        <f>+IFERROR(VLOOKUP($A32,'Goals &amp; Budget 2026'!$A$2:$EJ$49,41,FALSE),0)</f>
        <v>0</v>
      </c>
      <c r="AD32" s="84" t="str">
        <f t="shared" si="25"/>
        <v>***</v>
      </c>
      <c r="AE32" s="78"/>
      <c r="AF32" s="78">
        <f>+IFERROR(VLOOKUP($A32,'Goals &amp; Budget 2026'!$A$2:$EJ$49,42,FALSE),0)</f>
        <v>0</v>
      </c>
      <c r="AG32" s="231" t="str">
        <f t="shared" si="26"/>
        <v>***</v>
      </c>
      <c r="AH32" s="78"/>
      <c r="AI32" s="78">
        <f>+IFERROR(VLOOKUP($A32,'Goals &amp; Budget 2026'!$A$2:$EJ$49,43,FALSE),0)</f>
        <v>0</v>
      </c>
      <c r="AJ32" s="84" t="str">
        <f t="shared" si="27"/>
        <v>***</v>
      </c>
      <c r="AK32" s="78"/>
      <c r="AL32" s="78">
        <f>+IFERROR(VLOOKUP($A32,'Goals &amp; Budget 2026'!$A$2:$EJ$49,44,FALSE),0)</f>
        <v>0</v>
      </c>
      <c r="AM32" s="84" t="str">
        <f t="shared" si="28"/>
        <v>***</v>
      </c>
      <c r="AN32" s="78"/>
      <c r="AO32" s="78">
        <f>+IFERROR(VLOOKUP($A32,'Goals &amp; Budget 2026'!$A$2:$EJ$49,45,FALSE),0)</f>
        <v>0</v>
      </c>
      <c r="AP32" s="85" t="str">
        <f t="shared" si="29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77">
        <f t="shared" si="15"/>
        <v>0</v>
      </c>
      <c r="E33" s="78">
        <f t="shared" si="16"/>
        <v>0</v>
      </c>
      <c r="F33" s="231" t="str">
        <f t="shared" si="17"/>
        <v>***</v>
      </c>
      <c r="G33" s="78"/>
      <c r="H33" s="78">
        <f>+IFERROR(VLOOKUP($A33,'Goals &amp; Budget 2026'!$A$2:$EJ$49,34,FALSE),0)</f>
        <v>0</v>
      </c>
      <c r="I33" s="84" t="str">
        <f t="shared" si="18"/>
        <v>***</v>
      </c>
      <c r="J33" s="78"/>
      <c r="K33" s="78">
        <f>+IFERROR(VLOOKUP($A33,'Goals &amp; Budget 2026'!$A$2:$EJ$49,35,FALSE),0)</f>
        <v>0</v>
      </c>
      <c r="L33" s="84" t="str">
        <f t="shared" si="19"/>
        <v>***</v>
      </c>
      <c r="M33" s="78"/>
      <c r="N33" s="78">
        <f>+IFERROR(VLOOKUP($A33,'Goals &amp; Budget 2026'!$A$2:$EJ$49,36,FALSE),0)</f>
        <v>0</v>
      </c>
      <c r="O33" s="231" t="str">
        <f t="shared" si="20"/>
        <v>***</v>
      </c>
      <c r="P33" s="78"/>
      <c r="Q33" s="78">
        <f>+IFERROR(VLOOKUP($A33,'Goals &amp; Budget 2026'!$A$2:$EJ$49,37,FALSE),0)</f>
        <v>0</v>
      </c>
      <c r="R33" s="84" t="str">
        <f t="shared" si="21"/>
        <v>***</v>
      </c>
      <c r="S33" s="78"/>
      <c r="T33" s="78">
        <f>+IFERROR(VLOOKUP($A33,'Goals &amp; Budget 2026'!$A$2:$EJ$49,38,FALSE),0)</f>
        <v>0</v>
      </c>
      <c r="U33" s="84" t="str">
        <f t="shared" si="22"/>
        <v>***</v>
      </c>
      <c r="V33" s="78"/>
      <c r="W33" s="78">
        <f>+IFERROR(VLOOKUP($A33,'Goals &amp; Budget 2026'!$A$2:$EJ$49,39,FALSE),0)</f>
        <v>0</v>
      </c>
      <c r="X33" s="231" t="str">
        <f t="shared" si="23"/>
        <v>***</v>
      </c>
      <c r="Y33" s="78"/>
      <c r="Z33" s="78">
        <f>+IFERROR(VLOOKUP($A33,'Goals &amp; Budget 2026'!$A$2:$EJ$49,40,FALSE),0)</f>
        <v>0</v>
      </c>
      <c r="AA33" s="84" t="str">
        <f t="shared" si="24"/>
        <v>***</v>
      </c>
      <c r="AB33" s="78"/>
      <c r="AC33" s="78">
        <f>+IFERROR(VLOOKUP($A33,'Goals &amp; Budget 2026'!$A$2:$EJ$49,41,FALSE),0)</f>
        <v>0</v>
      </c>
      <c r="AD33" s="84" t="str">
        <f t="shared" si="25"/>
        <v>***</v>
      </c>
      <c r="AE33" s="78"/>
      <c r="AF33" s="78">
        <f>+IFERROR(VLOOKUP($A33,'Goals &amp; Budget 2026'!$A$2:$EJ$49,42,FALSE),0)</f>
        <v>0</v>
      </c>
      <c r="AG33" s="231" t="str">
        <f t="shared" si="26"/>
        <v>***</v>
      </c>
      <c r="AH33" s="78"/>
      <c r="AI33" s="78">
        <f>+IFERROR(VLOOKUP($A33,'Goals &amp; Budget 2026'!$A$2:$EJ$49,43,FALSE),0)</f>
        <v>0</v>
      </c>
      <c r="AJ33" s="84" t="str">
        <f t="shared" si="27"/>
        <v>***</v>
      </c>
      <c r="AK33" s="78"/>
      <c r="AL33" s="78">
        <f>+IFERROR(VLOOKUP($A33,'Goals &amp; Budget 2026'!$A$2:$EJ$49,44,FALSE),0)</f>
        <v>0</v>
      </c>
      <c r="AM33" s="84" t="str">
        <f t="shared" si="28"/>
        <v>***</v>
      </c>
      <c r="AN33" s="78"/>
      <c r="AO33" s="78">
        <f>+IFERROR(VLOOKUP($A33,'Goals &amp; Budget 2026'!$A$2:$EJ$49,45,FALSE),0)</f>
        <v>0</v>
      </c>
      <c r="AP33" s="85" t="str">
        <f t="shared" si="29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77">
        <f t="shared" si="15"/>
        <v>0</v>
      </c>
      <c r="E34" s="78">
        <f t="shared" si="16"/>
        <v>0</v>
      </c>
      <c r="F34" s="231" t="str">
        <f t="shared" si="17"/>
        <v>***</v>
      </c>
      <c r="G34" s="78"/>
      <c r="H34" s="78">
        <f>+IFERROR(VLOOKUP($A34,'Goals &amp; Budget 2026'!$A$2:$EJ$49,34,FALSE),0)</f>
        <v>0</v>
      </c>
      <c r="I34" s="84" t="str">
        <f t="shared" si="18"/>
        <v>***</v>
      </c>
      <c r="J34" s="78"/>
      <c r="K34" s="78">
        <f>+IFERROR(VLOOKUP($A34,'Goals &amp; Budget 2026'!$A$2:$EJ$49,35,FALSE),0)</f>
        <v>0</v>
      </c>
      <c r="L34" s="84" t="str">
        <f t="shared" si="19"/>
        <v>***</v>
      </c>
      <c r="M34" s="78"/>
      <c r="N34" s="78">
        <f>+IFERROR(VLOOKUP($A34,'Goals &amp; Budget 2026'!$A$2:$EJ$49,36,FALSE),0)</f>
        <v>0</v>
      </c>
      <c r="O34" s="231" t="str">
        <f t="shared" si="20"/>
        <v>***</v>
      </c>
      <c r="P34" s="78"/>
      <c r="Q34" s="78">
        <f>+IFERROR(VLOOKUP($A34,'Goals &amp; Budget 2026'!$A$2:$EJ$49,37,FALSE),0)</f>
        <v>0</v>
      </c>
      <c r="R34" s="84" t="str">
        <f t="shared" si="21"/>
        <v>***</v>
      </c>
      <c r="S34" s="78"/>
      <c r="T34" s="78">
        <f>+IFERROR(VLOOKUP($A34,'Goals &amp; Budget 2026'!$A$2:$EJ$49,38,FALSE),0)</f>
        <v>0</v>
      </c>
      <c r="U34" s="84" t="str">
        <f t="shared" si="22"/>
        <v>***</v>
      </c>
      <c r="V34" s="78"/>
      <c r="W34" s="78">
        <f>+IFERROR(VLOOKUP($A34,'Goals &amp; Budget 2026'!$A$2:$EJ$49,39,FALSE),0)</f>
        <v>0</v>
      </c>
      <c r="X34" s="231" t="str">
        <f t="shared" si="23"/>
        <v>***</v>
      </c>
      <c r="Y34" s="78"/>
      <c r="Z34" s="78">
        <f>+IFERROR(VLOOKUP($A34,'Goals &amp; Budget 2026'!$A$2:$EJ$49,40,FALSE),0)</f>
        <v>0</v>
      </c>
      <c r="AA34" s="84" t="str">
        <f t="shared" si="24"/>
        <v>***</v>
      </c>
      <c r="AB34" s="78"/>
      <c r="AC34" s="78">
        <f>+IFERROR(VLOOKUP($A34,'Goals &amp; Budget 2026'!$A$2:$EJ$49,41,FALSE),0)</f>
        <v>0</v>
      </c>
      <c r="AD34" s="84" t="str">
        <f t="shared" si="25"/>
        <v>***</v>
      </c>
      <c r="AE34" s="78"/>
      <c r="AF34" s="78">
        <f>+IFERROR(VLOOKUP($A34,'Goals &amp; Budget 2026'!$A$2:$EJ$49,42,FALSE),0)</f>
        <v>0</v>
      </c>
      <c r="AG34" s="231" t="str">
        <f t="shared" si="26"/>
        <v>***</v>
      </c>
      <c r="AH34" s="78"/>
      <c r="AI34" s="78">
        <f>+IFERROR(VLOOKUP($A34,'Goals &amp; Budget 2026'!$A$2:$EJ$49,43,FALSE),0)</f>
        <v>0</v>
      </c>
      <c r="AJ34" s="84" t="str">
        <f t="shared" si="27"/>
        <v>***</v>
      </c>
      <c r="AK34" s="78"/>
      <c r="AL34" s="78">
        <f>+IFERROR(VLOOKUP($A34,'Goals &amp; Budget 2026'!$A$2:$EJ$49,44,FALSE),0)</f>
        <v>0</v>
      </c>
      <c r="AM34" s="84" t="str">
        <f t="shared" si="28"/>
        <v>***</v>
      </c>
      <c r="AN34" s="78"/>
      <c r="AO34" s="78">
        <f>+IFERROR(VLOOKUP($A34,'Goals &amp; Budget 2026'!$A$2:$EJ$49,45,FALSE),0)</f>
        <v>0</v>
      </c>
      <c r="AP34" s="85" t="str">
        <f t="shared" si="29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58">
        <f t="shared" si="15"/>
        <v>0</v>
      </c>
      <c r="E35" s="59">
        <f t="shared" si="16"/>
        <v>0</v>
      </c>
      <c r="F35" s="232" t="str">
        <f t="shared" si="17"/>
        <v>***</v>
      </c>
      <c r="G35" s="59"/>
      <c r="H35" s="59">
        <f>+IFERROR(VLOOKUP($A35,'Goals &amp; Budget 2026'!$A$2:$EJ$49,34,FALSE),0)</f>
        <v>0</v>
      </c>
      <c r="I35" s="65" t="str">
        <f t="shared" si="18"/>
        <v>***</v>
      </c>
      <c r="J35" s="59"/>
      <c r="K35" s="59">
        <f>+IFERROR(VLOOKUP($A35,'Goals &amp; Budget 2026'!$A$2:$EJ$49,35,FALSE),0)</f>
        <v>0</v>
      </c>
      <c r="L35" s="65" t="str">
        <f t="shared" si="19"/>
        <v>***</v>
      </c>
      <c r="M35" s="59"/>
      <c r="N35" s="59">
        <f>+IFERROR(VLOOKUP($A35,'Goals &amp; Budget 2026'!$A$2:$EJ$49,36,FALSE),0)</f>
        <v>0</v>
      </c>
      <c r="O35" s="232" t="str">
        <f t="shared" si="20"/>
        <v>***</v>
      </c>
      <c r="P35" s="59"/>
      <c r="Q35" s="59">
        <f>+IFERROR(VLOOKUP($A35,'Goals &amp; Budget 2026'!$A$2:$EJ$49,37,FALSE),0)</f>
        <v>0</v>
      </c>
      <c r="R35" s="65" t="str">
        <f t="shared" si="21"/>
        <v>***</v>
      </c>
      <c r="S35" s="59"/>
      <c r="T35" s="59">
        <f>+IFERROR(VLOOKUP($A35,'Goals &amp; Budget 2026'!$A$2:$EJ$49,38,FALSE),0)</f>
        <v>0</v>
      </c>
      <c r="U35" s="65" t="str">
        <f t="shared" si="22"/>
        <v>***</v>
      </c>
      <c r="V35" s="59"/>
      <c r="W35" s="59">
        <f>+IFERROR(VLOOKUP($A35,'Goals &amp; Budget 2026'!$A$2:$EJ$49,39,FALSE),0)</f>
        <v>0</v>
      </c>
      <c r="X35" s="232" t="str">
        <f t="shared" si="23"/>
        <v>***</v>
      </c>
      <c r="Y35" s="59"/>
      <c r="Z35" s="59">
        <f>+IFERROR(VLOOKUP($A35,'Goals &amp; Budget 2026'!$A$2:$EJ$49,40,FALSE),0)</f>
        <v>0</v>
      </c>
      <c r="AA35" s="65" t="str">
        <f t="shared" si="24"/>
        <v>***</v>
      </c>
      <c r="AB35" s="59"/>
      <c r="AC35" s="59">
        <f>+IFERROR(VLOOKUP($A35,'Goals &amp; Budget 2026'!$A$2:$EJ$49,41,FALSE),0)</f>
        <v>0</v>
      </c>
      <c r="AD35" s="65" t="str">
        <f t="shared" si="25"/>
        <v>***</v>
      </c>
      <c r="AE35" s="59"/>
      <c r="AF35" s="59">
        <f>+IFERROR(VLOOKUP($A35,'Goals &amp; Budget 2026'!$A$2:$EJ$49,42,FALSE),0)</f>
        <v>0</v>
      </c>
      <c r="AG35" s="232" t="str">
        <f t="shared" si="26"/>
        <v>***</v>
      </c>
      <c r="AH35" s="59"/>
      <c r="AI35" s="59">
        <f>+IFERROR(VLOOKUP($A35,'Goals &amp; Budget 2026'!$A$2:$EJ$49,43,FALSE),0)</f>
        <v>0</v>
      </c>
      <c r="AJ35" s="65" t="str">
        <f t="shared" si="27"/>
        <v>***</v>
      </c>
      <c r="AK35" s="59"/>
      <c r="AL35" s="59">
        <f>+IFERROR(VLOOKUP($A35,'Goals &amp; Budget 2026'!$A$2:$EJ$49,44,FALSE),0)</f>
        <v>0</v>
      </c>
      <c r="AM35" s="65" t="str">
        <f t="shared" si="28"/>
        <v>***</v>
      </c>
      <c r="AN35" s="59"/>
      <c r="AO35" s="59">
        <f>+IFERROR(VLOOKUP($A35,'Goals &amp; Budget 2026'!$A$2:$EJ$49,45,FALSE),0)</f>
        <v>0</v>
      </c>
      <c r="AP35" s="66" t="str">
        <f t="shared" si="29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58">
        <f t="shared" si="15"/>
        <v>0</v>
      </c>
      <c r="E36" s="59">
        <f t="shared" si="16"/>
        <v>0</v>
      </c>
      <c r="F36" s="232" t="str">
        <f t="shared" si="17"/>
        <v>***</v>
      </c>
      <c r="G36" s="59"/>
      <c r="H36" s="59">
        <f>+IFERROR(VLOOKUP($A36,'Goals &amp; Budget 2026'!$A$2:$EJ$49,34,FALSE),0)</f>
        <v>0</v>
      </c>
      <c r="I36" s="65" t="str">
        <f t="shared" si="18"/>
        <v>***</v>
      </c>
      <c r="J36" s="59"/>
      <c r="K36" s="59">
        <f>+IFERROR(VLOOKUP($A36,'Goals &amp; Budget 2026'!$A$2:$EJ$49,35,FALSE),0)</f>
        <v>0</v>
      </c>
      <c r="L36" s="65" t="str">
        <f t="shared" si="19"/>
        <v>***</v>
      </c>
      <c r="M36" s="59"/>
      <c r="N36" s="59">
        <f>+IFERROR(VLOOKUP($A36,'Goals &amp; Budget 2026'!$A$2:$EJ$49,36,FALSE),0)</f>
        <v>0</v>
      </c>
      <c r="O36" s="232" t="str">
        <f t="shared" si="20"/>
        <v>***</v>
      </c>
      <c r="P36" s="59"/>
      <c r="Q36" s="59">
        <f>+IFERROR(VLOOKUP($A36,'Goals &amp; Budget 2026'!$A$2:$EJ$49,37,FALSE),0)</f>
        <v>0</v>
      </c>
      <c r="R36" s="65" t="str">
        <f t="shared" si="21"/>
        <v>***</v>
      </c>
      <c r="S36" s="59"/>
      <c r="T36" s="59">
        <f>+IFERROR(VLOOKUP($A36,'Goals &amp; Budget 2026'!$A$2:$EJ$49,38,FALSE),0)</f>
        <v>0</v>
      </c>
      <c r="U36" s="65" t="str">
        <f t="shared" si="22"/>
        <v>***</v>
      </c>
      <c r="V36" s="59"/>
      <c r="W36" s="59">
        <f>+IFERROR(VLOOKUP($A36,'Goals &amp; Budget 2026'!$A$2:$EJ$49,39,FALSE),0)</f>
        <v>0</v>
      </c>
      <c r="X36" s="232" t="str">
        <f t="shared" si="23"/>
        <v>***</v>
      </c>
      <c r="Y36" s="59"/>
      <c r="Z36" s="59">
        <f>+IFERROR(VLOOKUP($A36,'Goals &amp; Budget 2026'!$A$2:$EJ$49,40,FALSE),0)</f>
        <v>0</v>
      </c>
      <c r="AA36" s="65" t="str">
        <f t="shared" si="24"/>
        <v>***</v>
      </c>
      <c r="AB36" s="59"/>
      <c r="AC36" s="59">
        <f>+IFERROR(VLOOKUP($A36,'Goals &amp; Budget 2026'!$A$2:$EJ$49,41,FALSE),0)</f>
        <v>0</v>
      </c>
      <c r="AD36" s="65" t="str">
        <f t="shared" si="25"/>
        <v>***</v>
      </c>
      <c r="AE36" s="59"/>
      <c r="AF36" s="59">
        <f>+IFERROR(VLOOKUP($A36,'Goals &amp; Budget 2026'!$A$2:$EJ$49,42,FALSE),0)</f>
        <v>0</v>
      </c>
      <c r="AG36" s="232" t="str">
        <f t="shared" si="26"/>
        <v>***</v>
      </c>
      <c r="AH36" s="59"/>
      <c r="AI36" s="59">
        <f>+IFERROR(VLOOKUP($A36,'Goals &amp; Budget 2026'!$A$2:$EJ$49,43,FALSE),0)</f>
        <v>0</v>
      </c>
      <c r="AJ36" s="65" t="str">
        <f t="shared" si="27"/>
        <v>***</v>
      </c>
      <c r="AK36" s="59"/>
      <c r="AL36" s="59">
        <f>+IFERROR(VLOOKUP($A36,'Goals &amp; Budget 2026'!$A$2:$EJ$49,44,FALSE),0)</f>
        <v>0</v>
      </c>
      <c r="AM36" s="65" t="str">
        <f t="shared" si="28"/>
        <v>***</v>
      </c>
      <c r="AN36" s="59"/>
      <c r="AO36" s="59">
        <f>+IFERROR(VLOOKUP($A36,'Goals &amp; Budget 2026'!$A$2:$EJ$49,45,FALSE),0)</f>
        <v>0</v>
      </c>
      <c r="AP36" s="66" t="str">
        <f t="shared" si="29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58">
        <f t="shared" si="15"/>
        <v>0</v>
      </c>
      <c r="E37" s="59">
        <f t="shared" si="16"/>
        <v>0</v>
      </c>
      <c r="F37" s="232" t="str">
        <f t="shared" si="17"/>
        <v>***</v>
      </c>
      <c r="G37" s="59"/>
      <c r="H37" s="59">
        <f>+IFERROR(VLOOKUP($A37,'Goals &amp; Budget 2026'!$A$2:$EJ$49,34,FALSE),0)</f>
        <v>0</v>
      </c>
      <c r="I37" s="65" t="str">
        <f t="shared" si="18"/>
        <v>***</v>
      </c>
      <c r="J37" s="59"/>
      <c r="K37" s="59">
        <f>+IFERROR(VLOOKUP($A37,'Goals &amp; Budget 2026'!$A$2:$EJ$49,35,FALSE),0)</f>
        <v>0</v>
      </c>
      <c r="L37" s="65" t="str">
        <f t="shared" si="19"/>
        <v>***</v>
      </c>
      <c r="M37" s="59"/>
      <c r="N37" s="59">
        <f>+IFERROR(VLOOKUP($A37,'Goals &amp; Budget 2026'!$A$2:$EJ$49,36,FALSE),0)</f>
        <v>0</v>
      </c>
      <c r="O37" s="232" t="str">
        <f t="shared" si="20"/>
        <v>***</v>
      </c>
      <c r="P37" s="59"/>
      <c r="Q37" s="59">
        <f>+IFERROR(VLOOKUP($A37,'Goals &amp; Budget 2026'!$A$2:$EJ$49,37,FALSE),0)</f>
        <v>0</v>
      </c>
      <c r="R37" s="65" t="str">
        <f t="shared" si="21"/>
        <v>***</v>
      </c>
      <c r="S37" s="59"/>
      <c r="T37" s="59">
        <f>+IFERROR(VLOOKUP($A37,'Goals &amp; Budget 2026'!$A$2:$EJ$49,38,FALSE),0)</f>
        <v>0</v>
      </c>
      <c r="U37" s="65" t="str">
        <f t="shared" si="22"/>
        <v>***</v>
      </c>
      <c r="V37" s="59"/>
      <c r="W37" s="59">
        <f>+IFERROR(VLOOKUP($A37,'Goals &amp; Budget 2026'!$A$2:$EJ$49,39,FALSE),0)</f>
        <v>0</v>
      </c>
      <c r="X37" s="232" t="str">
        <f t="shared" si="23"/>
        <v>***</v>
      </c>
      <c r="Y37" s="59"/>
      <c r="Z37" s="59">
        <f>+IFERROR(VLOOKUP($A37,'Goals &amp; Budget 2026'!$A$2:$EJ$49,40,FALSE),0)</f>
        <v>0</v>
      </c>
      <c r="AA37" s="65" t="str">
        <f t="shared" si="24"/>
        <v>***</v>
      </c>
      <c r="AB37" s="59"/>
      <c r="AC37" s="59">
        <f>+IFERROR(VLOOKUP($A37,'Goals &amp; Budget 2026'!$A$2:$EJ$49,41,FALSE),0)</f>
        <v>0</v>
      </c>
      <c r="AD37" s="65" t="str">
        <f t="shared" si="25"/>
        <v>***</v>
      </c>
      <c r="AE37" s="59"/>
      <c r="AF37" s="59">
        <f>+IFERROR(VLOOKUP($A37,'Goals &amp; Budget 2026'!$A$2:$EJ$49,42,FALSE),0)</f>
        <v>0</v>
      </c>
      <c r="AG37" s="232" t="str">
        <f t="shared" si="26"/>
        <v>***</v>
      </c>
      <c r="AH37" s="59"/>
      <c r="AI37" s="59">
        <f>+IFERROR(VLOOKUP($A37,'Goals &amp; Budget 2026'!$A$2:$EJ$49,43,FALSE),0)</f>
        <v>0</v>
      </c>
      <c r="AJ37" s="65" t="str">
        <f t="shared" si="27"/>
        <v>***</v>
      </c>
      <c r="AK37" s="59"/>
      <c r="AL37" s="59">
        <f>+IFERROR(VLOOKUP($A37,'Goals &amp; Budget 2026'!$A$2:$EJ$49,44,FALSE),0)</f>
        <v>0</v>
      </c>
      <c r="AM37" s="65" t="str">
        <f t="shared" si="28"/>
        <v>***</v>
      </c>
      <c r="AN37" s="59"/>
      <c r="AO37" s="59">
        <f>+IFERROR(VLOOKUP($A37,'Goals &amp; Budget 2026'!$A$2:$EJ$49,45,FALSE),0)</f>
        <v>0</v>
      </c>
      <c r="AP37" s="66" t="str">
        <f t="shared" si="29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58">
        <f t="shared" si="15"/>
        <v>0</v>
      </c>
      <c r="E38" s="59">
        <f t="shared" si="16"/>
        <v>0</v>
      </c>
      <c r="F38" s="232" t="str">
        <f t="shared" si="17"/>
        <v>***</v>
      </c>
      <c r="G38" s="59"/>
      <c r="H38" s="59">
        <f>+IFERROR(VLOOKUP($A38,'Goals &amp; Budget 2026'!$A$2:$EJ$49,34,FALSE),0)</f>
        <v>0</v>
      </c>
      <c r="I38" s="65" t="str">
        <f t="shared" si="18"/>
        <v>***</v>
      </c>
      <c r="J38" s="59"/>
      <c r="K38" s="59">
        <f>+IFERROR(VLOOKUP($A38,'Goals &amp; Budget 2026'!$A$2:$EJ$49,35,FALSE),0)</f>
        <v>0</v>
      </c>
      <c r="L38" s="65" t="str">
        <f t="shared" si="19"/>
        <v>***</v>
      </c>
      <c r="M38" s="59"/>
      <c r="N38" s="59">
        <f>+IFERROR(VLOOKUP($A38,'Goals &amp; Budget 2026'!$A$2:$EJ$49,36,FALSE),0)</f>
        <v>0</v>
      </c>
      <c r="O38" s="232" t="str">
        <f t="shared" si="20"/>
        <v>***</v>
      </c>
      <c r="P38" s="59"/>
      <c r="Q38" s="59">
        <f>+IFERROR(VLOOKUP($A38,'Goals &amp; Budget 2026'!$A$2:$EJ$49,37,FALSE),0)</f>
        <v>0</v>
      </c>
      <c r="R38" s="65" t="str">
        <f t="shared" si="21"/>
        <v>***</v>
      </c>
      <c r="S38" s="59"/>
      <c r="T38" s="59">
        <f>+IFERROR(VLOOKUP($A38,'Goals &amp; Budget 2026'!$A$2:$EJ$49,38,FALSE),0)</f>
        <v>0</v>
      </c>
      <c r="U38" s="65" t="str">
        <f t="shared" si="22"/>
        <v>***</v>
      </c>
      <c r="V38" s="59"/>
      <c r="W38" s="59">
        <f>+IFERROR(VLOOKUP($A38,'Goals &amp; Budget 2026'!$A$2:$EJ$49,39,FALSE),0)</f>
        <v>0</v>
      </c>
      <c r="X38" s="232" t="str">
        <f t="shared" si="23"/>
        <v>***</v>
      </c>
      <c r="Y38" s="59"/>
      <c r="Z38" s="59">
        <f>+IFERROR(VLOOKUP($A38,'Goals &amp; Budget 2026'!$A$2:$EJ$49,40,FALSE),0)</f>
        <v>0</v>
      </c>
      <c r="AA38" s="65" t="str">
        <f t="shared" si="24"/>
        <v>***</v>
      </c>
      <c r="AB38" s="59"/>
      <c r="AC38" s="59">
        <f>+IFERROR(VLOOKUP($A38,'Goals &amp; Budget 2026'!$A$2:$EJ$49,41,FALSE),0)</f>
        <v>0</v>
      </c>
      <c r="AD38" s="65" t="str">
        <f t="shared" si="25"/>
        <v>***</v>
      </c>
      <c r="AE38" s="59"/>
      <c r="AF38" s="59">
        <f>+IFERROR(VLOOKUP($A38,'Goals &amp; Budget 2026'!$A$2:$EJ$49,42,FALSE),0)</f>
        <v>0</v>
      </c>
      <c r="AG38" s="232" t="str">
        <f t="shared" si="26"/>
        <v>***</v>
      </c>
      <c r="AH38" s="59"/>
      <c r="AI38" s="59">
        <f>+IFERROR(VLOOKUP($A38,'Goals &amp; Budget 2026'!$A$2:$EJ$49,43,FALSE),0)</f>
        <v>0</v>
      </c>
      <c r="AJ38" s="65" t="str">
        <f t="shared" si="27"/>
        <v>***</v>
      </c>
      <c r="AK38" s="59"/>
      <c r="AL38" s="59">
        <f>+IFERROR(VLOOKUP($A38,'Goals &amp; Budget 2026'!$A$2:$EJ$49,44,FALSE),0)</f>
        <v>0</v>
      </c>
      <c r="AM38" s="65" t="str">
        <f t="shared" si="28"/>
        <v>***</v>
      </c>
      <c r="AN38" s="59"/>
      <c r="AO38" s="59">
        <f>+IFERROR(VLOOKUP($A38,'Goals &amp; Budget 2026'!$A$2:$EJ$49,45,FALSE),0)</f>
        <v>0</v>
      </c>
      <c r="AP38" s="66" t="str">
        <f t="shared" si="29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58">
        <f t="shared" si="15"/>
        <v>0</v>
      </c>
      <c r="E39" s="59">
        <f t="shared" si="16"/>
        <v>0</v>
      </c>
      <c r="F39" s="232" t="str">
        <f t="shared" si="17"/>
        <v>***</v>
      </c>
      <c r="G39" s="59"/>
      <c r="H39" s="59">
        <f>+IFERROR(VLOOKUP($A39,'Goals &amp; Budget 2026'!$A$2:$EJ$49,34,FALSE),0)</f>
        <v>0</v>
      </c>
      <c r="I39" s="65" t="str">
        <f t="shared" si="18"/>
        <v>***</v>
      </c>
      <c r="J39" s="59"/>
      <c r="K39" s="59">
        <f>+IFERROR(VLOOKUP($A39,'Goals &amp; Budget 2026'!$A$2:$EJ$49,35,FALSE),0)</f>
        <v>0</v>
      </c>
      <c r="L39" s="65" t="str">
        <f t="shared" si="19"/>
        <v>***</v>
      </c>
      <c r="M39" s="59"/>
      <c r="N39" s="59">
        <f>+IFERROR(VLOOKUP($A39,'Goals &amp; Budget 2026'!$A$2:$EJ$49,36,FALSE),0)</f>
        <v>0</v>
      </c>
      <c r="O39" s="232" t="str">
        <f t="shared" si="20"/>
        <v>***</v>
      </c>
      <c r="P39" s="59"/>
      <c r="Q39" s="59">
        <f>+IFERROR(VLOOKUP($A39,'Goals &amp; Budget 2026'!$A$2:$EJ$49,37,FALSE),0)</f>
        <v>0</v>
      </c>
      <c r="R39" s="65" t="str">
        <f t="shared" si="21"/>
        <v>***</v>
      </c>
      <c r="S39" s="59"/>
      <c r="T39" s="59">
        <f>+IFERROR(VLOOKUP($A39,'Goals &amp; Budget 2026'!$A$2:$EJ$49,38,FALSE),0)</f>
        <v>0</v>
      </c>
      <c r="U39" s="65" t="str">
        <f t="shared" si="22"/>
        <v>***</v>
      </c>
      <c r="V39" s="59"/>
      <c r="W39" s="59">
        <f>+IFERROR(VLOOKUP($A39,'Goals &amp; Budget 2026'!$A$2:$EJ$49,39,FALSE),0)</f>
        <v>0</v>
      </c>
      <c r="X39" s="232" t="str">
        <f t="shared" si="23"/>
        <v>***</v>
      </c>
      <c r="Y39" s="59"/>
      <c r="Z39" s="59">
        <f>+IFERROR(VLOOKUP($A39,'Goals &amp; Budget 2026'!$A$2:$EJ$49,40,FALSE),0)</f>
        <v>0</v>
      </c>
      <c r="AA39" s="65" t="str">
        <f t="shared" si="24"/>
        <v>***</v>
      </c>
      <c r="AB39" s="59"/>
      <c r="AC39" s="59">
        <f>+IFERROR(VLOOKUP($A39,'Goals &amp; Budget 2026'!$A$2:$EJ$49,41,FALSE),0)</f>
        <v>0</v>
      </c>
      <c r="AD39" s="65" t="str">
        <f t="shared" si="25"/>
        <v>***</v>
      </c>
      <c r="AE39" s="59"/>
      <c r="AF39" s="59">
        <f>+IFERROR(VLOOKUP($A39,'Goals &amp; Budget 2026'!$A$2:$EJ$49,42,FALSE),0)</f>
        <v>0</v>
      </c>
      <c r="AG39" s="232" t="str">
        <f t="shared" si="26"/>
        <v>***</v>
      </c>
      <c r="AH39" s="59"/>
      <c r="AI39" s="59">
        <f>+IFERROR(VLOOKUP($A39,'Goals &amp; Budget 2026'!$A$2:$EJ$49,43,FALSE),0)</f>
        <v>0</v>
      </c>
      <c r="AJ39" s="65" t="str">
        <f t="shared" si="27"/>
        <v>***</v>
      </c>
      <c r="AK39" s="59"/>
      <c r="AL39" s="59">
        <f>+IFERROR(VLOOKUP($A39,'Goals &amp; Budget 2026'!$A$2:$EJ$49,44,FALSE),0)</f>
        <v>0</v>
      </c>
      <c r="AM39" s="65" t="str">
        <f t="shared" si="28"/>
        <v>***</v>
      </c>
      <c r="AN39" s="59"/>
      <c r="AO39" s="59">
        <f>+IFERROR(VLOOKUP($A39,'Goals &amp; Budget 2026'!$A$2:$EJ$49,45,FALSE),0)</f>
        <v>0</v>
      </c>
      <c r="AP39" s="66" t="str">
        <f t="shared" si="29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58">
        <f t="shared" si="15"/>
        <v>0</v>
      </c>
      <c r="E40" s="59">
        <f t="shared" si="16"/>
        <v>0</v>
      </c>
      <c r="F40" s="232" t="str">
        <f t="shared" si="17"/>
        <v>***</v>
      </c>
      <c r="G40" s="59"/>
      <c r="H40" s="59">
        <f>+IFERROR(VLOOKUP($A40,'Goals &amp; Budget 2026'!$A$2:$EJ$49,34,FALSE),0)</f>
        <v>0</v>
      </c>
      <c r="I40" s="65" t="str">
        <f t="shared" si="18"/>
        <v>***</v>
      </c>
      <c r="J40" s="59"/>
      <c r="K40" s="59">
        <f>+IFERROR(VLOOKUP($A40,'Goals &amp; Budget 2026'!$A$2:$EJ$49,35,FALSE),0)</f>
        <v>0</v>
      </c>
      <c r="L40" s="65" t="str">
        <f t="shared" si="19"/>
        <v>***</v>
      </c>
      <c r="M40" s="59"/>
      <c r="N40" s="59">
        <f>+IFERROR(VLOOKUP($A40,'Goals &amp; Budget 2026'!$A$2:$EJ$49,36,FALSE),0)</f>
        <v>0</v>
      </c>
      <c r="O40" s="232" t="str">
        <f t="shared" si="20"/>
        <v>***</v>
      </c>
      <c r="P40" s="59"/>
      <c r="Q40" s="59">
        <f>+IFERROR(VLOOKUP($A40,'Goals &amp; Budget 2026'!$A$2:$EJ$49,37,FALSE),0)</f>
        <v>0</v>
      </c>
      <c r="R40" s="65" t="str">
        <f t="shared" si="21"/>
        <v>***</v>
      </c>
      <c r="S40" s="59"/>
      <c r="T40" s="59">
        <f>+IFERROR(VLOOKUP($A40,'Goals &amp; Budget 2026'!$A$2:$EJ$49,38,FALSE),0)</f>
        <v>0</v>
      </c>
      <c r="U40" s="65" t="str">
        <f t="shared" si="22"/>
        <v>***</v>
      </c>
      <c r="V40" s="59"/>
      <c r="W40" s="59">
        <f>+IFERROR(VLOOKUP($A40,'Goals &amp; Budget 2026'!$A$2:$EJ$49,39,FALSE),0)</f>
        <v>0</v>
      </c>
      <c r="X40" s="232" t="str">
        <f t="shared" si="23"/>
        <v>***</v>
      </c>
      <c r="Y40" s="59"/>
      <c r="Z40" s="59">
        <f>+IFERROR(VLOOKUP($A40,'Goals &amp; Budget 2026'!$A$2:$EJ$49,40,FALSE),0)</f>
        <v>0</v>
      </c>
      <c r="AA40" s="65" t="str">
        <f t="shared" si="24"/>
        <v>***</v>
      </c>
      <c r="AB40" s="59"/>
      <c r="AC40" s="59">
        <f>+IFERROR(VLOOKUP($A40,'Goals &amp; Budget 2026'!$A$2:$EJ$49,41,FALSE),0)</f>
        <v>0</v>
      </c>
      <c r="AD40" s="65" t="str">
        <f t="shared" si="25"/>
        <v>***</v>
      </c>
      <c r="AE40" s="59"/>
      <c r="AF40" s="59">
        <f>+IFERROR(VLOOKUP($A40,'Goals &amp; Budget 2026'!$A$2:$EJ$49,42,FALSE),0)</f>
        <v>0</v>
      </c>
      <c r="AG40" s="232" t="str">
        <f t="shared" si="26"/>
        <v>***</v>
      </c>
      <c r="AH40" s="59"/>
      <c r="AI40" s="59">
        <f>+IFERROR(VLOOKUP($A40,'Goals &amp; Budget 2026'!$A$2:$EJ$49,43,FALSE),0)</f>
        <v>0</v>
      </c>
      <c r="AJ40" s="65" t="str">
        <f t="shared" si="27"/>
        <v>***</v>
      </c>
      <c r="AK40" s="59"/>
      <c r="AL40" s="59">
        <f>+IFERROR(VLOOKUP($A40,'Goals &amp; Budget 2026'!$A$2:$EJ$49,44,FALSE),0)</f>
        <v>0</v>
      </c>
      <c r="AM40" s="65" t="str">
        <f t="shared" si="28"/>
        <v>***</v>
      </c>
      <c r="AN40" s="59"/>
      <c r="AO40" s="59">
        <f>+IFERROR(VLOOKUP($A40,'Goals &amp; Budget 2026'!$A$2:$EJ$49,45,FALSE),0)</f>
        <v>0</v>
      </c>
      <c r="AP40" s="66" t="str">
        <f t="shared" si="29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8">
        <f t="shared" si="15"/>
        <v>0</v>
      </c>
      <c r="E41" s="59">
        <f t="shared" si="16"/>
        <v>0</v>
      </c>
      <c r="F41" s="232" t="str">
        <f t="shared" si="17"/>
        <v>***</v>
      </c>
      <c r="G41" s="59"/>
      <c r="H41" s="59">
        <f>+IFERROR(VLOOKUP($A41,'Goals &amp; Budget 2026'!$A$2:$EJ$49,34,FALSE),0)</f>
        <v>0</v>
      </c>
      <c r="I41" s="65" t="str">
        <f t="shared" si="18"/>
        <v>***</v>
      </c>
      <c r="J41" s="59"/>
      <c r="K41" s="59">
        <f>+IFERROR(VLOOKUP($A41,'Goals &amp; Budget 2026'!$A$2:$EJ$49,35,FALSE),0)</f>
        <v>0</v>
      </c>
      <c r="L41" s="65" t="str">
        <f t="shared" si="19"/>
        <v>***</v>
      </c>
      <c r="M41" s="59"/>
      <c r="N41" s="59">
        <f>+IFERROR(VLOOKUP($A41,'Goals &amp; Budget 2026'!$A$2:$EJ$49,36,FALSE),0)</f>
        <v>0</v>
      </c>
      <c r="O41" s="232" t="str">
        <f t="shared" si="20"/>
        <v>***</v>
      </c>
      <c r="P41" s="59"/>
      <c r="Q41" s="59">
        <f>+IFERROR(VLOOKUP($A41,'Goals &amp; Budget 2026'!$A$2:$EJ$49,37,FALSE),0)</f>
        <v>0</v>
      </c>
      <c r="R41" s="65" t="str">
        <f t="shared" si="21"/>
        <v>***</v>
      </c>
      <c r="S41" s="59"/>
      <c r="T41" s="59">
        <f>+IFERROR(VLOOKUP($A41,'Goals &amp; Budget 2026'!$A$2:$EJ$49,38,FALSE),0)</f>
        <v>0</v>
      </c>
      <c r="U41" s="65" t="str">
        <f t="shared" si="22"/>
        <v>***</v>
      </c>
      <c r="V41" s="59"/>
      <c r="W41" s="59">
        <f>+IFERROR(VLOOKUP($A41,'Goals &amp; Budget 2026'!$A$2:$EJ$49,39,FALSE),0)</f>
        <v>0</v>
      </c>
      <c r="X41" s="232" t="str">
        <f t="shared" si="23"/>
        <v>***</v>
      </c>
      <c r="Y41" s="59"/>
      <c r="Z41" s="59">
        <f>+IFERROR(VLOOKUP($A41,'Goals &amp; Budget 2026'!$A$2:$EJ$49,40,FALSE),0)</f>
        <v>0</v>
      </c>
      <c r="AA41" s="65" t="str">
        <f t="shared" si="24"/>
        <v>***</v>
      </c>
      <c r="AB41" s="59"/>
      <c r="AC41" s="59">
        <f>+IFERROR(VLOOKUP($A41,'Goals &amp; Budget 2026'!$A$2:$EJ$49,41,FALSE),0)</f>
        <v>0</v>
      </c>
      <c r="AD41" s="65" t="str">
        <f t="shared" si="25"/>
        <v>***</v>
      </c>
      <c r="AE41" s="59"/>
      <c r="AF41" s="59">
        <f>+IFERROR(VLOOKUP($A41,'Goals &amp; Budget 2026'!$A$2:$EJ$49,42,FALSE),0)</f>
        <v>0</v>
      </c>
      <c r="AG41" s="232" t="str">
        <f t="shared" si="26"/>
        <v>***</v>
      </c>
      <c r="AH41" s="59"/>
      <c r="AI41" s="59">
        <f>+IFERROR(VLOOKUP($A41,'Goals &amp; Budget 2026'!$A$2:$EJ$49,43,FALSE),0)</f>
        <v>0</v>
      </c>
      <c r="AJ41" s="65" t="str">
        <f t="shared" si="27"/>
        <v>***</v>
      </c>
      <c r="AK41" s="59"/>
      <c r="AL41" s="59">
        <f>+IFERROR(VLOOKUP($A41,'Goals &amp; Budget 2026'!$A$2:$EJ$49,44,FALSE),0)</f>
        <v>0</v>
      </c>
      <c r="AM41" s="65" t="str">
        <f t="shared" si="28"/>
        <v>***</v>
      </c>
      <c r="AN41" s="59"/>
      <c r="AO41" s="59">
        <f>+IFERROR(VLOOKUP($A41,'Goals &amp; Budget 2026'!$A$2:$EJ$49,45,FALSE),0)</f>
        <v>0</v>
      </c>
      <c r="AP41" s="66" t="str">
        <f t="shared" si="29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8">
        <f t="shared" si="15"/>
        <v>0</v>
      </c>
      <c r="E42" s="59">
        <f t="shared" si="16"/>
        <v>0</v>
      </c>
      <c r="F42" s="232" t="str">
        <f t="shared" si="17"/>
        <v>***</v>
      </c>
      <c r="G42" s="59"/>
      <c r="H42" s="59">
        <f>+IFERROR(VLOOKUP($A42,'Goals &amp; Budget 2026'!$A$2:$EJ$49,34,FALSE),0)</f>
        <v>0</v>
      </c>
      <c r="I42" s="65" t="str">
        <f t="shared" si="18"/>
        <v>***</v>
      </c>
      <c r="J42" s="59"/>
      <c r="K42" s="59">
        <f>+IFERROR(VLOOKUP($A42,'Goals &amp; Budget 2026'!$A$2:$EJ$49,35,FALSE),0)</f>
        <v>0</v>
      </c>
      <c r="L42" s="65" t="str">
        <f t="shared" si="19"/>
        <v>***</v>
      </c>
      <c r="M42" s="59"/>
      <c r="N42" s="59">
        <f>+IFERROR(VLOOKUP($A42,'Goals &amp; Budget 2026'!$A$2:$EJ$49,36,FALSE),0)</f>
        <v>0</v>
      </c>
      <c r="O42" s="232" t="str">
        <f t="shared" si="20"/>
        <v>***</v>
      </c>
      <c r="P42" s="59"/>
      <c r="Q42" s="59">
        <f>+IFERROR(VLOOKUP($A42,'Goals &amp; Budget 2026'!$A$2:$EJ$49,37,FALSE),0)</f>
        <v>0</v>
      </c>
      <c r="R42" s="65" t="str">
        <f t="shared" si="21"/>
        <v>***</v>
      </c>
      <c r="S42" s="59"/>
      <c r="T42" s="59">
        <f>+IFERROR(VLOOKUP($A42,'Goals &amp; Budget 2026'!$A$2:$EJ$49,38,FALSE),0)</f>
        <v>0</v>
      </c>
      <c r="U42" s="65" t="str">
        <f t="shared" si="22"/>
        <v>***</v>
      </c>
      <c r="V42" s="59"/>
      <c r="W42" s="59">
        <f>+IFERROR(VLOOKUP($A42,'Goals &amp; Budget 2026'!$A$2:$EJ$49,39,FALSE),0)</f>
        <v>0</v>
      </c>
      <c r="X42" s="232" t="str">
        <f t="shared" si="23"/>
        <v>***</v>
      </c>
      <c r="Y42" s="59"/>
      <c r="Z42" s="59">
        <f>+IFERROR(VLOOKUP($A42,'Goals &amp; Budget 2026'!$A$2:$EJ$49,40,FALSE),0)</f>
        <v>0</v>
      </c>
      <c r="AA42" s="65" t="str">
        <f t="shared" si="24"/>
        <v>***</v>
      </c>
      <c r="AB42" s="59"/>
      <c r="AC42" s="59">
        <f>+IFERROR(VLOOKUP($A42,'Goals &amp; Budget 2026'!$A$2:$EJ$49,41,FALSE),0)</f>
        <v>0</v>
      </c>
      <c r="AD42" s="65" t="str">
        <f t="shared" si="25"/>
        <v>***</v>
      </c>
      <c r="AE42" s="59"/>
      <c r="AF42" s="59">
        <f>+IFERROR(VLOOKUP($A42,'Goals &amp; Budget 2026'!$A$2:$EJ$49,42,FALSE),0)</f>
        <v>0</v>
      </c>
      <c r="AG42" s="232" t="str">
        <f t="shared" si="26"/>
        <v>***</v>
      </c>
      <c r="AH42" s="59"/>
      <c r="AI42" s="59">
        <f>+IFERROR(VLOOKUP($A42,'Goals &amp; Budget 2026'!$A$2:$EJ$49,43,FALSE),0)</f>
        <v>0</v>
      </c>
      <c r="AJ42" s="65" t="str">
        <f t="shared" si="27"/>
        <v>***</v>
      </c>
      <c r="AK42" s="59"/>
      <c r="AL42" s="59">
        <f>+IFERROR(VLOOKUP($A42,'Goals &amp; Budget 2026'!$A$2:$EJ$49,44,FALSE),0)</f>
        <v>0</v>
      </c>
      <c r="AM42" s="65" t="str">
        <f t="shared" si="28"/>
        <v>***</v>
      </c>
      <c r="AN42" s="59"/>
      <c r="AO42" s="59">
        <f>+IFERROR(VLOOKUP($A42,'Goals &amp; Budget 2026'!$A$2:$EJ$49,45,FALSE),0)</f>
        <v>0</v>
      </c>
      <c r="AP42" s="66" t="str">
        <f t="shared" si="29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58">
        <f t="shared" si="15"/>
        <v>0</v>
      </c>
      <c r="E43" s="59">
        <f t="shared" si="16"/>
        <v>0</v>
      </c>
      <c r="F43" s="232" t="str">
        <f t="shared" si="17"/>
        <v>***</v>
      </c>
      <c r="G43" s="59"/>
      <c r="H43" s="59">
        <f>+IFERROR(VLOOKUP($A43,'Goals &amp; Budget 2026'!$A$2:$EJ$49,34,FALSE),0)</f>
        <v>0</v>
      </c>
      <c r="I43" s="65" t="str">
        <f t="shared" si="18"/>
        <v>***</v>
      </c>
      <c r="J43" s="59"/>
      <c r="K43" s="59">
        <f>+IFERROR(VLOOKUP($A43,'Goals &amp; Budget 2026'!$A$2:$EJ$49,35,FALSE),0)</f>
        <v>0</v>
      </c>
      <c r="L43" s="65" t="str">
        <f t="shared" si="19"/>
        <v>***</v>
      </c>
      <c r="M43" s="59"/>
      <c r="N43" s="59">
        <f>+IFERROR(VLOOKUP($A43,'Goals &amp; Budget 2026'!$A$2:$EJ$49,36,FALSE),0)</f>
        <v>0</v>
      </c>
      <c r="O43" s="232" t="str">
        <f t="shared" si="20"/>
        <v>***</v>
      </c>
      <c r="P43" s="59"/>
      <c r="Q43" s="59">
        <f>+IFERROR(VLOOKUP($A43,'Goals &amp; Budget 2026'!$A$2:$EJ$49,37,FALSE),0)</f>
        <v>0</v>
      </c>
      <c r="R43" s="65" t="str">
        <f t="shared" si="21"/>
        <v>***</v>
      </c>
      <c r="S43" s="59"/>
      <c r="T43" s="59">
        <f>+IFERROR(VLOOKUP($A43,'Goals &amp; Budget 2026'!$A$2:$EJ$49,38,FALSE),0)</f>
        <v>0</v>
      </c>
      <c r="U43" s="65" t="str">
        <f t="shared" si="22"/>
        <v>***</v>
      </c>
      <c r="V43" s="59"/>
      <c r="W43" s="59">
        <f>+IFERROR(VLOOKUP($A43,'Goals &amp; Budget 2026'!$A$2:$EJ$49,39,FALSE),0)</f>
        <v>0</v>
      </c>
      <c r="X43" s="232" t="str">
        <f t="shared" si="23"/>
        <v>***</v>
      </c>
      <c r="Y43" s="59"/>
      <c r="Z43" s="59">
        <f>+IFERROR(VLOOKUP($A43,'Goals &amp; Budget 2026'!$A$2:$EJ$49,40,FALSE),0)</f>
        <v>0</v>
      </c>
      <c r="AA43" s="65" t="str">
        <f t="shared" si="24"/>
        <v>***</v>
      </c>
      <c r="AB43" s="59"/>
      <c r="AC43" s="59">
        <f>+IFERROR(VLOOKUP($A43,'Goals &amp; Budget 2026'!$A$2:$EJ$49,41,FALSE),0)</f>
        <v>0</v>
      </c>
      <c r="AD43" s="65" t="str">
        <f t="shared" si="25"/>
        <v>***</v>
      </c>
      <c r="AE43" s="59"/>
      <c r="AF43" s="59">
        <f>+IFERROR(VLOOKUP($A43,'Goals &amp; Budget 2026'!$A$2:$EJ$49,42,FALSE),0)</f>
        <v>0</v>
      </c>
      <c r="AG43" s="232" t="str">
        <f t="shared" si="26"/>
        <v>***</v>
      </c>
      <c r="AH43" s="59"/>
      <c r="AI43" s="59">
        <f>+IFERROR(VLOOKUP($A43,'Goals &amp; Budget 2026'!$A$2:$EJ$49,43,FALSE),0)</f>
        <v>0</v>
      </c>
      <c r="AJ43" s="65" t="str">
        <f t="shared" si="27"/>
        <v>***</v>
      </c>
      <c r="AK43" s="59"/>
      <c r="AL43" s="59">
        <f>+IFERROR(VLOOKUP($A43,'Goals &amp; Budget 2026'!$A$2:$EJ$49,44,FALSE),0)</f>
        <v>0</v>
      </c>
      <c r="AM43" s="65" t="str">
        <f t="shared" si="28"/>
        <v>***</v>
      </c>
      <c r="AN43" s="59"/>
      <c r="AO43" s="59">
        <f>+IFERROR(VLOOKUP($A43,'Goals &amp; Budget 2026'!$A$2:$EJ$49,45,FALSE),0)</f>
        <v>0</v>
      </c>
      <c r="AP43" s="66" t="str">
        <f t="shared" si="29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15"/>
        <v>0</v>
      </c>
      <c r="E44" s="54">
        <f t="shared" si="16"/>
        <v>0</v>
      </c>
      <c r="F44" s="232" t="str">
        <f t="shared" si="17"/>
        <v>***</v>
      </c>
      <c r="G44" s="54"/>
      <c r="H44" s="54">
        <f>+IFERROR(VLOOKUP($A44,'Goals &amp; Budget 2026'!$A$2:$EJ$49,34,FALSE),0)</f>
        <v>0</v>
      </c>
      <c r="I44" s="65" t="str">
        <f t="shared" si="18"/>
        <v>***</v>
      </c>
      <c r="J44" s="54"/>
      <c r="K44" s="54">
        <f>+IFERROR(VLOOKUP($A44,'Goals &amp; Budget 2026'!$A$2:$EJ$49,35,FALSE),0)</f>
        <v>0</v>
      </c>
      <c r="L44" s="65" t="str">
        <f t="shared" si="19"/>
        <v>***</v>
      </c>
      <c r="M44" s="54"/>
      <c r="N44" s="54">
        <f>+IFERROR(VLOOKUP($A44,'Goals &amp; Budget 2026'!$A$2:$EJ$49,36,FALSE),0)</f>
        <v>0</v>
      </c>
      <c r="O44" s="232" t="str">
        <f t="shared" si="20"/>
        <v>***</v>
      </c>
      <c r="P44" s="54"/>
      <c r="Q44" s="54">
        <f>+IFERROR(VLOOKUP($A44,'Goals &amp; Budget 2026'!$A$2:$EJ$49,37,FALSE),0)</f>
        <v>0</v>
      </c>
      <c r="R44" s="65" t="str">
        <f t="shared" si="21"/>
        <v>***</v>
      </c>
      <c r="S44" s="54"/>
      <c r="T44" s="54">
        <f>+IFERROR(VLOOKUP($A44,'Goals &amp; Budget 2026'!$A$2:$EJ$49,38,FALSE),0)</f>
        <v>0</v>
      </c>
      <c r="U44" s="65" t="str">
        <f t="shared" si="22"/>
        <v>***</v>
      </c>
      <c r="V44" s="54"/>
      <c r="W44" s="54">
        <f>+IFERROR(VLOOKUP($A44,'Goals &amp; Budget 2026'!$A$2:$EJ$49,39,FALSE),0)</f>
        <v>0</v>
      </c>
      <c r="X44" s="232" t="str">
        <f t="shared" si="23"/>
        <v>***</v>
      </c>
      <c r="Y44" s="54"/>
      <c r="Z44" s="54">
        <f>+IFERROR(VLOOKUP($A44,'Goals &amp; Budget 2026'!$A$2:$EJ$49,40,FALSE),0)</f>
        <v>0</v>
      </c>
      <c r="AA44" s="65" t="str">
        <f t="shared" si="24"/>
        <v>***</v>
      </c>
      <c r="AB44" s="54"/>
      <c r="AC44" s="54">
        <f>+IFERROR(VLOOKUP($A44,'Goals &amp; Budget 2026'!$A$2:$EJ$49,41,FALSE),0)</f>
        <v>0</v>
      </c>
      <c r="AD44" s="65" t="str">
        <f t="shared" si="25"/>
        <v>***</v>
      </c>
      <c r="AE44" s="54"/>
      <c r="AF44" s="54">
        <f>+IFERROR(VLOOKUP($A44,'Goals &amp; Budget 2026'!$A$2:$EJ$49,42,FALSE),0)</f>
        <v>0</v>
      </c>
      <c r="AG44" s="232" t="str">
        <f t="shared" si="26"/>
        <v>***</v>
      </c>
      <c r="AH44" s="54"/>
      <c r="AI44" s="54">
        <f>+IFERROR(VLOOKUP($A44,'Goals &amp; Budget 2026'!$A$2:$EJ$49,43,FALSE),0)</f>
        <v>0</v>
      </c>
      <c r="AJ44" s="65" t="str">
        <f t="shared" si="27"/>
        <v>***</v>
      </c>
      <c r="AK44" s="54"/>
      <c r="AL44" s="54">
        <f>+IFERROR(VLOOKUP($A44,'Goals &amp; Budget 2026'!$A$2:$EJ$49,44,FALSE),0)</f>
        <v>0</v>
      </c>
      <c r="AM44" s="65" t="str">
        <f t="shared" si="28"/>
        <v>***</v>
      </c>
      <c r="AN44" s="54"/>
      <c r="AO44" s="54">
        <f>+IFERROR(VLOOKUP($A44,'Goals &amp; Budget 2026'!$A$2:$EJ$49,45,FALSE),0)</f>
        <v>0</v>
      </c>
      <c r="AP44" s="66" t="str">
        <f t="shared" si="29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15"/>
        <v>0</v>
      </c>
      <c r="E45" s="54">
        <f t="shared" si="16"/>
        <v>0</v>
      </c>
      <c r="F45" s="232" t="str">
        <f t="shared" si="17"/>
        <v>***</v>
      </c>
      <c r="G45" s="54"/>
      <c r="H45" s="54">
        <f>+IFERROR(VLOOKUP($A45,'Goals &amp; Budget 2026'!$A$2:$EJ$49,34,FALSE),0)</f>
        <v>0</v>
      </c>
      <c r="I45" s="65" t="str">
        <f t="shared" si="18"/>
        <v>***</v>
      </c>
      <c r="J45" s="54"/>
      <c r="K45" s="54">
        <f>+IFERROR(VLOOKUP($A45,'Goals &amp; Budget 2026'!$A$2:$EJ$49,35,FALSE),0)</f>
        <v>0</v>
      </c>
      <c r="L45" s="65" t="str">
        <f t="shared" si="19"/>
        <v>***</v>
      </c>
      <c r="M45" s="54"/>
      <c r="N45" s="54">
        <f>+IFERROR(VLOOKUP($A45,'Goals &amp; Budget 2026'!$A$2:$EJ$49,36,FALSE),0)</f>
        <v>0</v>
      </c>
      <c r="O45" s="232" t="str">
        <f t="shared" si="20"/>
        <v>***</v>
      </c>
      <c r="P45" s="54"/>
      <c r="Q45" s="54">
        <f>+IFERROR(VLOOKUP($A45,'Goals &amp; Budget 2026'!$A$2:$EJ$49,37,FALSE),0)</f>
        <v>0</v>
      </c>
      <c r="R45" s="65" t="str">
        <f t="shared" si="21"/>
        <v>***</v>
      </c>
      <c r="S45" s="54"/>
      <c r="T45" s="54">
        <f>+IFERROR(VLOOKUP($A45,'Goals &amp; Budget 2026'!$A$2:$EJ$49,38,FALSE),0)</f>
        <v>0</v>
      </c>
      <c r="U45" s="65" t="str">
        <f t="shared" si="22"/>
        <v>***</v>
      </c>
      <c r="V45" s="54"/>
      <c r="W45" s="54">
        <f>+IFERROR(VLOOKUP($A45,'Goals &amp; Budget 2026'!$A$2:$EJ$49,39,FALSE),0)</f>
        <v>0</v>
      </c>
      <c r="X45" s="232" t="str">
        <f t="shared" si="23"/>
        <v>***</v>
      </c>
      <c r="Y45" s="54"/>
      <c r="Z45" s="54">
        <f>+IFERROR(VLOOKUP($A45,'Goals &amp; Budget 2026'!$A$2:$EJ$49,40,FALSE),0)</f>
        <v>0</v>
      </c>
      <c r="AA45" s="65" t="str">
        <f t="shared" si="24"/>
        <v>***</v>
      </c>
      <c r="AB45" s="54"/>
      <c r="AC45" s="54">
        <f>+IFERROR(VLOOKUP($A45,'Goals &amp; Budget 2026'!$A$2:$EJ$49,41,FALSE),0)</f>
        <v>0</v>
      </c>
      <c r="AD45" s="65" t="str">
        <f t="shared" si="25"/>
        <v>***</v>
      </c>
      <c r="AE45" s="54"/>
      <c r="AF45" s="54">
        <f>+IFERROR(VLOOKUP($A45,'Goals &amp; Budget 2026'!$A$2:$EJ$49,42,FALSE),0)</f>
        <v>0</v>
      </c>
      <c r="AG45" s="232" t="str">
        <f t="shared" si="26"/>
        <v>***</v>
      </c>
      <c r="AH45" s="54"/>
      <c r="AI45" s="54">
        <f>+IFERROR(VLOOKUP($A45,'Goals &amp; Budget 2026'!$A$2:$EJ$49,43,FALSE),0)</f>
        <v>0</v>
      </c>
      <c r="AJ45" s="65" t="str">
        <f t="shared" si="27"/>
        <v>***</v>
      </c>
      <c r="AK45" s="54"/>
      <c r="AL45" s="54">
        <f>+IFERROR(VLOOKUP($A45,'Goals &amp; Budget 2026'!$A$2:$EJ$49,44,FALSE),0)</f>
        <v>0</v>
      </c>
      <c r="AM45" s="65" t="str">
        <f t="shared" si="28"/>
        <v>***</v>
      </c>
      <c r="AN45" s="54"/>
      <c r="AO45" s="54">
        <f>+IFERROR(VLOOKUP($A45,'Goals &amp; Budget 2026'!$A$2:$EJ$49,45,FALSE),0)</f>
        <v>0</v>
      </c>
      <c r="AP45" s="66" t="str">
        <f t="shared" si="29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8">
        <f t="shared" si="15"/>
        <v>0</v>
      </c>
      <c r="E46" s="59">
        <f t="shared" si="16"/>
        <v>0</v>
      </c>
      <c r="F46" s="232" t="str">
        <f t="shared" si="17"/>
        <v>***</v>
      </c>
      <c r="G46" s="59"/>
      <c r="H46" s="59">
        <f>+IFERROR(VLOOKUP($A46,'Goals &amp; Budget 2026'!$A$2:$EJ$49,34,FALSE),0)</f>
        <v>0</v>
      </c>
      <c r="I46" s="65" t="str">
        <f t="shared" si="18"/>
        <v>***</v>
      </c>
      <c r="J46" s="59"/>
      <c r="K46" s="59">
        <f>+IFERROR(VLOOKUP($A46,'Goals &amp; Budget 2026'!$A$2:$EJ$49,35,FALSE),0)</f>
        <v>0</v>
      </c>
      <c r="L46" s="65" t="str">
        <f t="shared" si="19"/>
        <v>***</v>
      </c>
      <c r="M46" s="59"/>
      <c r="N46" s="59">
        <f>+IFERROR(VLOOKUP($A46,'Goals &amp; Budget 2026'!$A$2:$EJ$49,36,FALSE),0)</f>
        <v>0</v>
      </c>
      <c r="O46" s="232" t="str">
        <f t="shared" si="20"/>
        <v>***</v>
      </c>
      <c r="P46" s="59"/>
      <c r="Q46" s="59">
        <f>+IFERROR(VLOOKUP($A46,'Goals &amp; Budget 2026'!$A$2:$EJ$49,37,FALSE),0)</f>
        <v>0</v>
      </c>
      <c r="R46" s="65" t="str">
        <f t="shared" si="21"/>
        <v>***</v>
      </c>
      <c r="S46" s="59"/>
      <c r="T46" s="59">
        <f>+IFERROR(VLOOKUP($A46,'Goals &amp; Budget 2026'!$A$2:$EJ$49,38,FALSE),0)</f>
        <v>0</v>
      </c>
      <c r="U46" s="65" t="str">
        <f t="shared" si="22"/>
        <v>***</v>
      </c>
      <c r="V46" s="59"/>
      <c r="W46" s="59">
        <f>+IFERROR(VLOOKUP($A46,'Goals &amp; Budget 2026'!$A$2:$EJ$49,39,FALSE),0)</f>
        <v>0</v>
      </c>
      <c r="X46" s="232" t="str">
        <f t="shared" si="23"/>
        <v>***</v>
      </c>
      <c r="Y46" s="59"/>
      <c r="Z46" s="59">
        <f>+IFERROR(VLOOKUP($A46,'Goals &amp; Budget 2026'!$A$2:$EJ$49,40,FALSE),0)</f>
        <v>0</v>
      </c>
      <c r="AA46" s="65" t="str">
        <f t="shared" si="24"/>
        <v>***</v>
      </c>
      <c r="AB46" s="59"/>
      <c r="AC46" s="59">
        <f>+IFERROR(VLOOKUP($A46,'Goals &amp; Budget 2026'!$A$2:$EJ$49,41,FALSE),0)</f>
        <v>0</v>
      </c>
      <c r="AD46" s="65" t="str">
        <f t="shared" si="25"/>
        <v>***</v>
      </c>
      <c r="AE46" s="59"/>
      <c r="AF46" s="59">
        <f>+IFERROR(VLOOKUP($A46,'Goals &amp; Budget 2026'!$A$2:$EJ$49,42,FALSE),0)</f>
        <v>0</v>
      </c>
      <c r="AG46" s="232" t="str">
        <f t="shared" si="26"/>
        <v>***</v>
      </c>
      <c r="AH46" s="59"/>
      <c r="AI46" s="59">
        <f>+IFERROR(VLOOKUP($A46,'Goals &amp; Budget 2026'!$A$2:$EJ$49,43,FALSE),0)</f>
        <v>0</v>
      </c>
      <c r="AJ46" s="65" t="str">
        <f t="shared" si="27"/>
        <v>***</v>
      </c>
      <c r="AK46" s="59"/>
      <c r="AL46" s="59">
        <f>+IFERROR(VLOOKUP($A46,'Goals &amp; Budget 2026'!$A$2:$EJ$49,44,FALSE),0)</f>
        <v>0</v>
      </c>
      <c r="AM46" s="65" t="str">
        <f t="shared" si="28"/>
        <v>***</v>
      </c>
      <c r="AN46" s="59"/>
      <c r="AO46" s="59">
        <f>+IFERROR(VLOOKUP($A46,'Goals &amp; Budget 2026'!$A$2:$EJ$49,45,FALSE),0)</f>
        <v>0</v>
      </c>
      <c r="AP46" s="66" t="str">
        <f t="shared" si="29"/>
        <v>***</v>
      </c>
    </row>
    <row r="47" spans="1:42" ht="20.100000000000001" customHeight="1" thickBot="1" x14ac:dyDescent="0.3">
      <c r="A47" s="51" t="s">
        <v>106</v>
      </c>
      <c r="B47" s="52">
        <v>1</v>
      </c>
      <c r="C47" s="53">
        <v>378</v>
      </c>
      <c r="D47" s="58">
        <f t="shared" si="15"/>
        <v>0</v>
      </c>
      <c r="E47" s="59">
        <f t="shared" si="16"/>
        <v>0</v>
      </c>
      <c r="F47" s="232" t="str">
        <f t="shared" si="17"/>
        <v>***</v>
      </c>
      <c r="G47" s="59"/>
      <c r="H47" s="59">
        <f>+IFERROR(VLOOKUP($A47,'Goals &amp; Budget 2026'!$A$2:$EJ$49,34,FALSE),0)</f>
        <v>0</v>
      </c>
      <c r="I47" s="65" t="str">
        <f t="shared" si="18"/>
        <v>***</v>
      </c>
      <c r="J47" s="59"/>
      <c r="K47" s="59">
        <f>+IFERROR(VLOOKUP($A47,'Goals &amp; Budget 2026'!$A$2:$EJ$49,35,FALSE),0)</f>
        <v>0</v>
      </c>
      <c r="L47" s="65" t="str">
        <f t="shared" si="19"/>
        <v>***</v>
      </c>
      <c r="M47" s="59"/>
      <c r="N47" s="59">
        <f>+IFERROR(VLOOKUP($A47,'Goals &amp; Budget 2026'!$A$2:$EJ$49,36,FALSE),0)</f>
        <v>0</v>
      </c>
      <c r="O47" s="232" t="str">
        <f t="shared" si="20"/>
        <v>***</v>
      </c>
      <c r="P47" s="59"/>
      <c r="Q47" s="59">
        <f>+IFERROR(VLOOKUP($A47,'Goals &amp; Budget 2026'!$A$2:$EJ$49,37,FALSE),0)</f>
        <v>0</v>
      </c>
      <c r="R47" s="65" t="str">
        <f t="shared" si="21"/>
        <v>***</v>
      </c>
      <c r="S47" s="59"/>
      <c r="T47" s="59">
        <f>+IFERROR(VLOOKUP($A47,'Goals &amp; Budget 2026'!$A$2:$EJ$49,38,FALSE),0)</f>
        <v>0</v>
      </c>
      <c r="U47" s="65" t="str">
        <f t="shared" si="22"/>
        <v>***</v>
      </c>
      <c r="V47" s="59"/>
      <c r="W47" s="59">
        <f>+IFERROR(VLOOKUP($A47,'Goals &amp; Budget 2026'!$A$2:$EJ$49,39,FALSE),0)</f>
        <v>0</v>
      </c>
      <c r="X47" s="232" t="str">
        <f t="shared" si="23"/>
        <v>***</v>
      </c>
      <c r="Y47" s="59"/>
      <c r="Z47" s="59">
        <f>+IFERROR(VLOOKUP($A47,'Goals &amp; Budget 2026'!$A$2:$EJ$49,40,FALSE),0)</f>
        <v>0</v>
      </c>
      <c r="AA47" s="65" t="str">
        <f t="shared" si="24"/>
        <v>***</v>
      </c>
      <c r="AB47" s="59"/>
      <c r="AC47" s="59">
        <f>+IFERROR(VLOOKUP($A47,'Goals &amp; Budget 2026'!$A$2:$EJ$49,41,FALSE),0)</f>
        <v>0</v>
      </c>
      <c r="AD47" s="65" t="str">
        <f t="shared" si="25"/>
        <v>***</v>
      </c>
      <c r="AE47" s="59"/>
      <c r="AF47" s="59">
        <f>+IFERROR(VLOOKUP($A47,'Goals &amp; Budget 2026'!$A$2:$EJ$49,42,FALSE),0)</f>
        <v>0</v>
      </c>
      <c r="AG47" s="232" t="str">
        <f t="shared" si="26"/>
        <v>***</v>
      </c>
      <c r="AH47" s="59"/>
      <c r="AI47" s="59">
        <f>+IFERROR(VLOOKUP($A47,'Goals &amp; Budget 2026'!$A$2:$EJ$49,43,FALSE),0)</f>
        <v>0</v>
      </c>
      <c r="AJ47" s="65" t="str">
        <f t="shared" si="27"/>
        <v>***</v>
      </c>
      <c r="AK47" s="59"/>
      <c r="AL47" s="59">
        <f>+IFERROR(VLOOKUP($A47,'Goals &amp; Budget 2026'!$A$2:$EJ$49,44,FALSE),0)</f>
        <v>0</v>
      </c>
      <c r="AM47" s="65" t="str">
        <f t="shared" si="28"/>
        <v>***</v>
      </c>
      <c r="AN47" s="59"/>
      <c r="AO47" s="59">
        <f>+IFERROR(VLOOKUP($A47,'Goals &amp; Budget 2026'!$A$2:$EJ$49,45,FALSE),0)</f>
        <v>0</v>
      </c>
      <c r="AP47" s="66" t="str">
        <f t="shared" si="29"/>
        <v>***</v>
      </c>
    </row>
    <row r="48" spans="1:42" ht="20.100000000000001" customHeight="1" thickBot="1" x14ac:dyDescent="0.3">
      <c r="A48" s="250" t="s">
        <v>12</v>
      </c>
      <c r="B48" s="251"/>
      <c r="C48" s="252"/>
      <c r="D48" s="253" t="e">
        <f>AVERAGEIF(D3:D47,"&gt;0")</f>
        <v>#DIV/0!</v>
      </c>
      <c r="E48" s="254" t="e">
        <f>AVERAGEIF(E3:E47,"&gt;0")</f>
        <v>#DIV/0!</v>
      </c>
      <c r="F48" s="255" t="e">
        <f t="shared" ref="F48" si="30">IF(AND(D48&gt;0,E48&gt;0),D48/E48,IF(AND(D48&gt;0,E48=0),100%,IF(AND(D48=0,E48&gt;0),0,IF(AND(D48=0,E48=0),"***",0))))</f>
        <v>#DIV/0!</v>
      </c>
      <c r="G48" s="254">
        <f>+IFERROR(AVERAGE(G3:G47),0)</f>
        <v>0</v>
      </c>
      <c r="H48" s="254">
        <f>+IFERROR(AVERAGE(H3:H47),0)</f>
        <v>0</v>
      </c>
      <c r="I48" s="256" t="str">
        <f t="shared" ref="I48" si="31">IF(AND(G48&gt;0,H48&gt;0),G48/H48,IF(AND(G48&gt;0,H48=0),100%,IF(AND(G48=0,H48&gt;0),0,IF(AND(G48=0,H48=0),"***",0))))</f>
        <v>***</v>
      </c>
      <c r="J48" s="254">
        <f>+IFERROR(AVERAGE(J3:J47),0)</f>
        <v>0</v>
      </c>
      <c r="K48" s="254">
        <f>+IFERROR(AVERAGE(K3:K47),0)</f>
        <v>0</v>
      </c>
      <c r="L48" s="256" t="str">
        <f t="shared" ref="L48" si="32">IF(AND(J48&gt;0,K48&gt;0),J48/K48,IF(AND(J48&gt;0,K48=0),100%,IF(AND(J48=0,K48&gt;0),0,IF(AND(J48=0,K48=0),"***",0))))</f>
        <v>***</v>
      </c>
      <c r="M48" s="254">
        <f>+IFERROR(AVERAGE(M3:M47),0)</f>
        <v>0</v>
      </c>
      <c r="N48" s="254">
        <f>+IFERROR(AVERAGE(N3:N47),0)</f>
        <v>0</v>
      </c>
      <c r="O48" s="255" t="str">
        <f t="shared" ref="O48" si="33">IF(AND(M48&gt;0,N48&gt;0),M48/N48,IF(AND(M48&gt;0,N48=0),100%,IF(AND(M48=0,N48&gt;0),0,IF(AND(M48=0,N48=0),"***",0))))</f>
        <v>***</v>
      </c>
      <c r="P48" s="254">
        <f>+IFERROR(AVERAGE(P3:P47),0)</f>
        <v>0</v>
      </c>
      <c r="Q48" s="254">
        <f>+IFERROR(AVERAGE(Q3:Q47),0)</f>
        <v>0</v>
      </c>
      <c r="R48" s="256" t="str">
        <f t="shared" ref="R48" si="34">IF(AND(P48&gt;0,Q48&gt;0),P48/Q48,IF(AND(P48&gt;0,Q48=0),100%,IF(AND(P48=0,Q48&gt;0),0,IF(AND(P48=0,Q48=0),"***",0))))</f>
        <v>***</v>
      </c>
      <c r="S48" s="254">
        <f>+IFERROR(AVERAGE(S3:S47),0)</f>
        <v>0</v>
      </c>
      <c r="T48" s="254">
        <f>+IFERROR(AVERAGE(T3:T47),0)</f>
        <v>0</v>
      </c>
      <c r="U48" s="256" t="str">
        <f t="shared" ref="U48" si="35">IF(AND(S48&gt;0,T48&gt;0),S48/T48,IF(AND(S48&gt;0,T48=0),100%,IF(AND(S48=0,T48&gt;0),0,IF(AND(S48=0,T48=0),"***",0))))</f>
        <v>***</v>
      </c>
      <c r="V48" s="254">
        <f>+IFERROR(AVERAGE(V3:V47),0)</f>
        <v>0</v>
      </c>
      <c r="W48" s="254">
        <f>+IFERROR(AVERAGE(W3:W47),0)</f>
        <v>0</v>
      </c>
      <c r="X48" s="255" t="str">
        <f t="shared" ref="X48" si="36">IF(AND(V48&gt;0,W48&gt;0),V48/W48,IF(AND(V48&gt;0,W48=0),100%,IF(AND(V48=0,W48&gt;0),0,IF(AND(V48=0,W48=0),"***",0))))</f>
        <v>***</v>
      </c>
      <c r="Y48" s="254">
        <f>+IFERROR(AVERAGE(Y3:Y47),0)</f>
        <v>0</v>
      </c>
      <c r="Z48" s="254">
        <f>+IFERROR(AVERAGE(Z3:Z47),0)</f>
        <v>0</v>
      </c>
      <c r="AA48" s="256" t="str">
        <f t="shared" ref="AA48" si="37">IF(AND(Y48&gt;0,Z48&gt;0),Y48/Z48,IF(AND(Y48&gt;0,Z48=0),100%,IF(AND(Y48=0,Z48&gt;0),0,IF(AND(Y48=0,Z48=0),"***",0))))</f>
        <v>***</v>
      </c>
      <c r="AB48" s="254">
        <f>+IFERROR(AVERAGE(AB3:AB47),0)</f>
        <v>0</v>
      </c>
      <c r="AC48" s="254">
        <f>+IFERROR(AVERAGE(AC3:AC47),0)</f>
        <v>0</v>
      </c>
      <c r="AD48" s="256" t="str">
        <f t="shared" ref="AD48" si="38">IF(AND(AB48&gt;0,AC48&gt;0),AB48/AC48,IF(AND(AB48&gt;0,AC48=0),100%,IF(AND(AB48=0,AC48&gt;0),0,IF(AND(AB48=0,AC48=0),"***",0))))</f>
        <v>***</v>
      </c>
      <c r="AE48" s="254">
        <f>+IFERROR(AVERAGE(AE3:AE47),0)</f>
        <v>0</v>
      </c>
      <c r="AF48" s="254">
        <f>+IFERROR(AVERAGE(AF3:AF47),0)</f>
        <v>0</v>
      </c>
      <c r="AG48" s="255" t="str">
        <f t="shared" ref="AG48" si="39">IF(AND(AE48&gt;0,AF48&gt;0),AE48/AF48,IF(AND(AE48&gt;0,AF48=0),100%,IF(AND(AE48=0,AF48&gt;0),0,IF(AND(AE48=0,AF48=0),"***",0))))</f>
        <v>***</v>
      </c>
      <c r="AH48" s="254">
        <f>+IFERROR(AVERAGE(AH3:AH47),0)</f>
        <v>0</v>
      </c>
      <c r="AI48" s="254">
        <f>+IFERROR(AVERAGE(AI3:AI47),0)</f>
        <v>0</v>
      </c>
      <c r="AJ48" s="256" t="str">
        <f t="shared" ref="AJ48" si="40">IF(AND(AH48&gt;0,AI48&gt;0),AH48/AI48,IF(AND(AH48&gt;0,AI48=0),100%,IF(AND(AH48=0,AI48&gt;0),0,IF(AND(AH48=0,AI48=0),"***",0))))</f>
        <v>***</v>
      </c>
      <c r="AK48" s="254">
        <f>+IFERROR(AVERAGE(AK3:AK47),0)</f>
        <v>0</v>
      </c>
      <c r="AL48" s="254">
        <f>+IFERROR(AVERAGE(AL3:AL47),0)</f>
        <v>0</v>
      </c>
      <c r="AM48" s="256" t="str">
        <f t="shared" ref="AM48" si="41">IF(AND(AK48&gt;0,AL48&gt;0),AK48/AL48,IF(AND(AK48&gt;0,AL48=0),100%,IF(AND(AK48=0,AL48&gt;0),0,IF(AND(AK48=0,AL48=0),"***",0))))</f>
        <v>***</v>
      </c>
      <c r="AN48" s="254">
        <f>+IFERROR(AVERAGE(AN3:AN47),0)</f>
        <v>0</v>
      </c>
      <c r="AO48" s="254">
        <f>+IFERROR(AVERAGE(AO3:AO47),0)</f>
        <v>0</v>
      </c>
      <c r="AP48" s="257" t="str">
        <f t="shared" ref="AP48" si="42">IF(AND(AN48&gt;0,AO48&gt;0),AN48/AO48,IF(AND(AN48&gt;0,AO48=0),100%,IF(AND(AN48=0,AO48&gt;0),0,IF(AND(AN48=0,AO48=0),"***",0))))</f>
        <v>***</v>
      </c>
    </row>
  </sheetData>
  <mergeCells count="15">
    <mergeCell ref="AK1:AM1"/>
    <mergeCell ref="AN1:AP1"/>
    <mergeCell ref="A48:C48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conditionalFormatting sqref="F3:F48 I3:I48 L3:L48 O3:O48 R3:R48 U3:U48 X3:X48 AA3:AA48 AD3:AD48 AG3:AG48 AJ3:AJ48 AM3:AM48 AP3:AP48">
    <cfRule type="cellIs" priority="1" operator="equal">
      <formula>"***"</formula>
    </cfRule>
    <cfRule type="cellIs" dxfId="17" priority="2" operator="lessThan">
      <formula>1</formula>
    </cfRule>
    <cfRule type="cellIs" dxfId="16" priority="3" operator="greaterThanOrEqual">
      <formula>1</formula>
    </cfRule>
  </conditionalFormatting>
  <pageMargins left="0.7" right="0.7" top="0.75" bottom="0.75" header="0.3" footer="0.3"/>
  <ignoredErrors>
    <ignoredError sqref="F4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3589-27AF-4310-9729-98C8C6FECA46}">
  <sheetPr>
    <tabColor theme="5" tint="0.79998168889431442"/>
  </sheetPr>
  <dimension ref="A1:AP49"/>
  <sheetViews>
    <sheetView showGridLines="0" zoomScale="70" zoomScaleNormal="70" workbookViewId="0">
      <pane xSplit="6" ySplit="2" topLeftCell="G3" activePane="bottomRight" state="frozen"/>
      <selection activeCell="Z21" sqref="Z21:Z23"/>
      <selection pane="topRight" activeCell="Z21" sqref="Z21:Z23"/>
      <selection pane="bottomLeft" activeCell="Z21" sqref="Z21:Z23"/>
      <selection pane="bottomRight" activeCell="A3" sqref="A1:AP49"/>
    </sheetView>
  </sheetViews>
  <sheetFormatPr defaultRowHeight="20.100000000000001" customHeight="1" x14ac:dyDescent="0.25"/>
  <cols>
    <col min="1" max="1" width="23.42578125" style="1" bestFit="1" customWidth="1"/>
    <col min="2" max="2" width="7.140625" style="1" bestFit="1" customWidth="1"/>
    <col min="3" max="3" width="9.28515625" style="1" bestFit="1" customWidth="1"/>
    <col min="4" max="5" width="10.5703125" style="1" bestFit="1" customWidth="1"/>
    <col min="6" max="6" width="5.7109375" style="1" bestFit="1" customWidth="1"/>
    <col min="7" max="8" width="9.5703125" style="1" bestFit="1" customWidth="1"/>
    <col min="9" max="9" width="5.7109375" style="1" bestFit="1" customWidth="1"/>
    <col min="10" max="11" width="9.5703125" style="1" bestFit="1" customWidth="1"/>
    <col min="12" max="12" width="5.7109375" style="1" bestFit="1" customWidth="1"/>
    <col min="13" max="13" width="9.5703125" style="1" bestFit="1" customWidth="1"/>
    <col min="14" max="14" width="10.5703125" style="1" bestFit="1" customWidth="1"/>
    <col min="15" max="15" width="5.7109375" style="1" bestFit="1" customWidth="1"/>
    <col min="16" max="17" width="9.5703125" style="1" bestFit="1" customWidth="1"/>
    <col min="18" max="18" width="5.7109375" style="1" bestFit="1" customWidth="1"/>
    <col min="19" max="20" width="9.5703125" style="1" bestFit="1" customWidth="1"/>
    <col min="21" max="21" width="5.7109375" style="1" bestFit="1" customWidth="1"/>
    <col min="22" max="23" width="9.5703125" style="1" bestFit="1" customWidth="1"/>
    <col min="24" max="24" width="5.7109375" style="1" bestFit="1" customWidth="1"/>
    <col min="25" max="25" width="9.5703125" style="1" bestFit="1" customWidth="1"/>
    <col min="26" max="26" width="10.5703125" style="1" bestFit="1" customWidth="1"/>
    <col min="27" max="27" width="5.7109375" style="1" bestFit="1" customWidth="1"/>
    <col min="28" max="28" width="9.5703125" style="1" bestFit="1" customWidth="1"/>
    <col min="29" max="29" width="10.5703125" style="1" bestFit="1" customWidth="1"/>
    <col min="30" max="30" width="5.7109375" style="1" bestFit="1" customWidth="1"/>
    <col min="31" max="31" width="9.5703125" style="1" bestFit="1" customWidth="1"/>
    <col min="32" max="32" width="10.5703125" style="1" bestFit="1" customWidth="1"/>
    <col min="33" max="33" width="5.7109375" style="1" bestFit="1" customWidth="1"/>
    <col min="34" max="34" width="6.5703125" style="1" bestFit="1" customWidth="1"/>
    <col min="35" max="35" width="10.5703125" style="1" bestFit="1" customWidth="1"/>
    <col min="36" max="36" width="4.5703125" style="1" bestFit="1" customWidth="1"/>
    <col min="37" max="37" width="6.5703125" style="1" bestFit="1" customWidth="1"/>
    <col min="38" max="38" width="10.5703125" style="1" bestFit="1" customWidth="1"/>
    <col min="39" max="39" width="4.5703125" style="1" bestFit="1" customWidth="1"/>
    <col min="40" max="40" width="6.5703125" style="1" bestFit="1" customWidth="1"/>
    <col min="41" max="41" width="9.5703125" style="1" bestFit="1" customWidth="1"/>
    <col min="42" max="42" width="4.5703125" style="1" bestFit="1" customWidth="1"/>
    <col min="43" max="16384" width="9.140625" style="1"/>
  </cols>
  <sheetData>
    <row r="1" spans="1:42" ht="20.100000000000001" customHeight="1" x14ac:dyDescent="0.25">
      <c r="A1" s="169"/>
      <c r="B1" s="170"/>
      <c r="C1" s="171"/>
      <c r="D1" s="212" t="str">
        <f>+'Dashboard - Overview &amp; Project'!H2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42">
        <f>+G3</f>
        <v>0</v>
      </c>
      <c r="E3" s="43">
        <f>+H3</f>
        <v>0</v>
      </c>
      <c r="F3" s="230" t="str">
        <f>IF(AND(D3&gt;0,E3&gt;0),D3/E3,IF(AND(D3&gt;0,E3=0),100%,IF(AND(D3=0,E3&gt;0),0,IF(AND(D3=0,E3=0),"***",0))))</f>
        <v>***</v>
      </c>
      <c r="G3" s="43"/>
      <c r="H3" s="43">
        <f>+IFERROR(VLOOKUP($A3,'Goals &amp; Budget 2026'!$A$2:$EJ$49,47,FALSE),0)</f>
        <v>0</v>
      </c>
      <c r="I3" s="49" t="str">
        <f>IF(AND(G3&gt;0,H3&gt;0),G3/H3,IF(AND(G3&gt;0,H3=0),100%,IF(AND(G3=0,H3&gt;0),0,IF(AND(G3=0,H3=0),"***",0))))</f>
        <v>***</v>
      </c>
      <c r="J3" s="43"/>
      <c r="K3" s="43">
        <f>+IFERROR(VLOOKUP($A3,'Goals &amp; Budget 2026'!$A$2:$EJ$49,48,FALSE),0)</f>
        <v>0</v>
      </c>
      <c r="L3" s="49" t="str">
        <f>IF(AND(J3&gt;0,K3&gt;0),J3/K3,IF(AND(J3&gt;0,K3=0),100%,IF(AND(J3=0,K3&gt;0),0,IF(AND(J3=0,K3=0),"***",0))))</f>
        <v>***</v>
      </c>
      <c r="M3" s="43"/>
      <c r="N3" s="43">
        <f>+IFERROR(VLOOKUP($A3,'Goals &amp; Budget 2026'!$A$2:$EJ$49,49,FALSE),0)</f>
        <v>0</v>
      </c>
      <c r="O3" s="230" t="str">
        <f>IF(AND(M3&gt;0,N3&gt;0),M3/N3,IF(AND(M3&gt;0,N3=0),100%,IF(AND(M3=0,N3&gt;0),0,IF(AND(M3=0,N3=0),"***",0))))</f>
        <v>***</v>
      </c>
      <c r="P3" s="43"/>
      <c r="Q3" s="43">
        <f>+IFERROR(VLOOKUP($A3,'Goals &amp; Budget 2026'!$A$2:$EJ$49,50,FALSE),0)</f>
        <v>0</v>
      </c>
      <c r="R3" s="49" t="str">
        <f>IF(AND(P3&gt;0,Q3&gt;0),P3/Q3,IF(AND(P3&gt;0,Q3=0),100%,IF(AND(P3=0,Q3&gt;0),0,IF(AND(P3=0,Q3=0),"***",0))))</f>
        <v>***</v>
      </c>
      <c r="S3" s="43"/>
      <c r="T3" s="43">
        <f>+IFERROR(VLOOKUP($A3,'Goals &amp; Budget 2026'!$A$2:$EJ$49,51,FALSE),0)</f>
        <v>0</v>
      </c>
      <c r="U3" s="49" t="str">
        <f>IF(AND(S3&gt;0,T3&gt;0),S3/T3,IF(AND(S3&gt;0,T3=0),100%,IF(AND(S3=0,T3&gt;0),0,IF(AND(S3=0,T3=0),"***",0))))</f>
        <v>***</v>
      </c>
      <c r="V3" s="43"/>
      <c r="W3" s="43">
        <f>+IFERROR(VLOOKUP($A3,'Goals &amp; Budget 2026'!$A$2:$EJ$49,52,FALSE),0)</f>
        <v>0</v>
      </c>
      <c r="X3" s="230" t="str">
        <f>IF(AND(V3&gt;0,W3&gt;0),V3/W3,IF(AND(V3&gt;0,W3=0),100%,IF(AND(V3=0,W3&gt;0),0,IF(AND(V3=0,W3=0),"***",0))))</f>
        <v>***</v>
      </c>
      <c r="Y3" s="43"/>
      <c r="Z3" s="43">
        <f>+IFERROR(VLOOKUP($A3,'Goals &amp; Budget 2026'!$A$2:$EJ$49,53,FALSE),0)</f>
        <v>0</v>
      </c>
      <c r="AA3" s="49" t="str">
        <f>IF(AND(Y3&gt;0,Z3&gt;0),Y3/Z3,IF(AND(Y3&gt;0,Z3=0),100%,IF(AND(Y3=0,Z3&gt;0),0,IF(AND(Y3=0,Z3=0),"***",0))))</f>
        <v>***</v>
      </c>
      <c r="AB3" s="43"/>
      <c r="AC3" s="43">
        <f>+IFERROR(VLOOKUP($A3,'Goals &amp; Budget 2026'!$A$2:$EJ$49,54,FALSE),0)</f>
        <v>0</v>
      </c>
      <c r="AD3" s="49" t="str">
        <f>IF(AND(AB3&gt;0,AC3&gt;0),AB3/AC3,IF(AND(AB3&gt;0,AC3=0),100%,IF(AND(AB3=0,AC3&gt;0),0,IF(AND(AB3=0,AC3=0),"***",0))))</f>
        <v>***</v>
      </c>
      <c r="AE3" s="43"/>
      <c r="AF3" s="43">
        <f>+IFERROR(VLOOKUP($A3,'Goals &amp; Budget 2026'!$A$2:$EJ$49,55,FALSE),0)</f>
        <v>0</v>
      </c>
      <c r="AG3" s="230" t="str">
        <f>IF(AND(AE3&gt;0,AF3&gt;0),AE3/AF3,IF(AND(AE3&gt;0,AF3=0),100%,IF(AND(AE3=0,AF3&gt;0),0,IF(AND(AE3=0,AF3=0),"***",0))))</f>
        <v>***</v>
      </c>
      <c r="AH3" s="43"/>
      <c r="AI3" s="43">
        <f>+IFERROR(VLOOKUP($A3,'Goals &amp; Budget 2026'!$A$2:$EJ$49,56,FALSE),0)</f>
        <v>0</v>
      </c>
      <c r="AJ3" s="49" t="str">
        <f>IF(AND(AH3&gt;0,AI3&gt;0),AH3/AI3,IF(AND(AH3&gt;0,AI3=0),100%,IF(AND(AH3=0,AI3&gt;0),0,IF(AND(AH3=0,AI3=0),"***",0))))</f>
        <v>***</v>
      </c>
      <c r="AK3" s="43"/>
      <c r="AL3" s="43">
        <f>+IFERROR(VLOOKUP($A3,'Goals &amp; Budget 2026'!$A$2:$EJ$49,57,FALSE),0)</f>
        <v>0</v>
      </c>
      <c r="AM3" s="49" t="str">
        <f>IF(AND(AK3&gt;0,AL3&gt;0),AK3/AL3,IF(AND(AK3&gt;0,AL3=0),100%,IF(AND(AK3=0,AL3&gt;0),0,IF(AND(AK3=0,AL3=0),"***",0))))</f>
        <v>***</v>
      </c>
      <c r="AN3" s="43"/>
      <c r="AO3" s="43">
        <f>+IFERROR(VLOOKUP($A3,'Goals &amp; Budget 2026'!$A$2:$EJ$49,58,FALSE),0)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7">
        <f t="shared" ref="D4:D24" si="0">+G4</f>
        <v>0</v>
      </c>
      <c r="E4" s="78">
        <f t="shared" ref="E4:E24" si="1">+H4</f>
        <v>0</v>
      </c>
      <c r="F4" s="231" t="str">
        <f t="shared" ref="F4:F24" si="2">IF(AND(D4&gt;0,E4&gt;0),D4/E4,IF(AND(D4&gt;0,E4=0),100%,IF(AND(D4=0,E4&gt;0),0,IF(AND(D4=0,E4=0),"***",0))))</f>
        <v>***</v>
      </c>
      <c r="G4" s="78"/>
      <c r="H4" s="78">
        <f>+IFERROR(VLOOKUP($A4,'Goals &amp; Budget 2026'!$A$2:$EJ$49,47,FALSE),0)</f>
        <v>0</v>
      </c>
      <c r="I4" s="84" t="str">
        <f t="shared" ref="I4:I24" si="3">IF(AND(G4&gt;0,H4&gt;0),G4/H4,IF(AND(G4&gt;0,H4=0),100%,IF(AND(G4=0,H4&gt;0),0,IF(AND(G4=0,H4=0),"***",0))))</f>
        <v>***</v>
      </c>
      <c r="J4" s="78"/>
      <c r="K4" s="78">
        <f>+IFERROR(VLOOKUP($A4,'Goals &amp; Budget 2026'!$A$2:$EJ$49,48,FALSE),0)</f>
        <v>0</v>
      </c>
      <c r="L4" s="84" t="str">
        <f t="shared" ref="L4:L24" si="4">IF(AND(J4&gt;0,K4&gt;0),J4/K4,IF(AND(J4&gt;0,K4=0),100%,IF(AND(J4=0,K4&gt;0),0,IF(AND(J4=0,K4=0),"***",0))))</f>
        <v>***</v>
      </c>
      <c r="M4" s="78"/>
      <c r="N4" s="78">
        <f>+IFERROR(VLOOKUP($A4,'Goals &amp; Budget 2026'!$A$2:$EJ$49,49,FALSE),0)</f>
        <v>0</v>
      </c>
      <c r="O4" s="231" t="str">
        <f t="shared" ref="O4:O24" si="5">IF(AND(M4&gt;0,N4&gt;0),M4/N4,IF(AND(M4&gt;0,N4=0),100%,IF(AND(M4=0,N4&gt;0),0,IF(AND(M4=0,N4=0),"***",0))))</f>
        <v>***</v>
      </c>
      <c r="P4" s="78"/>
      <c r="Q4" s="78">
        <f>+IFERROR(VLOOKUP($A4,'Goals &amp; Budget 2026'!$A$2:$EJ$49,50,FALSE),0)</f>
        <v>0</v>
      </c>
      <c r="R4" s="84" t="str">
        <f t="shared" ref="R4:R24" si="6">IF(AND(P4&gt;0,Q4&gt;0),P4/Q4,IF(AND(P4&gt;0,Q4=0),100%,IF(AND(P4=0,Q4&gt;0),0,IF(AND(P4=0,Q4=0),"***",0))))</f>
        <v>***</v>
      </c>
      <c r="S4" s="78"/>
      <c r="T4" s="78">
        <f>+IFERROR(VLOOKUP($A4,'Goals &amp; Budget 2026'!$A$2:$EJ$49,51,FALSE),0)</f>
        <v>0</v>
      </c>
      <c r="U4" s="84" t="str">
        <f t="shared" ref="U4:U24" si="7">IF(AND(S4&gt;0,T4&gt;0),S4/T4,IF(AND(S4&gt;0,T4=0),100%,IF(AND(S4=0,T4&gt;0),0,IF(AND(S4=0,T4=0),"***",0))))</f>
        <v>***</v>
      </c>
      <c r="V4" s="78"/>
      <c r="W4" s="78">
        <f>+IFERROR(VLOOKUP($A4,'Goals &amp; Budget 2026'!$A$2:$EJ$49,52,FALSE),0)</f>
        <v>0</v>
      </c>
      <c r="X4" s="231" t="str">
        <f t="shared" ref="X4:X24" si="8">IF(AND(V4&gt;0,W4&gt;0),V4/W4,IF(AND(V4&gt;0,W4=0),100%,IF(AND(V4=0,W4&gt;0),0,IF(AND(V4=0,W4=0),"***",0))))</f>
        <v>***</v>
      </c>
      <c r="Y4" s="78"/>
      <c r="Z4" s="78">
        <f>+IFERROR(VLOOKUP($A4,'Goals &amp; Budget 2026'!$A$2:$EJ$49,53,FALSE),0)</f>
        <v>0</v>
      </c>
      <c r="AA4" s="84" t="str">
        <f t="shared" ref="AA4:AA24" si="9">IF(AND(Y4&gt;0,Z4&gt;0),Y4/Z4,IF(AND(Y4&gt;0,Z4=0),100%,IF(AND(Y4=0,Z4&gt;0),0,IF(AND(Y4=0,Z4=0),"***",0))))</f>
        <v>***</v>
      </c>
      <c r="AB4" s="78"/>
      <c r="AC4" s="78">
        <f>+IFERROR(VLOOKUP($A4,'Goals &amp; Budget 2026'!$A$2:$EJ$49,54,FALSE),0)</f>
        <v>0</v>
      </c>
      <c r="AD4" s="84" t="str">
        <f t="shared" ref="AD4:AD24" si="10">IF(AND(AB4&gt;0,AC4&gt;0),AB4/AC4,IF(AND(AB4&gt;0,AC4=0),100%,IF(AND(AB4=0,AC4&gt;0),0,IF(AND(AB4=0,AC4=0),"***",0))))</f>
        <v>***</v>
      </c>
      <c r="AE4" s="78"/>
      <c r="AF4" s="78">
        <f>+IFERROR(VLOOKUP($A4,'Goals &amp; Budget 2026'!$A$2:$EJ$49,55,FALSE),0)</f>
        <v>0</v>
      </c>
      <c r="AG4" s="231" t="str">
        <f t="shared" ref="AG4:AG24" si="11">IF(AND(AE4&gt;0,AF4&gt;0),AE4/AF4,IF(AND(AE4&gt;0,AF4=0),100%,IF(AND(AE4=0,AF4&gt;0),0,IF(AND(AE4=0,AF4=0),"***",0))))</f>
        <v>***</v>
      </c>
      <c r="AH4" s="78"/>
      <c r="AI4" s="78">
        <f>+IFERROR(VLOOKUP($A4,'Goals &amp; Budget 2026'!$A$2:$EJ$49,56,FALSE),0)</f>
        <v>0</v>
      </c>
      <c r="AJ4" s="84" t="str">
        <f t="shared" ref="AJ4:AJ24" si="12">IF(AND(AH4&gt;0,AI4&gt;0),AH4/AI4,IF(AND(AH4&gt;0,AI4=0),100%,IF(AND(AH4=0,AI4&gt;0),0,IF(AND(AH4=0,AI4=0),"***",0))))</f>
        <v>***</v>
      </c>
      <c r="AK4" s="78"/>
      <c r="AL4" s="78">
        <f>+IFERROR(VLOOKUP($A4,'Goals &amp; Budget 2026'!$A$2:$EJ$49,57,FALSE),0)</f>
        <v>0</v>
      </c>
      <c r="AM4" s="84" t="str">
        <f t="shared" ref="AM4:AM24" si="13">IF(AND(AK4&gt;0,AL4&gt;0),AK4/AL4,IF(AND(AK4&gt;0,AL4=0),100%,IF(AND(AK4=0,AL4&gt;0),0,IF(AND(AK4=0,AL4=0),"***",0))))</f>
        <v>***</v>
      </c>
      <c r="AN4" s="78"/>
      <c r="AO4" s="78">
        <f>+IFERROR(VLOOKUP($A4,'Goals &amp; Budget 2026'!$A$2:$EJ$49,58,FALSE),0)</f>
        <v>0</v>
      </c>
      <c r="AP4" s="85" t="str">
        <f t="shared" ref="AP4:AP24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7">
        <f t="shared" si="0"/>
        <v>0</v>
      </c>
      <c r="E5" s="78">
        <f t="shared" si="1"/>
        <v>0</v>
      </c>
      <c r="F5" s="231" t="str">
        <f t="shared" si="2"/>
        <v>***</v>
      </c>
      <c r="G5" s="78"/>
      <c r="H5" s="78">
        <f>+IFERROR(VLOOKUP($A5,'Goals &amp; Budget 2026'!$A$2:$EJ$49,47,FALSE),0)</f>
        <v>0</v>
      </c>
      <c r="I5" s="84" t="str">
        <f t="shared" si="3"/>
        <v>***</v>
      </c>
      <c r="J5" s="78"/>
      <c r="K5" s="78">
        <f>+IFERROR(VLOOKUP($A5,'Goals &amp; Budget 2026'!$A$2:$EJ$49,48,FALSE),0)</f>
        <v>0</v>
      </c>
      <c r="L5" s="84" t="str">
        <f t="shared" si="4"/>
        <v>***</v>
      </c>
      <c r="M5" s="78"/>
      <c r="N5" s="78">
        <f>+IFERROR(VLOOKUP($A5,'Goals &amp; Budget 2026'!$A$2:$EJ$49,49,FALSE),0)</f>
        <v>0</v>
      </c>
      <c r="O5" s="231" t="str">
        <f t="shared" si="5"/>
        <v>***</v>
      </c>
      <c r="P5" s="78"/>
      <c r="Q5" s="78">
        <f>+IFERROR(VLOOKUP($A5,'Goals &amp; Budget 2026'!$A$2:$EJ$49,50,FALSE),0)</f>
        <v>0</v>
      </c>
      <c r="R5" s="84" t="str">
        <f t="shared" si="6"/>
        <v>***</v>
      </c>
      <c r="S5" s="78"/>
      <c r="T5" s="78">
        <f>+IFERROR(VLOOKUP($A5,'Goals &amp; Budget 2026'!$A$2:$EJ$49,51,FALSE),0)</f>
        <v>0</v>
      </c>
      <c r="U5" s="84" t="str">
        <f t="shared" si="7"/>
        <v>***</v>
      </c>
      <c r="V5" s="78"/>
      <c r="W5" s="78">
        <f>+IFERROR(VLOOKUP($A5,'Goals &amp; Budget 2026'!$A$2:$EJ$49,52,FALSE),0)</f>
        <v>0</v>
      </c>
      <c r="X5" s="231" t="str">
        <f t="shared" si="8"/>
        <v>***</v>
      </c>
      <c r="Y5" s="78"/>
      <c r="Z5" s="78">
        <f>+IFERROR(VLOOKUP($A5,'Goals &amp; Budget 2026'!$A$2:$EJ$49,53,FALSE),0)</f>
        <v>0</v>
      </c>
      <c r="AA5" s="84" t="str">
        <f t="shared" si="9"/>
        <v>***</v>
      </c>
      <c r="AB5" s="78"/>
      <c r="AC5" s="78">
        <f>+IFERROR(VLOOKUP($A5,'Goals &amp; Budget 2026'!$A$2:$EJ$49,54,FALSE),0)</f>
        <v>0</v>
      </c>
      <c r="AD5" s="84" t="str">
        <f t="shared" si="10"/>
        <v>***</v>
      </c>
      <c r="AE5" s="78"/>
      <c r="AF5" s="78">
        <f>+IFERROR(VLOOKUP($A5,'Goals &amp; Budget 2026'!$A$2:$EJ$49,55,FALSE),0)</f>
        <v>0</v>
      </c>
      <c r="AG5" s="231" t="str">
        <f t="shared" si="11"/>
        <v>***</v>
      </c>
      <c r="AH5" s="78"/>
      <c r="AI5" s="78">
        <f>+IFERROR(VLOOKUP($A5,'Goals &amp; Budget 2026'!$A$2:$EJ$49,56,FALSE),0)</f>
        <v>0</v>
      </c>
      <c r="AJ5" s="84" t="str">
        <f t="shared" si="12"/>
        <v>***</v>
      </c>
      <c r="AK5" s="78"/>
      <c r="AL5" s="78">
        <f>+IFERROR(VLOOKUP($A5,'Goals &amp; Budget 2026'!$A$2:$EJ$49,57,FALSE),0)</f>
        <v>0</v>
      </c>
      <c r="AM5" s="84" t="str">
        <f t="shared" si="13"/>
        <v>***</v>
      </c>
      <c r="AN5" s="78"/>
      <c r="AO5" s="78">
        <f>+IFERROR(VLOOKUP($A5,'Goals &amp; Budget 2026'!$A$2:$EJ$49,58,FALSE),0)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7">
        <f t="shared" si="0"/>
        <v>0</v>
      </c>
      <c r="E6" s="78">
        <f t="shared" si="1"/>
        <v>0</v>
      </c>
      <c r="F6" s="231" t="str">
        <f t="shared" si="2"/>
        <v>***</v>
      </c>
      <c r="G6" s="78"/>
      <c r="H6" s="78">
        <f>+IFERROR(VLOOKUP($A6,'Goals &amp; Budget 2026'!$A$2:$EJ$49,47,FALSE),0)</f>
        <v>0</v>
      </c>
      <c r="I6" s="84" t="str">
        <f t="shared" si="3"/>
        <v>***</v>
      </c>
      <c r="J6" s="78"/>
      <c r="K6" s="78">
        <f>+IFERROR(VLOOKUP($A6,'Goals &amp; Budget 2026'!$A$2:$EJ$49,48,FALSE),0)</f>
        <v>0</v>
      </c>
      <c r="L6" s="84" t="str">
        <f t="shared" si="4"/>
        <v>***</v>
      </c>
      <c r="M6" s="78"/>
      <c r="N6" s="78">
        <f>+IFERROR(VLOOKUP($A6,'Goals &amp; Budget 2026'!$A$2:$EJ$49,49,FALSE),0)</f>
        <v>0</v>
      </c>
      <c r="O6" s="231" t="str">
        <f t="shared" si="5"/>
        <v>***</v>
      </c>
      <c r="P6" s="78"/>
      <c r="Q6" s="78">
        <f>+IFERROR(VLOOKUP($A6,'Goals &amp; Budget 2026'!$A$2:$EJ$49,50,FALSE),0)</f>
        <v>0</v>
      </c>
      <c r="R6" s="84" t="str">
        <f t="shared" si="6"/>
        <v>***</v>
      </c>
      <c r="S6" s="78"/>
      <c r="T6" s="78">
        <f>+IFERROR(VLOOKUP($A6,'Goals &amp; Budget 2026'!$A$2:$EJ$49,51,FALSE),0)</f>
        <v>0</v>
      </c>
      <c r="U6" s="84" t="str">
        <f t="shared" si="7"/>
        <v>***</v>
      </c>
      <c r="V6" s="78"/>
      <c r="W6" s="78">
        <f>+IFERROR(VLOOKUP($A6,'Goals &amp; Budget 2026'!$A$2:$EJ$49,52,FALSE),0)</f>
        <v>0</v>
      </c>
      <c r="X6" s="231" t="str">
        <f t="shared" si="8"/>
        <v>***</v>
      </c>
      <c r="Y6" s="78"/>
      <c r="Z6" s="78">
        <f>+IFERROR(VLOOKUP($A6,'Goals &amp; Budget 2026'!$A$2:$EJ$49,53,FALSE),0)</f>
        <v>0</v>
      </c>
      <c r="AA6" s="84" t="str">
        <f t="shared" si="9"/>
        <v>***</v>
      </c>
      <c r="AB6" s="78"/>
      <c r="AC6" s="78">
        <f>+IFERROR(VLOOKUP($A6,'Goals &amp; Budget 2026'!$A$2:$EJ$49,54,FALSE),0)</f>
        <v>0</v>
      </c>
      <c r="AD6" s="84" t="str">
        <f t="shared" si="10"/>
        <v>***</v>
      </c>
      <c r="AE6" s="78"/>
      <c r="AF6" s="78">
        <f>+IFERROR(VLOOKUP($A6,'Goals &amp; Budget 2026'!$A$2:$EJ$49,55,FALSE),0)</f>
        <v>0</v>
      </c>
      <c r="AG6" s="231" t="str">
        <f t="shared" si="11"/>
        <v>***</v>
      </c>
      <c r="AH6" s="78"/>
      <c r="AI6" s="78">
        <f>+IFERROR(VLOOKUP($A6,'Goals &amp; Budget 2026'!$A$2:$EJ$49,56,FALSE),0)</f>
        <v>0</v>
      </c>
      <c r="AJ6" s="84" t="str">
        <f t="shared" si="12"/>
        <v>***</v>
      </c>
      <c r="AK6" s="78"/>
      <c r="AL6" s="78">
        <f>+IFERROR(VLOOKUP($A6,'Goals &amp; Budget 2026'!$A$2:$EJ$49,57,FALSE),0)</f>
        <v>0</v>
      </c>
      <c r="AM6" s="84" t="str">
        <f t="shared" si="13"/>
        <v>***</v>
      </c>
      <c r="AN6" s="78"/>
      <c r="AO6" s="78">
        <f>+IFERROR(VLOOKUP($A6,'Goals &amp; Budget 2026'!$A$2:$EJ$49,58,FALSE),0)</f>
        <v>0</v>
      </c>
      <c r="AP6" s="85" t="str">
        <f t="shared" si="14"/>
        <v>***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7">
        <f t="shared" si="0"/>
        <v>0</v>
      </c>
      <c r="E7" s="78">
        <f t="shared" si="1"/>
        <v>0</v>
      </c>
      <c r="F7" s="231" t="str">
        <f t="shared" si="2"/>
        <v>***</v>
      </c>
      <c r="G7" s="78"/>
      <c r="H7" s="78">
        <f>+IFERROR(VLOOKUP($A7,'Goals &amp; Budget 2026'!$A$2:$EJ$49,47,FALSE),0)</f>
        <v>0</v>
      </c>
      <c r="I7" s="84" t="str">
        <f t="shared" si="3"/>
        <v>***</v>
      </c>
      <c r="J7" s="78"/>
      <c r="K7" s="78">
        <f>+IFERROR(VLOOKUP($A7,'Goals &amp; Budget 2026'!$A$2:$EJ$49,48,FALSE),0)</f>
        <v>0</v>
      </c>
      <c r="L7" s="84" t="str">
        <f t="shared" si="4"/>
        <v>***</v>
      </c>
      <c r="M7" s="78"/>
      <c r="N7" s="78">
        <f>+IFERROR(VLOOKUP($A7,'Goals &amp; Budget 2026'!$A$2:$EJ$49,49,FALSE),0)</f>
        <v>0</v>
      </c>
      <c r="O7" s="231" t="str">
        <f t="shared" si="5"/>
        <v>***</v>
      </c>
      <c r="P7" s="78"/>
      <c r="Q7" s="78">
        <f>+IFERROR(VLOOKUP($A7,'Goals &amp; Budget 2026'!$A$2:$EJ$49,50,FALSE),0)</f>
        <v>0</v>
      </c>
      <c r="R7" s="84" t="str">
        <f t="shared" si="6"/>
        <v>***</v>
      </c>
      <c r="S7" s="78"/>
      <c r="T7" s="78">
        <f>+IFERROR(VLOOKUP($A7,'Goals &amp; Budget 2026'!$A$2:$EJ$49,51,FALSE),0)</f>
        <v>0</v>
      </c>
      <c r="U7" s="84" t="str">
        <f t="shared" si="7"/>
        <v>***</v>
      </c>
      <c r="V7" s="78"/>
      <c r="W7" s="78">
        <f>+IFERROR(VLOOKUP($A7,'Goals &amp; Budget 2026'!$A$2:$EJ$49,52,FALSE),0)</f>
        <v>0</v>
      </c>
      <c r="X7" s="231" t="str">
        <f t="shared" si="8"/>
        <v>***</v>
      </c>
      <c r="Y7" s="78"/>
      <c r="Z7" s="78">
        <f>+IFERROR(VLOOKUP($A7,'Goals &amp; Budget 2026'!$A$2:$EJ$49,53,FALSE),0)</f>
        <v>0</v>
      </c>
      <c r="AA7" s="84" t="str">
        <f t="shared" si="9"/>
        <v>***</v>
      </c>
      <c r="AB7" s="78"/>
      <c r="AC7" s="78">
        <f>+IFERROR(VLOOKUP($A7,'Goals &amp; Budget 2026'!$A$2:$EJ$49,54,FALSE),0)</f>
        <v>0</v>
      </c>
      <c r="AD7" s="84" t="str">
        <f t="shared" si="10"/>
        <v>***</v>
      </c>
      <c r="AE7" s="78"/>
      <c r="AF7" s="78">
        <f>+IFERROR(VLOOKUP($A7,'Goals &amp; Budget 2026'!$A$2:$EJ$49,55,FALSE),0)</f>
        <v>0</v>
      </c>
      <c r="AG7" s="231" t="str">
        <f t="shared" si="11"/>
        <v>***</v>
      </c>
      <c r="AH7" s="78"/>
      <c r="AI7" s="78">
        <f>+IFERROR(VLOOKUP($A7,'Goals &amp; Budget 2026'!$A$2:$EJ$49,56,FALSE),0)</f>
        <v>0</v>
      </c>
      <c r="AJ7" s="84" t="str">
        <f t="shared" si="12"/>
        <v>***</v>
      </c>
      <c r="AK7" s="78"/>
      <c r="AL7" s="78">
        <f>+IFERROR(VLOOKUP($A7,'Goals &amp; Budget 2026'!$A$2:$EJ$49,57,FALSE),0)</f>
        <v>0</v>
      </c>
      <c r="AM7" s="84" t="str">
        <f t="shared" si="13"/>
        <v>***</v>
      </c>
      <c r="AN7" s="78"/>
      <c r="AO7" s="78">
        <f>+IFERROR(VLOOKUP($A7,'Goals &amp; Budget 2026'!$A$2:$EJ$49,58,FALSE),0)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7">
        <f t="shared" si="0"/>
        <v>0</v>
      </c>
      <c r="E8" s="78">
        <f t="shared" si="1"/>
        <v>0</v>
      </c>
      <c r="F8" s="231" t="str">
        <f t="shared" si="2"/>
        <v>***</v>
      </c>
      <c r="G8" s="78"/>
      <c r="H8" s="78">
        <f>+IFERROR(VLOOKUP($A8,'Goals &amp; Budget 2026'!$A$2:$EJ$49,47,FALSE),0)</f>
        <v>0</v>
      </c>
      <c r="I8" s="84" t="str">
        <f t="shared" si="3"/>
        <v>***</v>
      </c>
      <c r="J8" s="78"/>
      <c r="K8" s="78">
        <f>+IFERROR(VLOOKUP($A8,'Goals &amp; Budget 2026'!$A$2:$EJ$49,48,FALSE),0)</f>
        <v>0</v>
      </c>
      <c r="L8" s="84" t="str">
        <f t="shared" si="4"/>
        <v>***</v>
      </c>
      <c r="M8" s="78"/>
      <c r="N8" s="78">
        <f>+IFERROR(VLOOKUP($A8,'Goals &amp; Budget 2026'!$A$2:$EJ$49,49,FALSE),0)</f>
        <v>0</v>
      </c>
      <c r="O8" s="231" t="str">
        <f t="shared" si="5"/>
        <v>***</v>
      </c>
      <c r="P8" s="78"/>
      <c r="Q8" s="78">
        <f>+IFERROR(VLOOKUP($A8,'Goals &amp; Budget 2026'!$A$2:$EJ$49,50,FALSE),0)</f>
        <v>0</v>
      </c>
      <c r="R8" s="84" t="str">
        <f t="shared" si="6"/>
        <v>***</v>
      </c>
      <c r="S8" s="78"/>
      <c r="T8" s="78">
        <f>+IFERROR(VLOOKUP($A8,'Goals &amp; Budget 2026'!$A$2:$EJ$49,51,FALSE),0)</f>
        <v>0</v>
      </c>
      <c r="U8" s="84" t="str">
        <f t="shared" si="7"/>
        <v>***</v>
      </c>
      <c r="V8" s="78"/>
      <c r="W8" s="78">
        <f>+IFERROR(VLOOKUP($A8,'Goals &amp; Budget 2026'!$A$2:$EJ$49,52,FALSE),0)</f>
        <v>0</v>
      </c>
      <c r="X8" s="231" t="str">
        <f t="shared" si="8"/>
        <v>***</v>
      </c>
      <c r="Y8" s="78"/>
      <c r="Z8" s="78">
        <f>+IFERROR(VLOOKUP($A8,'Goals &amp; Budget 2026'!$A$2:$EJ$49,53,FALSE),0)</f>
        <v>0</v>
      </c>
      <c r="AA8" s="84" t="str">
        <f t="shared" si="9"/>
        <v>***</v>
      </c>
      <c r="AB8" s="78"/>
      <c r="AC8" s="78">
        <f>+IFERROR(VLOOKUP($A8,'Goals &amp; Budget 2026'!$A$2:$EJ$49,54,FALSE),0)</f>
        <v>0</v>
      </c>
      <c r="AD8" s="84" t="str">
        <f t="shared" si="10"/>
        <v>***</v>
      </c>
      <c r="AE8" s="78"/>
      <c r="AF8" s="78">
        <f>+IFERROR(VLOOKUP($A8,'Goals &amp; Budget 2026'!$A$2:$EJ$49,55,FALSE),0)</f>
        <v>0</v>
      </c>
      <c r="AG8" s="231" t="str">
        <f t="shared" si="11"/>
        <v>***</v>
      </c>
      <c r="AH8" s="78"/>
      <c r="AI8" s="78">
        <f>+IFERROR(VLOOKUP($A8,'Goals &amp; Budget 2026'!$A$2:$EJ$49,56,FALSE),0)</f>
        <v>0</v>
      </c>
      <c r="AJ8" s="84" t="str">
        <f t="shared" si="12"/>
        <v>***</v>
      </c>
      <c r="AK8" s="78"/>
      <c r="AL8" s="78">
        <f>+IFERROR(VLOOKUP($A8,'Goals &amp; Budget 2026'!$A$2:$EJ$49,57,FALSE),0)</f>
        <v>0</v>
      </c>
      <c r="AM8" s="84" t="str">
        <f t="shared" si="13"/>
        <v>***</v>
      </c>
      <c r="AN8" s="78"/>
      <c r="AO8" s="78">
        <f>+IFERROR(VLOOKUP($A8,'Goals &amp; Budget 2026'!$A$2:$EJ$49,58,FALSE),0)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7">
        <f t="shared" si="0"/>
        <v>0</v>
      </c>
      <c r="E9" s="78">
        <f t="shared" si="1"/>
        <v>0</v>
      </c>
      <c r="F9" s="231" t="str">
        <f t="shared" si="2"/>
        <v>***</v>
      </c>
      <c r="G9" s="78"/>
      <c r="H9" s="78">
        <f>+IFERROR(VLOOKUP($A9,'Goals &amp; Budget 2026'!$A$2:$EJ$49,47,FALSE),0)</f>
        <v>0</v>
      </c>
      <c r="I9" s="84" t="str">
        <f t="shared" si="3"/>
        <v>***</v>
      </c>
      <c r="J9" s="78"/>
      <c r="K9" s="78">
        <f>+IFERROR(VLOOKUP($A9,'Goals &amp; Budget 2026'!$A$2:$EJ$49,48,FALSE),0)</f>
        <v>0</v>
      </c>
      <c r="L9" s="84" t="str">
        <f t="shared" si="4"/>
        <v>***</v>
      </c>
      <c r="M9" s="78"/>
      <c r="N9" s="78">
        <f>+IFERROR(VLOOKUP($A9,'Goals &amp; Budget 2026'!$A$2:$EJ$49,49,FALSE),0)</f>
        <v>0</v>
      </c>
      <c r="O9" s="231" t="str">
        <f t="shared" si="5"/>
        <v>***</v>
      </c>
      <c r="P9" s="78"/>
      <c r="Q9" s="78">
        <f>+IFERROR(VLOOKUP($A9,'Goals &amp; Budget 2026'!$A$2:$EJ$49,50,FALSE),0)</f>
        <v>0</v>
      </c>
      <c r="R9" s="84" t="str">
        <f t="shared" si="6"/>
        <v>***</v>
      </c>
      <c r="S9" s="78"/>
      <c r="T9" s="78">
        <f>+IFERROR(VLOOKUP($A9,'Goals &amp; Budget 2026'!$A$2:$EJ$49,51,FALSE),0)</f>
        <v>0</v>
      </c>
      <c r="U9" s="84" t="str">
        <f t="shared" si="7"/>
        <v>***</v>
      </c>
      <c r="V9" s="78"/>
      <c r="W9" s="78">
        <f>+IFERROR(VLOOKUP($A9,'Goals &amp; Budget 2026'!$A$2:$EJ$49,52,FALSE),0)</f>
        <v>0</v>
      </c>
      <c r="X9" s="231" t="str">
        <f t="shared" si="8"/>
        <v>***</v>
      </c>
      <c r="Y9" s="78"/>
      <c r="Z9" s="78">
        <f>+IFERROR(VLOOKUP($A9,'Goals &amp; Budget 2026'!$A$2:$EJ$49,53,FALSE),0)</f>
        <v>0</v>
      </c>
      <c r="AA9" s="84" t="str">
        <f t="shared" si="9"/>
        <v>***</v>
      </c>
      <c r="AB9" s="78"/>
      <c r="AC9" s="78">
        <f>+IFERROR(VLOOKUP($A9,'Goals &amp; Budget 2026'!$A$2:$EJ$49,54,FALSE),0)</f>
        <v>0</v>
      </c>
      <c r="AD9" s="84" t="str">
        <f t="shared" si="10"/>
        <v>***</v>
      </c>
      <c r="AE9" s="78"/>
      <c r="AF9" s="78">
        <f>+IFERROR(VLOOKUP($A9,'Goals &amp; Budget 2026'!$A$2:$EJ$49,55,FALSE),0)</f>
        <v>0</v>
      </c>
      <c r="AG9" s="231" t="str">
        <f t="shared" si="11"/>
        <v>***</v>
      </c>
      <c r="AH9" s="78"/>
      <c r="AI9" s="78">
        <f>+IFERROR(VLOOKUP($A9,'Goals &amp; Budget 2026'!$A$2:$EJ$49,56,FALSE),0)</f>
        <v>0</v>
      </c>
      <c r="AJ9" s="84" t="str">
        <f t="shared" si="12"/>
        <v>***</v>
      </c>
      <c r="AK9" s="78"/>
      <c r="AL9" s="78">
        <f>+IFERROR(VLOOKUP($A9,'Goals &amp; Budget 2026'!$A$2:$EJ$49,57,FALSE),0)</f>
        <v>0</v>
      </c>
      <c r="AM9" s="84" t="str">
        <f t="shared" si="13"/>
        <v>***</v>
      </c>
      <c r="AN9" s="78"/>
      <c r="AO9" s="78">
        <f>+IFERROR(VLOOKUP($A9,'Goals &amp; Budget 2026'!$A$2:$EJ$49,58,FALSE),0)</f>
        <v>0</v>
      </c>
      <c r="AP9" s="85" t="str">
        <f t="shared" si="14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7">
        <f t="shared" si="0"/>
        <v>0</v>
      </c>
      <c r="E10" s="78">
        <f t="shared" si="1"/>
        <v>0</v>
      </c>
      <c r="F10" s="231" t="str">
        <f t="shared" si="2"/>
        <v>***</v>
      </c>
      <c r="G10" s="78"/>
      <c r="H10" s="78">
        <f>+IFERROR(VLOOKUP($A10,'Goals &amp; Budget 2026'!$A$2:$EJ$49,47,FALSE),0)</f>
        <v>0</v>
      </c>
      <c r="I10" s="84" t="str">
        <f t="shared" si="3"/>
        <v>***</v>
      </c>
      <c r="J10" s="78"/>
      <c r="K10" s="78">
        <f>+IFERROR(VLOOKUP($A10,'Goals &amp; Budget 2026'!$A$2:$EJ$49,48,FALSE),0)</f>
        <v>0</v>
      </c>
      <c r="L10" s="84" t="str">
        <f t="shared" si="4"/>
        <v>***</v>
      </c>
      <c r="M10" s="78"/>
      <c r="N10" s="78">
        <f>+IFERROR(VLOOKUP($A10,'Goals &amp; Budget 2026'!$A$2:$EJ$49,49,FALSE),0)</f>
        <v>0</v>
      </c>
      <c r="O10" s="231" t="str">
        <f t="shared" si="5"/>
        <v>***</v>
      </c>
      <c r="P10" s="78"/>
      <c r="Q10" s="78">
        <f>+IFERROR(VLOOKUP($A10,'Goals &amp; Budget 2026'!$A$2:$EJ$49,50,FALSE),0)</f>
        <v>0</v>
      </c>
      <c r="R10" s="84" t="str">
        <f t="shared" si="6"/>
        <v>***</v>
      </c>
      <c r="S10" s="78"/>
      <c r="T10" s="78">
        <f>+IFERROR(VLOOKUP($A10,'Goals &amp; Budget 2026'!$A$2:$EJ$49,51,FALSE),0)</f>
        <v>0</v>
      </c>
      <c r="U10" s="84" t="str">
        <f t="shared" si="7"/>
        <v>***</v>
      </c>
      <c r="V10" s="78"/>
      <c r="W10" s="78">
        <f>+IFERROR(VLOOKUP($A10,'Goals &amp; Budget 2026'!$A$2:$EJ$49,52,FALSE),0)</f>
        <v>0</v>
      </c>
      <c r="X10" s="231" t="str">
        <f t="shared" si="8"/>
        <v>***</v>
      </c>
      <c r="Y10" s="78"/>
      <c r="Z10" s="78">
        <f>+IFERROR(VLOOKUP($A10,'Goals &amp; Budget 2026'!$A$2:$EJ$49,53,FALSE),0)</f>
        <v>0</v>
      </c>
      <c r="AA10" s="84" t="str">
        <f t="shared" si="9"/>
        <v>***</v>
      </c>
      <c r="AB10" s="78"/>
      <c r="AC10" s="78">
        <f>+IFERROR(VLOOKUP($A10,'Goals &amp; Budget 2026'!$A$2:$EJ$49,54,FALSE),0)</f>
        <v>0</v>
      </c>
      <c r="AD10" s="84" t="str">
        <f t="shared" si="10"/>
        <v>***</v>
      </c>
      <c r="AE10" s="78"/>
      <c r="AF10" s="78">
        <f>+IFERROR(VLOOKUP($A10,'Goals &amp; Budget 2026'!$A$2:$EJ$49,55,FALSE),0)</f>
        <v>0</v>
      </c>
      <c r="AG10" s="231" t="str">
        <f t="shared" si="11"/>
        <v>***</v>
      </c>
      <c r="AH10" s="78"/>
      <c r="AI10" s="78">
        <f>+IFERROR(VLOOKUP($A10,'Goals &amp; Budget 2026'!$A$2:$EJ$49,56,FALSE),0)</f>
        <v>0</v>
      </c>
      <c r="AJ10" s="84" t="str">
        <f t="shared" si="12"/>
        <v>***</v>
      </c>
      <c r="AK10" s="78"/>
      <c r="AL10" s="78">
        <f>+IFERROR(VLOOKUP($A10,'Goals &amp; Budget 2026'!$A$2:$EJ$49,57,FALSE),0)</f>
        <v>0</v>
      </c>
      <c r="AM10" s="84" t="str">
        <f t="shared" si="13"/>
        <v>***</v>
      </c>
      <c r="AN10" s="78"/>
      <c r="AO10" s="78">
        <f>+IFERROR(VLOOKUP($A10,'Goals &amp; Budget 2026'!$A$2:$EJ$49,58,FALSE),0)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7">
        <f t="shared" si="0"/>
        <v>0</v>
      </c>
      <c r="E11" s="78">
        <f t="shared" si="1"/>
        <v>0</v>
      </c>
      <c r="F11" s="231" t="str">
        <f t="shared" si="2"/>
        <v>***</v>
      </c>
      <c r="G11" s="78"/>
      <c r="H11" s="78">
        <f>+IFERROR(VLOOKUP($A11,'Goals &amp; Budget 2026'!$A$2:$EJ$49,47,FALSE),0)</f>
        <v>0</v>
      </c>
      <c r="I11" s="84" t="str">
        <f t="shared" si="3"/>
        <v>***</v>
      </c>
      <c r="J11" s="78"/>
      <c r="K11" s="78">
        <f>+IFERROR(VLOOKUP($A11,'Goals &amp; Budget 2026'!$A$2:$EJ$49,48,FALSE),0)</f>
        <v>0</v>
      </c>
      <c r="L11" s="84" t="str">
        <f t="shared" si="4"/>
        <v>***</v>
      </c>
      <c r="M11" s="78"/>
      <c r="N11" s="78">
        <f>+IFERROR(VLOOKUP($A11,'Goals &amp; Budget 2026'!$A$2:$EJ$49,49,FALSE),0)</f>
        <v>0</v>
      </c>
      <c r="O11" s="231" t="str">
        <f t="shared" si="5"/>
        <v>***</v>
      </c>
      <c r="P11" s="78"/>
      <c r="Q11" s="78">
        <f>+IFERROR(VLOOKUP($A11,'Goals &amp; Budget 2026'!$A$2:$EJ$49,50,FALSE),0)</f>
        <v>0</v>
      </c>
      <c r="R11" s="84" t="str">
        <f t="shared" si="6"/>
        <v>***</v>
      </c>
      <c r="S11" s="78"/>
      <c r="T11" s="78">
        <f>+IFERROR(VLOOKUP($A11,'Goals &amp; Budget 2026'!$A$2:$EJ$49,51,FALSE),0)</f>
        <v>0</v>
      </c>
      <c r="U11" s="84" t="str">
        <f t="shared" si="7"/>
        <v>***</v>
      </c>
      <c r="V11" s="78"/>
      <c r="W11" s="78">
        <f>+IFERROR(VLOOKUP($A11,'Goals &amp; Budget 2026'!$A$2:$EJ$49,52,FALSE),0)</f>
        <v>0</v>
      </c>
      <c r="X11" s="231" t="str">
        <f t="shared" si="8"/>
        <v>***</v>
      </c>
      <c r="Y11" s="78"/>
      <c r="Z11" s="78">
        <f>+IFERROR(VLOOKUP($A11,'Goals &amp; Budget 2026'!$A$2:$EJ$49,53,FALSE),0)</f>
        <v>0</v>
      </c>
      <c r="AA11" s="84" t="str">
        <f t="shared" si="9"/>
        <v>***</v>
      </c>
      <c r="AB11" s="78"/>
      <c r="AC11" s="78">
        <f>+IFERROR(VLOOKUP($A11,'Goals &amp; Budget 2026'!$A$2:$EJ$49,54,FALSE),0)</f>
        <v>0</v>
      </c>
      <c r="AD11" s="84" t="str">
        <f t="shared" si="10"/>
        <v>***</v>
      </c>
      <c r="AE11" s="78"/>
      <c r="AF11" s="78">
        <f>+IFERROR(VLOOKUP($A11,'Goals &amp; Budget 2026'!$A$2:$EJ$49,55,FALSE),0)</f>
        <v>0</v>
      </c>
      <c r="AG11" s="231" t="str">
        <f t="shared" si="11"/>
        <v>***</v>
      </c>
      <c r="AH11" s="78"/>
      <c r="AI11" s="78">
        <f>+IFERROR(VLOOKUP($A11,'Goals &amp; Budget 2026'!$A$2:$EJ$49,56,FALSE),0)</f>
        <v>0</v>
      </c>
      <c r="AJ11" s="84" t="str">
        <f t="shared" si="12"/>
        <v>***</v>
      </c>
      <c r="AK11" s="78"/>
      <c r="AL11" s="78">
        <f>+IFERROR(VLOOKUP($A11,'Goals &amp; Budget 2026'!$A$2:$EJ$49,57,FALSE),0)</f>
        <v>0</v>
      </c>
      <c r="AM11" s="84" t="str">
        <f t="shared" si="13"/>
        <v>***</v>
      </c>
      <c r="AN11" s="78"/>
      <c r="AO11" s="78">
        <f>+IFERROR(VLOOKUP($A11,'Goals &amp; Budget 2026'!$A$2:$EJ$49,58,FALSE),0)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7">
        <f t="shared" si="0"/>
        <v>0</v>
      </c>
      <c r="E12" s="78">
        <f t="shared" si="1"/>
        <v>0</v>
      </c>
      <c r="F12" s="231" t="str">
        <f t="shared" si="2"/>
        <v>***</v>
      </c>
      <c r="G12" s="78"/>
      <c r="H12" s="78">
        <f>+IFERROR(VLOOKUP($A12,'Goals &amp; Budget 2026'!$A$2:$EJ$49,47,FALSE),0)</f>
        <v>0</v>
      </c>
      <c r="I12" s="84" t="str">
        <f t="shared" si="3"/>
        <v>***</v>
      </c>
      <c r="J12" s="78"/>
      <c r="K12" s="78">
        <f>+IFERROR(VLOOKUP($A12,'Goals &amp; Budget 2026'!$A$2:$EJ$49,48,FALSE),0)</f>
        <v>0</v>
      </c>
      <c r="L12" s="84" t="str">
        <f t="shared" si="4"/>
        <v>***</v>
      </c>
      <c r="M12" s="78"/>
      <c r="N12" s="78">
        <f>+IFERROR(VLOOKUP($A12,'Goals &amp; Budget 2026'!$A$2:$EJ$49,49,FALSE),0)</f>
        <v>0</v>
      </c>
      <c r="O12" s="231" t="str">
        <f t="shared" si="5"/>
        <v>***</v>
      </c>
      <c r="P12" s="78"/>
      <c r="Q12" s="78">
        <f>+IFERROR(VLOOKUP($A12,'Goals &amp; Budget 2026'!$A$2:$EJ$49,50,FALSE),0)</f>
        <v>0</v>
      </c>
      <c r="R12" s="84" t="str">
        <f t="shared" si="6"/>
        <v>***</v>
      </c>
      <c r="S12" s="78"/>
      <c r="T12" s="78">
        <f>+IFERROR(VLOOKUP($A12,'Goals &amp; Budget 2026'!$A$2:$EJ$49,51,FALSE),0)</f>
        <v>0</v>
      </c>
      <c r="U12" s="84" t="str">
        <f t="shared" si="7"/>
        <v>***</v>
      </c>
      <c r="V12" s="78"/>
      <c r="W12" s="78">
        <f>+IFERROR(VLOOKUP($A12,'Goals &amp; Budget 2026'!$A$2:$EJ$49,52,FALSE),0)</f>
        <v>0</v>
      </c>
      <c r="X12" s="231" t="str">
        <f t="shared" si="8"/>
        <v>***</v>
      </c>
      <c r="Y12" s="78"/>
      <c r="Z12" s="78">
        <f>+IFERROR(VLOOKUP($A12,'Goals &amp; Budget 2026'!$A$2:$EJ$49,53,FALSE),0)</f>
        <v>0</v>
      </c>
      <c r="AA12" s="84" t="str">
        <f t="shared" si="9"/>
        <v>***</v>
      </c>
      <c r="AB12" s="78"/>
      <c r="AC12" s="78">
        <f>+IFERROR(VLOOKUP($A12,'Goals &amp; Budget 2026'!$A$2:$EJ$49,54,FALSE),0)</f>
        <v>0</v>
      </c>
      <c r="AD12" s="84" t="str">
        <f t="shared" si="10"/>
        <v>***</v>
      </c>
      <c r="AE12" s="78"/>
      <c r="AF12" s="78">
        <f>+IFERROR(VLOOKUP($A12,'Goals &amp; Budget 2026'!$A$2:$EJ$49,55,FALSE),0)</f>
        <v>0</v>
      </c>
      <c r="AG12" s="231" t="str">
        <f t="shared" si="11"/>
        <v>***</v>
      </c>
      <c r="AH12" s="78"/>
      <c r="AI12" s="78">
        <f>+IFERROR(VLOOKUP($A12,'Goals &amp; Budget 2026'!$A$2:$EJ$49,56,FALSE),0)</f>
        <v>0</v>
      </c>
      <c r="AJ12" s="84" t="str">
        <f t="shared" si="12"/>
        <v>***</v>
      </c>
      <c r="AK12" s="78"/>
      <c r="AL12" s="78">
        <f>+IFERROR(VLOOKUP($A12,'Goals &amp; Budget 2026'!$A$2:$EJ$49,57,FALSE),0)</f>
        <v>0</v>
      </c>
      <c r="AM12" s="84" t="str">
        <f t="shared" si="13"/>
        <v>***</v>
      </c>
      <c r="AN12" s="78"/>
      <c r="AO12" s="78">
        <f>+IFERROR(VLOOKUP($A12,'Goals &amp; Budget 2026'!$A$2:$EJ$49,58,FALSE),0)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7">
        <f t="shared" si="0"/>
        <v>0</v>
      </c>
      <c r="E13" s="78">
        <f t="shared" si="1"/>
        <v>0</v>
      </c>
      <c r="F13" s="231" t="str">
        <f t="shared" si="2"/>
        <v>***</v>
      </c>
      <c r="G13" s="78"/>
      <c r="H13" s="78">
        <f>+IFERROR(VLOOKUP($A13,'Goals &amp; Budget 2026'!$A$2:$EJ$49,47,FALSE),0)</f>
        <v>0</v>
      </c>
      <c r="I13" s="84" t="str">
        <f t="shared" si="3"/>
        <v>***</v>
      </c>
      <c r="J13" s="78"/>
      <c r="K13" s="78">
        <f>+IFERROR(VLOOKUP($A13,'Goals &amp; Budget 2026'!$A$2:$EJ$49,48,FALSE),0)</f>
        <v>0</v>
      </c>
      <c r="L13" s="84" t="str">
        <f t="shared" si="4"/>
        <v>***</v>
      </c>
      <c r="M13" s="78"/>
      <c r="N13" s="78">
        <f>+IFERROR(VLOOKUP($A13,'Goals &amp; Budget 2026'!$A$2:$EJ$49,49,FALSE),0)</f>
        <v>0</v>
      </c>
      <c r="O13" s="231" t="str">
        <f t="shared" si="5"/>
        <v>***</v>
      </c>
      <c r="P13" s="78"/>
      <c r="Q13" s="78">
        <f>+IFERROR(VLOOKUP($A13,'Goals &amp; Budget 2026'!$A$2:$EJ$49,50,FALSE),0)</f>
        <v>0</v>
      </c>
      <c r="R13" s="84" t="str">
        <f t="shared" si="6"/>
        <v>***</v>
      </c>
      <c r="S13" s="78"/>
      <c r="T13" s="78">
        <f>+IFERROR(VLOOKUP($A13,'Goals &amp; Budget 2026'!$A$2:$EJ$49,51,FALSE),0)</f>
        <v>0</v>
      </c>
      <c r="U13" s="84" t="str">
        <f t="shared" si="7"/>
        <v>***</v>
      </c>
      <c r="V13" s="78"/>
      <c r="W13" s="78">
        <f>+IFERROR(VLOOKUP($A13,'Goals &amp; Budget 2026'!$A$2:$EJ$49,52,FALSE),0)</f>
        <v>0</v>
      </c>
      <c r="X13" s="231" t="str">
        <f t="shared" si="8"/>
        <v>***</v>
      </c>
      <c r="Y13" s="78"/>
      <c r="Z13" s="78">
        <f>+IFERROR(VLOOKUP($A13,'Goals &amp; Budget 2026'!$A$2:$EJ$49,53,FALSE),0)</f>
        <v>0</v>
      </c>
      <c r="AA13" s="84" t="str">
        <f t="shared" si="9"/>
        <v>***</v>
      </c>
      <c r="AB13" s="78"/>
      <c r="AC13" s="78">
        <f>+IFERROR(VLOOKUP($A13,'Goals &amp; Budget 2026'!$A$2:$EJ$49,54,FALSE),0)</f>
        <v>0</v>
      </c>
      <c r="AD13" s="84" t="str">
        <f t="shared" si="10"/>
        <v>***</v>
      </c>
      <c r="AE13" s="78"/>
      <c r="AF13" s="78">
        <f>+IFERROR(VLOOKUP($A13,'Goals &amp; Budget 2026'!$A$2:$EJ$49,55,FALSE),0)</f>
        <v>0</v>
      </c>
      <c r="AG13" s="231" t="str">
        <f t="shared" si="11"/>
        <v>***</v>
      </c>
      <c r="AH13" s="78"/>
      <c r="AI13" s="78">
        <f>+IFERROR(VLOOKUP($A13,'Goals &amp; Budget 2026'!$A$2:$EJ$49,56,FALSE),0)</f>
        <v>0</v>
      </c>
      <c r="AJ13" s="84" t="str">
        <f t="shared" si="12"/>
        <v>***</v>
      </c>
      <c r="AK13" s="78"/>
      <c r="AL13" s="78">
        <f>+IFERROR(VLOOKUP($A13,'Goals &amp; Budget 2026'!$A$2:$EJ$49,57,FALSE),0)</f>
        <v>0</v>
      </c>
      <c r="AM13" s="84" t="str">
        <f t="shared" si="13"/>
        <v>***</v>
      </c>
      <c r="AN13" s="78"/>
      <c r="AO13" s="78">
        <f>+IFERROR(VLOOKUP($A13,'Goals &amp; Budget 2026'!$A$2:$EJ$49,58,FALSE),0)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7">
        <f t="shared" si="0"/>
        <v>0</v>
      </c>
      <c r="E14" s="78">
        <f t="shared" si="1"/>
        <v>0</v>
      </c>
      <c r="F14" s="231" t="str">
        <f t="shared" si="2"/>
        <v>***</v>
      </c>
      <c r="G14" s="78"/>
      <c r="H14" s="78">
        <f>+IFERROR(VLOOKUP($A14,'Goals &amp; Budget 2026'!$A$2:$EJ$49,47,FALSE),0)</f>
        <v>0</v>
      </c>
      <c r="I14" s="84" t="str">
        <f t="shared" si="3"/>
        <v>***</v>
      </c>
      <c r="J14" s="78"/>
      <c r="K14" s="78">
        <f>+IFERROR(VLOOKUP($A14,'Goals &amp; Budget 2026'!$A$2:$EJ$49,48,FALSE),0)</f>
        <v>0</v>
      </c>
      <c r="L14" s="84" t="str">
        <f t="shared" si="4"/>
        <v>***</v>
      </c>
      <c r="M14" s="78"/>
      <c r="N14" s="78">
        <f>+IFERROR(VLOOKUP($A14,'Goals &amp; Budget 2026'!$A$2:$EJ$49,49,FALSE),0)</f>
        <v>0</v>
      </c>
      <c r="O14" s="231" t="str">
        <f t="shared" si="5"/>
        <v>***</v>
      </c>
      <c r="P14" s="78"/>
      <c r="Q14" s="78">
        <f>+IFERROR(VLOOKUP($A14,'Goals &amp; Budget 2026'!$A$2:$EJ$49,50,FALSE),0)</f>
        <v>0</v>
      </c>
      <c r="R14" s="84" t="str">
        <f t="shared" si="6"/>
        <v>***</v>
      </c>
      <c r="S14" s="78"/>
      <c r="T14" s="78">
        <f>+IFERROR(VLOOKUP($A14,'Goals &amp; Budget 2026'!$A$2:$EJ$49,51,FALSE),0)</f>
        <v>0</v>
      </c>
      <c r="U14" s="84" t="str">
        <f t="shared" si="7"/>
        <v>***</v>
      </c>
      <c r="V14" s="78"/>
      <c r="W14" s="78">
        <f>+IFERROR(VLOOKUP($A14,'Goals &amp; Budget 2026'!$A$2:$EJ$49,52,FALSE),0)</f>
        <v>0</v>
      </c>
      <c r="X14" s="231" t="str">
        <f t="shared" si="8"/>
        <v>***</v>
      </c>
      <c r="Y14" s="78"/>
      <c r="Z14" s="78">
        <f>+IFERROR(VLOOKUP($A14,'Goals &amp; Budget 2026'!$A$2:$EJ$49,53,FALSE),0)</f>
        <v>0</v>
      </c>
      <c r="AA14" s="84" t="str">
        <f t="shared" si="9"/>
        <v>***</v>
      </c>
      <c r="AB14" s="78"/>
      <c r="AC14" s="78">
        <f>+IFERROR(VLOOKUP($A14,'Goals &amp; Budget 2026'!$A$2:$EJ$49,54,FALSE),0)</f>
        <v>0</v>
      </c>
      <c r="AD14" s="84" t="str">
        <f t="shared" si="10"/>
        <v>***</v>
      </c>
      <c r="AE14" s="78"/>
      <c r="AF14" s="78">
        <f>+IFERROR(VLOOKUP($A14,'Goals &amp; Budget 2026'!$A$2:$EJ$49,55,FALSE),0)</f>
        <v>0</v>
      </c>
      <c r="AG14" s="231" t="str">
        <f t="shared" si="11"/>
        <v>***</v>
      </c>
      <c r="AH14" s="78"/>
      <c r="AI14" s="78">
        <f>+IFERROR(VLOOKUP($A14,'Goals &amp; Budget 2026'!$A$2:$EJ$49,56,FALSE),0)</f>
        <v>0</v>
      </c>
      <c r="AJ14" s="84" t="str">
        <f t="shared" si="12"/>
        <v>***</v>
      </c>
      <c r="AK14" s="78"/>
      <c r="AL14" s="78">
        <f>+IFERROR(VLOOKUP($A14,'Goals &amp; Budget 2026'!$A$2:$EJ$49,57,FALSE),0)</f>
        <v>0</v>
      </c>
      <c r="AM14" s="84" t="str">
        <f t="shared" si="13"/>
        <v>***</v>
      </c>
      <c r="AN14" s="78"/>
      <c r="AO14" s="78">
        <f>+IFERROR(VLOOKUP($A14,'Goals &amp; Budget 2026'!$A$2:$EJ$49,58,FALSE),0)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7">
        <f t="shared" si="0"/>
        <v>0</v>
      </c>
      <c r="E15" s="78">
        <f t="shared" si="1"/>
        <v>0</v>
      </c>
      <c r="F15" s="231" t="str">
        <f t="shared" si="2"/>
        <v>***</v>
      </c>
      <c r="G15" s="78"/>
      <c r="H15" s="78">
        <f>+IFERROR(VLOOKUP($A15,'Goals &amp; Budget 2026'!$A$2:$EJ$49,47,FALSE),0)</f>
        <v>0</v>
      </c>
      <c r="I15" s="84" t="str">
        <f t="shared" si="3"/>
        <v>***</v>
      </c>
      <c r="J15" s="78"/>
      <c r="K15" s="78">
        <f>+IFERROR(VLOOKUP($A15,'Goals &amp; Budget 2026'!$A$2:$EJ$49,48,FALSE),0)</f>
        <v>0</v>
      </c>
      <c r="L15" s="84" t="str">
        <f t="shared" si="4"/>
        <v>***</v>
      </c>
      <c r="M15" s="78"/>
      <c r="N15" s="78">
        <f>+IFERROR(VLOOKUP($A15,'Goals &amp; Budget 2026'!$A$2:$EJ$49,49,FALSE),0)</f>
        <v>0</v>
      </c>
      <c r="O15" s="231" t="str">
        <f t="shared" si="5"/>
        <v>***</v>
      </c>
      <c r="P15" s="78"/>
      <c r="Q15" s="78">
        <f>+IFERROR(VLOOKUP($A15,'Goals &amp; Budget 2026'!$A$2:$EJ$49,50,FALSE),0)</f>
        <v>0</v>
      </c>
      <c r="R15" s="84" t="str">
        <f t="shared" si="6"/>
        <v>***</v>
      </c>
      <c r="S15" s="78"/>
      <c r="T15" s="78">
        <f>+IFERROR(VLOOKUP($A15,'Goals &amp; Budget 2026'!$A$2:$EJ$49,51,FALSE),0)</f>
        <v>0</v>
      </c>
      <c r="U15" s="84" t="str">
        <f t="shared" si="7"/>
        <v>***</v>
      </c>
      <c r="V15" s="78"/>
      <c r="W15" s="78">
        <f>+IFERROR(VLOOKUP($A15,'Goals &amp; Budget 2026'!$A$2:$EJ$49,52,FALSE),0)</f>
        <v>0</v>
      </c>
      <c r="X15" s="231" t="str">
        <f t="shared" si="8"/>
        <v>***</v>
      </c>
      <c r="Y15" s="78"/>
      <c r="Z15" s="78">
        <f>+IFERROR(VLOOKUP($A15,'Goals &amp; Budget 2026'!$A$2:$EJ$49,53,FALSE),0)</f>
        <v>0</v>
      </c>
      <c r="AA15" s="84" t="str">
        <f t="shared" si="9"/>
        <v>***</v>
      </c>
      <c r="AB15" s="78"/>
      <c r="AC15" s="78">
        <f>+IFERROR(VLOOKUP($A15,'Goals &amp; Budget 2026'!$A$2:$EJ$49,54,FALSE),0)</f>
        <v>0</v>
      </c>
      <c r="AD15" s="84" t="str">
        <f t="shared" si="10"/>
        <v>***</v>
      </c>
      <c r="AE15" s="78"/>
      <c r="AF15" s="78">
        <f>+IFERROR(VLOOKUP($A15,'Goals &amp; Budget 2026'!$A$2:$EJ$49,55,FALSE),0)</f>
        <v>0</v>
      </c>
      <c r="AG15" s="231" t="str">
        <f t="shared" si="11"/>
        <v>***</v>
      </c>
      <c r="AH15" s="78"/>
      <c r="AI15" s="78">
        <f>+IFERROR(VLOOKUP($A15,'Goals &amp; Budget 2026'!$A$2:$EJ$49,56,FALSE),0)</f>
        <v>0</v>
      </c>
      <c r="AJ15" s="84" t="str">
        <f t="shared" si="12"/>
        <v>***</v>
      </c>
      <c r="AK15" s="78"/>
      <c r="AL15" s="78">
        <f>+IFERROR(VLOOKUP($A15,'Goals &amp; Budget 2026'!$A$2:$EJ$49,57,FALSE),0)</f>
        <v>0</v>
      </c>
      <c r="AM15" s="84" t="str">
        <f t="shared" si="13"/>
        <v>***</v>
      </c>
      <c r="AN15" s="78"/>
      <c r="AO15" s="78">
        <f>+IFERROR(VLOOKUP($A15,'Goals &amp; Budget 2026'!$A$2:$EJ$49,58,FALSE),0)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7">
        <f t="shared" si="0"/>
        <v>0</v>
      </c>
      <c r="E16" s="78">
        <f t="shared" si="1"/>
        <v>0</v>
      </c>
      <c r="F16" s="231" t="str">
        <f t="shared" si="2"/>
        <v>***</v>
      </c>
      <c r="G16" s="78"/>
      <c r="H16" s="78">
        <f>+IFERROR(VLOOKUP($A16,'Goals &amp; Budget 2026'!$A$2:$EJ$49,47,FALSE),0)</f>
        <v>0</v>
      </c>
      <c r="I16" s="84" t="str">
        <f t="shared" si="3"/>
        <v>***</v>
      </c>
      <c r="J16" s="78"/>
      <c r="K16" s="78">
        <f>+IFERROR(VLOOKUP($A16,'Goals &amp; Budget 2026'!$A$2:$EJ$49,48,FALSE),0)</f>
        <v>0</v>
      </c>
      <c r="L16" s="84" t="str">
        <f t="shared" si="4"/>
        <v>***</v>
      </c>
      <c r="M16" s="78"/>
      <c r="N16" s="78">
        <f>+IFERROR(VLOOKUP($A16,'Goals &amp; Budget 2026'!$A$2:$EJ$49,49,FALSE),0)</f>
        <v>0</v>
      </c>
      <c r="O16" s="231" t="str">
        <f t="shared" si="5"/>
        <v>***</v>
      </c>
      <c r="P16" s="78"/>
      <c r="Q16" s="78">
        <f>+IFERROR(VLOOKUP($A16,'Goals &amp; Budget 2026'!$A$2:$EJ$49,50,FALSE),0)</f>
        <v>0</v>
      </c>
      <c r="R16" s="84" t="str">
        <f t="shared" si="6"/>
        <v>***</v>
      </c>
      <c r="S16" s="78"/>
      <c r="T16" s="78">
        <f>+IFERROR(VLOOKUP($A16,'Goals &amp; Budget 2026'!$A$2:$EJ$49,51,FALSE),0)</f>
        <v>0</v>
      </c>
      <c r="U16" s="84" t="str">
        <f t="shared" si="7"/>
        <v>***</v>
      </c>
      <c r="V16" s="78"/>
      <c r="W16" s="78">
        <f>+IFERROR(VLOOKUP($A16,'Goals &amp; Budget 2026'!$A$2:$EJ$49,52,FALSE),0)</f>
        <v>0</v>
      </c>
      <c r="X16" s="231" t="str">
        <f t="shared" si="8"/>
        <v>***</v>
      </c>
      <c r="Y16" s="78"/>
      <c r="Z16" s="78">
        <f>+IFERROR(VLOOKUP($A16,'Goals &amp; Budget 2026'!$A$2:$EJ$49,53,FALSE),0)</f>
        <v>0</v>
      </c>
      <c r="AA16" s="84" t="str">
        <f t="shared" si="9"/>
        <v>***</v>
      </c>
      <c r="AB16" s="78"/>
      <c r="AC16" s="78">
        <f>+IFERROR(VLOOKUP($A16,'Goals &amp; Budget 2026'!$A$2:$EJ$49,54,FALSE),0)</f>
        <v>0</v>
      </c>
      <c r="AD16" s="84" t="str">
        <f t="shared" si="10"/>
        <v>***</v>
      </c>
      <c r="AE16" s="78"/>
      <c r="AF16" s="78">
        <f>+IFERROR(VLOOKUP($A16,'Goals &amp; Budget 2026'!$A$2:$EJ$49,55,FALSE),0)</f>
        <v>0</v>
      </c>
      <c r="AG16" s="231" t="str">
        <f t="shared" si="11"/>
        <v>***</v>
      </c>
      <c r="AH16" s="78"/>
      <c r="AI16" s="78">
        <f>+IFERROR(VLOOKUP($A16,'Goals &amp; Budget 2026'!$A$2:$EJ$49,56,FALSE),0)</f>
        <v>0</v>
      </c>
      <c r="AJ16" s="84" t="str">
        <f t="shared" si="12"/>
        <v>***</v>
      </c>
      <c r="AK16" s="78"/>
      <c r="AL16" s="78">
        <f>+IFERROR(VLOOKUP($A16,'Goals &amp; Budget 2026'!$A$2:$EJ$49,57,FALSE),0)</f>
        <v>0</v>
      </c>
      <c r="AM16" s="84" t="str">
        <f t="shared" si="13"/>
        <v>***</v>
      </c>
      <c r="AN16" s="78"/>
      <c r="AO16" s="78">
        <f>+IFERROR(VLOOKUP($A16,'Goals &amp; Budget 2026'!$A$2:$EJ$49,58,FALSE),0)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7">
        <f t="shared" si="0"/>
        <v>0</v>
      </c>
      <c r="E17" s="78">
        <f t="shared" si="1"/>
        <v>0</v>
      </c>
      <c r="F17" s="231" t="str">
        <f t="shared" si="2"/>
        <v>***</v>
      </c>
      <c r="G17" s="78"/>
      <c r="H17" s="78">
        <f>+IFERROR(VLOOKUP($A17,'Goals &amp; Budget 2026'!$A$2:$EJ$49,47,FALSE),0)</f>
        <v>0</v>
      </c>
      <c r="I17" s="84" t="str">
        <f t="shared" si="3"/>
        <v>***</v>
      </c>
      <c r="J17" s="78"/>
      <c r="K17" s="78">
        <f>+IFERROR(VLOOKUP($A17,'Goals &amp; Budget 2026'!$A$2:$EJ$49,48,FALSE),0)</f>
        <v>0</v>
      </c>
      <c r="L17" s="84" t="str">
        <f t="shared" si="4"/>
        <v>***</v>
      </c>
      <c r="M17" s="78"/>
      <c r="N17" s="78">
        <f>+IFERROR(VLOOKUP($A17,'Goals &amp; Budget 2026'!$A$2:$EJ$49,49,FALSE),0)</f>
        <v>0</v>
      </c>
      <c r="O17" s="231" t="str">
        <f t="shared" si="5"/>
        <v>***</v>
      </c>
      <c r="P17" s="78"/>
      <c r="Q17" s="78">
        <f>+IFERROR(VLOOKUP($A17,'Goals &amp; Budget 2026'!$A$2:$EJ$49,50,FALSE),0)</f>
        <v>0</v>
      </c>
      <c r="R17" s="84" t="str">
        <f t="shared" si="6"/>
        <v>***</v>
      </c>
      <c r="S17" s="78"/>
      <c r="T17" s="78">
        <f>+IFERROR(VLOOKUP($A17,'Goals &amp; Budget 2026'!$A$2:$EJ$49,51,FALSE),0)</f>
        <v>0</v>
      </c>
      <c r="U17" s="84" t="str">
        <f t="shared" si="7"/>
        <v>***</v>
      </c>
      <c r="V17" s="78"/>
      <c r="W17" s="78">
        <f>+IFERROR(VLOOKUP($A17,'Goals &amp; Budget 2026'!$A$2:$EJ$49,52,FALSE),0)</f>
        <v>0</v>
      </c>
      <c r="X17" s="231" t="str">
        <f t="shared" si="8"/>
        <v>***</v>
      </c>
      <c r="Y17" s="78"/>
      <c r="Z17" s="78">
        <f>+IFERROR(VLOOKUP($A17,'Goals &amp; Budget 2026'!$A$2:$EJ$49,53,FALSE),0)</f>
        <v>0</v>
      </c>
      <c r="AA17" s="84" t="str">
        <f t="shared" si="9"/>
        <v>***</v>
      </c>
      <c r="AB17" s="78"/>
      <c r="AC17" s="78">
        <f>+IFERROR(VLOOKUP($A17,'Goals &amp; Budget 2026'!$A$2:$EJ$49,54,FALSE),0)</f>
        <v>0</v>
      </c>
      <c r="AD17" s="84" t="str">
        <f t="shared" si="10"/>
        <v>***</v>
      </c>
      <c r="AE17" s="78"/>
      <c r="AF17" s="78">
        <f>+IFERROR(VLOOKUP($A17,'Goals &amp; Budget 2026'!$A$2:$EJ$49,55,FALSE),0)</f>
        <v>0</v>
      </c>
      <c r="AG17" s="231" t="str">
        <f t="shared" si="11"/>
        <v>***</v>
      </c>
      <c r="AH17" s="78"/>
      <c r="AI17" s="78">
        <f>+IFERROR(VLOOKUP($A17,'Goals &amp; Budget 2026'!$A$2:$EJ$49,56,FALSE),0)</f>
        <v>0</v>
      </c>
      <c r="AJ17" s="84" t="str">
        <f t="shared" si="12"/>
        <v>***</v>
      </c>
      <c r="AK17" s="78"/>
      <c r="AL17" s="78">
        <f>+IFERROR(VLOOKUP($A17,'Goals &amp; Budget 2026'!$A$2:$EJ$49,57,FALSE),0)</f>
        <v>0</v>
      </c>
      <c r="AM17" s="84" t="str">
        <f t="shared" si="13"/>
        <v>***</v>
      </c>
      <c r="AN17" s="78"/>
      <c r="AO17" s="78">
        <f>+IFERROR(VLOOKUP($A17,'Goals &amp; Budget 2026'!$A$2:$EJ$49,58,FALSE),0)</f>
        <v>0</v>
      </c>
      <c r="AP17" s="85" t="str">
        <f t="shared" si="14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7">
        <f t="shared" si="0"/>
        <v>0</v>
      </c>
      <c r="E18" s="78">
        <f t="shared" si="1"/>
        <v>0</v>
      </c>
      <c r="F18" s="231" t="str">
        <f t="shared" si="2"/>
        <v>***</v>
      </c>
      <c r="G18" s="78"/>
      <c r="H18" s="78">
        <f>+IFERROR(VLOOKUP($A18,'Goals &amp; Budget 2026'!$A$2:$EJ$49,47,FALSE),0)</f>
        <v>0</v>
      </c>
      <c r="I18" s="84" t="str">
        <f t="shared" si="3"/>
        <v>***</v>
      </c>
      <c r="J18" s="78"/>
      <c r="K18" s="78">
        <f>+IFERROR(VLOOKUP($A18,'Goals &amp; Budget 2026'!$A$2:$EJ$49,48,FALSE),0)</f>
        <v>0</v>
      </c>
      <c r="L18" s="84" t="str">
        <f t="shared" si="4"/>
        <v>***</v>
      </c>
      <c r="M18" s="78"/>
      <c r="N18" s="78">
        <f>+IFERROR(VLOOKUP($A18,'Goals &amp; Budget 2026'!$A$2:$EJ$49,49,FALSE),0)</f>
        <v>0</v>
      </c>
      <c r="O18" s="231" t="str">
        <f t="shared" si="5"/>
        <v>***</v>
      </c>
      <c r="P18" s="78"/>
      <c r="Q18" s="78">
        <f>+IFERROR(VLOOKUP($A18,'Goals &amp; Budget 2026'!$A$2:$EJ$49,50,FALSE),0)</f>
        <v>0</v>
      </c>
      <c r="R18" s="84" t="str">
        <f t="shared" si="6"/>
        <v>***</v>
      </c>
      <c r="S18" s="78"/>
      <c r="T18" s="78">
        <f>+IFERROR(VLOOKUP($A18,'Goals &amp; Budget 2026'!$A$2:$EJ$49,51,FALSE),0)</f>
        <v>0</v>
      </c>
      <c r="U18" s="84" t="str">
        <f t="shared" si="7"/>
        <v>***</v>
      </c>
      <c r="V18" s="78"/>
      <c r="W18" s="78">
        <f>+IFERROR(VLOOKUP($A18,'Goals &amp; Budget 2026'!$A$2:$EJ$49,52,FALSE),0)</f>
        <v>0</v>
      </c>
      <c r="X18" s="231" t="str">
        <f t="shared" si="8"/>
        <v>***</v>
      </c>
      <c r="Y18" s="78"/>
      <c r="Z18" s="78">
        <f>+IFERROR(VLOOKUP($A18,'Goals &amp; Budget 2026'!$A$2:$EJ$49,53,FALSE),0)</f>
        <v>0</v>
      </c>
      <c r="AA18" s="84" t="str">
        <f t="shared" si="9"/>
        <v>***</v>
      </c>
      <c r="AB18" s="78"/>
      <c r="AC18" s="78">
        <f>+IFERROR(VLOOKUP($A18,'Goals &amp; Budget 2026'!$A$2:$EJ$49,54,FALSE),0)</f>
        <v>0</v>
      </c>
      <c r="AD18" s="84" t="str">
        <f t="shared" si="10"/>
        <v>***</v>
      </c>
      <c r="AE18" s="78"/>
      <c r="AF18" s="78">
        <f>+IFERROR(VLOOKUP($A18,'Goals &amp; Budget 2026'!$A$2:$EJ$49,55,FALSE),0)</f>
        <v>0</v>
      </c>
      <c r="AG18" s="231" t="str">
        <f t="shared" si="11"/>
        <v>***</v>
      </c>
      <c r="AH18" s="78"/>
      <c r="AI18" s="78">
        <f>+IFERROR(VLOOKUP($A18,'Goals &amp; Budget 2026'!$A$2:$EJ$49,56,FALSE),0)</f>
        <v>0</v>
      </c>
      <c r="AJ18" s="84" t="str">
        <f t="shared" si="12"/>
        <v>***</v>
      </c>
      <c r="AK18" s="78"/>
      <c r="AL18" s="78">
        <f>+IFERROR(VLOOKUP($A18,'Goals &amp; Budget 2026'!$A$2:$EJ$49,57,FALSE),0)</f>
        <v>0</v>
      </c>
      <c r="AM18" s="84" t="str">
        <f t="shared" si="13"/>
        <v>***</v>
      </c>
      <c r="AN18" s="78"/>
      <c r="AO18" s="78">
        <f>+IFERROR(VLOOKUP($A18,'Goals &amp; Budget 2026'!$A$2:$EJ$49,58,FALSE),0)</f>
        <v>0</v>
      </c>
      <c r="AP18" s="85" t="str">
        <f t="shared" si="14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7">
        <f t="shared" si="0"/>
        <v>0</v>
      </c>
      <c r="E19" s="78">
        <f t="shared" si="1"/>
        <v>0</v>
      </c>
      <c r="F19" s="231" t="str">
        <f t="shared" si="2"/>
        <v>***</v>
      </c>
      <c r="G19" s="78"/>
      <c r="H19" s="78">
        <f>+IFERROR(VLOOKUP($A19,'Goals &amp; Budget 2026'!$A$2:$EJ$49,47,FALSE),0)</f>
        <v>0</v>
      </c>
      <c r="I19" s="84" t="str">
        <f t="shared" si="3"/>
        <v>***</v>
      </c>
      <c r="J19" s="78"/>
      <c r="K19" s="78">
        <f>+IFERROR(VLOOKUP($A19,'Goals &amp; Budget 2026'!$A$2:$EJ$49,48,FALSE),0)</f>
        <v>0</v>
      </c>
      <c r="L19" s="84" t="str">
        <f t="shared" si="4"/>
        <v>***</v>
      </c>
      <c r="M19" s="78"/>
      <c r="N19" s="78">
        <f>+IFERROR(VLOOKUP($A19,'Goals &amp; Budget 2026'!$A$2:$EJ$49,49,FALSE),0)</f>
        <v>0</v>
      </c>
      <c r="O19" s="231" t="str">
        <f t="shared" si="5"/>
        <v>***</v>
      </c>
      <c r="P19" s="78"/>
      <c r="Q19" s="78">
        <f>+IFERROR(VLOOKUP($A19,'Goals &amp; Budget 2026'!$A$2:$EJ$49,50,FALSE),0)</f>
        <v>0</v>
      </c>
      <c r="R19" s="84" t="str">
        <f t="shared" si="6"/>
        <v>***</v>
      </c>
      <c r="S19" s="78"/>
      <c r="T19" s="78">
        <f>+IFERROR(VLOOKUP($A19,'Goals &amp; Budget 2026'!$A$2:$EJ$49,51,FALSE),0)</f>
        <v>0</v>
      </c>
      <c r="U19" s="84" t="str">
        <f t="shared" si="7"/>
        <v>***</v>
      </c>
      <c r="V19" s="78"/>
      <c r="W19" s="78">
        <f>+IFERROR(VLOOKUP($A19,'Goals &amp; Budget 2026'!$A$2:$EJ$49,52,FALSE),0)</f>
        <v>0</v>
      </c>
      <c r="X19" s="231" t="str">
        <f t="shared" si="8"/>
        <v>***</v>
      </c>
      <c r="Y19" s="78"/>
      <c r="Z19" s="78">
        <f>+IFERROR(VLOOKUP($A19,'Goals &amp; Budget 2026'!$A$2:$EJ$49,53,FALSE),0)</f>
        <v>0</v>
      </c>
      <c r="AA19" s="84" t="str">
        <f t="shared" si="9"/>
        <v>***</v>
      </c>
      <c r="AB19" s="78"/>
      <c r="AC19" s="78">
        <f>+IFERROR(VLOOKUP($A19,'Goals &amp; Budget 2026'!$A$2:$EJ$49,54,FALSE),0)</f>
        <v>0</v>
      </c>
      <c r="AD19" s="84" t="str">
        <f t="shared" si="10"/>
        <v>***</v>
      </c>
      <c r="AE19" s="78"/>
      <c r="AF19" s="78">
        <f>+IFERROR(VLOOKUP($A19,'Goals &amp; Budget 2026'!$A$2:$EJ$49,55,FALSE),0)</f>
        <v>0</v>
      </c>
      <c r="AG19" s="231" t="str">
        <f t="shared" si="11"/>
        <v>***</v>
      </c>
      <c r="AH19" s="78"/>
      <c r="AI19" s="78">
        <f>+IFERROR(VLOOKUP($A19,'Goals &amp; Budget 2026'!$A$2:$EJ$49,56,FALSE),0)</f>
        <v>0</v>
      </c>
      <c r="AJ19" s="84" t="str">
        <f t="shared" si="12"/>
        <v>***</v>
      </c>
      <c r="AK19" s="78"/>
      <c r="AL19" s="78">
        <f>+IFERROR(VLOOKUP($A19,'Goals &amp; Budget 2026'!$A$2:$EJ$49,57,FALSE),0)</f>
        <v>0</v>
      </c>
      <c r="AM19" s="84" t="str">
        <f t="shared" si="13"/>
        <v>***</v>
      </c>
      <c r="AN19" s="78"/>
      <c r="AO19" s="78">
        <f>+IFERROR(VLOOKUP($A19,'Goals &amp; Budget 2026'!$A$2:$EJ$49,58,FALSE),0)</f>
        <v>0</v>
      </c>
      <c r="AP19" s="85" t="str">
        <f t="shared" si="14"/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7">
        <f t="shared" si="0"/>
        <v>0</v>
      </c>
      <c r="E20" s="78">
        <f t="shared" si="1"/>
        <v>0</v>
      </c>
      <c r="F20" s="231" t="str">
        <f t="shared" si="2"/>
        <v>***</v>
      </c>
      <c r="G20" s="78"/>
      <c r="H20" s="78">
        <f>+IFERROR(VLOOKUP($A20,'Goals &amp; Budget 2026'!$A$2:$EJ$49,47,FALSE),0)</f>
        <v>0</v>
      </c>
      <c r="I20" s="84" t="str">
        <f t="shared" si="3"/>
        <v>***</v>
      </c>
      <c r="J20" s="78"/>
      <c r="K20" s="78">
        <f>+IFERROR(VLOOKUP($A20,'Goals &amp; Budget 2026'!$A$2:$EJ$49,48,FALSE),0)</f>
        <v>0</v>
      </c>
      <c r="L20" s="84" t="str">
        <f t="shared" si="4"/>
        <v>***</v>
      </c>
      <c r="M20" s="78"/>
      <c r="N20" s="78">
        <f>+IFERROR(VLOOKUP($A20,'Goals &amp; Budget 2026'!$A$2:$EJ$49,49,FALSE),0)</f>
        <v>0</v>
      </c>
      <c r="O20" s="231" t="str">
        <f t="shared" si="5"/>
        <v>***</v>
      </c>
      <c r="P20" s="78"/>
      <c r="Q20" s="78">
        <f>+IFERROR(VLOOKUP($A20,'Goals &amp; Budget 2026'!$A$2:$EJ$49,50,FALSE),0)</f>
        <v>0</v>
      </c>
      <c r="R20" s="84" t="str">
        <f t="shared" si="6"/>
        <v>***</v>
      </c>
      <c r="S20" s="78"/>
      <c r="T20" s="78">
        <f>+IFERROR(VLOOKUP($A20,'Goals &amp; Budget 2026'!$A$2:$EJ$49,51,FALSE),0)</f>
        <v>0</v>
      </c>
      <c r="U20" s="84" t="str">
        <f t="shared" si="7"/>
        <v>***</v>
      </c>
      <c r="V20" s="78"/>
      <c r="W20" s="78">
        <f>+IFERROR(VLOOKUP($A20,'Goals &amp; Budget 2026'!$A$2:$EJ$49,52,FALSE),0)</f>
        <v>0</v>
      </c>
      <c r="X20" s="231" t="str">
        <f t="shared" si="8"/>
        <v>***</v>
      </c>
      <c r="Y20" s="78"/>
      <c r="Z20" s="78">
        <f>+IFERROR(VLOOKUP($A20,'Goals &amp; Budget 2026'!$A$2:$EJ$49,53,FALSE),0)</f>
        <v>0</v>
      </c>
      <c r="AA20" s="84" t="str">
        <f t="shared" si="9"/>
        <v>***</v>
      </c>
      <c r="AB20" s="78"/>
      <c r="AC20" s="78">
        <f>+IFERROR(VLOOKUP($A20,'Goals &amp; Budget 2026'!$A$2:$EJ$49,54,FALSE),0)</f>
        <v>0</v>
      </c>
      <c r="AD20" s="84" t="str">
        <f t="shared" si="10"/>
        <v>***</v>
      </c>
      <c r="AE20" s="78"/>
      <c r="AF20" s="78">
        <f>+IFERROR(VLOOKUP($A20,'Goals &amp; Budget 2026'!$A$2:$EJ$49,55,FALSE),0)</f>
        <v>0</v>
      </c>
      <c r="AG20" s="231" t="str">
        <f t="shared" si="11"/>
        <v>***</v>
      </c>
      <c r="AH20" s="78"/>
      <c r="AI20" s="78">
        <f>+IFERROR(VLOOKUP($A20,'Goals &amp; Budget 2026'!$A$2:$EJ$49,56,FALSE),0)</f>
        <v>0</v>
      </c>
      <c r="AJ20" s="84" t="str">
        <f t="shared" si="12"/>
        <v>***</v>
      </c>
      <c r="AK20" s="78"/>
      <c r="AL20" s="78">
        <f>+IFERROR(VLOOKUP($A20,'Goals &amp; Budget 2026'!$A$2:$EJ$49,57,FALSE),0)</f>
        <v>0</v>
      </c>
      <c r="AM20" s="84" t="str">
        <f t="shared" si="13"/>
        <v>***</v>
      </c>
      <c r="AN20" s="78"/>
      <c r="AO20" s="78">
        <f>+IFERROR(VLOOKUP($A20,'Goals &amp; Budget 2026'!$A$2:$EJ$49,58,FALSE),0)</f>
        <v>0</v>
      </c>
      <c r="AP20" s="85" t="str">
        <f t="shared" si="14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7">
        <f t="shared" si="0"/>
        <v>0</v>
      </c>
      <c r="E21" s="78">
        <f t="shared" si="1"/>
        <v>0</v>
      </c>
      <c r="F21" s="231" t="str">
        <f t="shared" si="2"/>
        <v>***</v>
      </c>
      <c r="G21" s="78"/>
      <c r="H21" s="78">
        <f>+IFERROR(VLOOKUP($A21,'Goals &amp; Budget 2026'!$A$2:$EJ$49,47,FALSE),0)</f>
        <v>0</v>
      </c>
      <c r="I21" s="84" t="str">
        <f t="shared" si="3"/>
        <v>***</v>
      </c>
      <c r="J21" s="78"/>
      <c r="K21" s="78">
        <f>+IFERROR(VLOOKUP($A21,'Goals &amp; Budget 2026'!$A$2:$EJ$49,48,FALSE),0)</f>
        <v>0</v>
      </c>
      <c r="L21" s="84" t="str">
        <f t="shared" si="4"/>
        <v>***</v>
      </c>
      <c r="M21" s="78"/>
      <c r="N21" s="78">
        <f>+IFERROR(VLOOKUP($A21,'Goals &amp; Budget 2026'!$A$2:$EJ$49,49,FALSE),0)</f>
        <v>0</v>
      </c>
      <c r="O21" s="231" t="str">
        <f t="shared" si="5"/>
        <v>***</v>
      </c>
      <c r="P21" s="78"/>
      <c r="Q21" s="78">
        <f>+IFERROR(VLOOKUP($A21,'Goals &amp; Budget 2026'!$A$2:$EJ$49,50,FALSE),0)</f>
        <v>0</v>
      </c>
      <c r="R21" s="84" t="str">
        <f t="shared" si="6"/>
        <v>***</v>
      </c>
      <c r="S21" s="78"/>
      <c r="T21" s="78">
        <f>+IFERROR(VLOOKUP($A21,'Goals &amp; Budget 2026'!$A$2:$EJ$49,51,FALSE),0)</f>
        <v>0</v>
      </c>
      <c r="U21" s="84" t="str">
        <f t="shared" si="7"/>
        <v>***</v>
      </c>
      <c r="V21" s="78"/>
      <c r="W21" s="78">
        <f>+IFERROR(VLOOKUP($A21,'Goals &amp; Budget 2026'!$A$2:$EJ$49,52,FALSE),0)</f>
        <v>0</v>
      </c>
      <c r="X21" s="231" t="str">
        <f t="shared" si="8"/>
        <v>***</v>
      </c>
      <c r="Y21" s="78"/>
      <c r="Z21" s="78">
        <f>+IFERROR(VLOOKUP($A21,'Goals &amp; Budget 2026'!$A$2:$EJ$49,53,FALSE),0)</f>
        <v>0</v>
      </c>
      <c r="AA21" s="84" t="str">
        <f t="shared" si="9"/>
        <v>***</v>
      </c>
      <c r="AB21" s="78"/>
      <c r="AC21" s="78">
        <f>+IFERROR(VLOOKUP($A21,'Goals &amp; Budget 2026'!$A$2:$EJ$49,54,FALSE),0)</f>
        <v>0</v>
      </c>
      <c r="AD21" s="84" t="str">
        <f t="shared" si="10"/>
        <v>***</v>
      </c>
      <c r="AE21" s="78"/>
      <c r="AF21" s="78">
        <f>+IFERROR(VLOOKUP($A21,'Goals &amp; Budget 2026'!$A$2:$EJ$49,55,FALSE),0)</f>
        <v>0</v>
      </c>
      <c r="AG21" s="231" t="str">
        <f t="shared" si="11"/>
        <v>***</v>
      </c>
      <c r="AH21" s="78"/>
      <c r="AI21" s="78">
        <f>+IFERROR(VLOOKUP($A21,'Goals &amp; Budget 2026'!$A$2:$EJ$49,56,FALSE),0)</f>
        <v>0</v>
      </c>
      <c r="AJ21" s="84" t="str">
        <f t="shared" si="12"/>
        <v>***</v>
      </c>
      <c r="AK21" s="78"/>
      <c r="AL21" s="78">
        <f>+IFERROR(VLOOKUP($A21,'Goals &amp; Budget 2026'!$A$2:$EJ$49,57,FALSE),0)</f>
        <v>0</v>
      </c>
      <c r="AM21" s="84" t="str">
        <f t="shared" si="13"/>
        <v>***</v>
      </c>
      <c r="AN21" s="78"/>
      <c r="AO21" s="78">
        <f>+IFERROR(VLOOKUP($A21,'Goals &amp; Budget 2026'!$A$2:$EJ$49,58,FALSE),0)</f>
        <v>0</v>
      </c>
      <c r="AP21" s="85" t="str">
        <f t="shared" si="14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7">
        <f t="shared" si="0"/>
        <v>0</v>
      </c>
      <c r="E22" s="78">
        <f t="shared" si="1"/>
        <v>0</v>
      </c>
      <c r="F22" s="231" t="str">
        <f t="shared" si="2"/>
        <v>***</v>
      </c>
      <c r="G22" s="78"/>
      <c r="H22" s="78">
        <f>+IFERROR(VLOOKUP($A22,'Goals &amp; Budget 2026'!$A$2:$EJ$49,47,FALSE),0)</f>
        <v>0</v>
      </c>
      <c r="I22" s="84" t="str">
        <f t="shared" si="3"/>
        <v>***</v>
      </c>
      <c r="J22" s="78"/>
      <c r="K22" s="78">
        <f>+IFERROR(VLOOKUP($A22,'Goals &amp; Budget 2026'!$A$2:$EJ$49,48,FALSE),0)</f>
        <v>0</v>
      </c>
      <c r="L22" s="84" t="str">
        <f t="shared" si="4"/>
        <v>***</v>
      </c>
      <c r="M22" s="78"/>
      <c r="N22" s="78">
        <f>+IFERROR(VLOOKUP($A22,'Goals &amp; Budget 2026'!$A$2:$EJ$49,49,FALSE),0)</f>
        <v>0</v>
      </c>
      <c r="O22" s="231" t="str">
        <f t="shared" si="5"/>
        <v>***</v>
      </c>
      <c r="P22" s="78"/>
      <c r="Q22" s="78">
        <f>+IFERROR(VLOOKUP($A22,'Goals &amp; Budget 2026'!$A$2:$EJ$49,50,FALSE),0)</f>
        <v>0</v>
      </c>
      <c r="R22" s="84" t="str">
        <f t="shared" si="6"/>
        <v>***</v>
      </c>
      <c r="S22" s="78"/>
      <c r="T22" s="78">
        <f>+IFERROR(VLOOKUP($A22,'Goals &amp; Budget 2026'!$A$2:$EJ$49,51,FALSE),0)</f>
        <v>0</v>
      </c>
      <c r="U22" s="84" t="str">
        <f t="shared" si="7"/>
        <v>***</v>
      </c>
      <c r="V22" s="78"/>
      <c r="W22" s="78">
        <f>+IFERROR(VLOOKUP($A22,'Goals &amp; Budget 2026'!$A$2:$EJ$49,52,FALSE),0)</f>
        <v>0</v>
      </c>
      <c r="X22" s="231" t="str">
        <f t="shared" si="8"/>
        <v>***</v>
      </c>
      <c r="Y22" s="78"/>
      <c r="Z22" s="78">
        <f>+IFERROR(VLOOKUP($A22,'Goals &amp; Budget 2026'!$A$2:$EJ$49,53,FALSE),0)</f>
        <v>0</v>
      </c>
      <c r="AA22" s="84" t="str">
        <f t="shared" si="9"/>
        <v>***</v>
      </c>
      <c r="AB22" s="78"/>
      <c r="AC22" s="78">
        <f>+IFERROR(VLOOKUP($A22,'Goals &amp; Budget 2026'!$A$2:$EJ$49,54,FALSE),0)</f>
        <v>0</v>
      </c>
      <c r="AD22" s="84" t="str">
        <f t="shared" si="10"/>
        <v>***</v>
      </c>
      <c r="AE22" s="78"/>
      <c r="AF22" s="78">
        <f>+IFERROR(VLOOKUP($A22,'Goals &amp; Budget 2026'!$A$2:$EJ$49,55,FALSE),0)</f>
        <v>0</v>
      </c>
      <c r="AG22" s="231" t="str">
        <f t="shared" si="11"/>
        <v>***</v>
      </c>
      <c r="AH22" s="78"/>
      <c r="AI22" s="78">
        <f>+IFERROR(VLOOKUP($A22,'Goals &amp; Budget 2026'!$A$2:$EJ$49,56,FALSE),0)</f>
        <v>0</v>
      </c>
      <c r="AJ22" s="84" t="str">
        <f t="shared" si="12"/>
        <v>***</v>
      </c>
      <c r="AK22" s="78"/>
      <c r="AL22" s="78">
        <f>+IFERROR(VLOOKUP($A22,'Goals &amp; Budget 2026'!$A$2:$EJ$49,57,FALSE),0)</f>
        <v>0</v>
      </c>
      <c r="AM22" s="84" t="str">
        <f t="shared" si="13"/>
        <v>***</v>
      </c>
      <c r="AN22" s="78"/>
      <c r="AO22" s="78">
        <f>+IFERROR(VLOOKUP($A22,'Goals &amp; Budget 2026'!$A$2:$EJ$49,58,FALSE),0)</f>
        <v>0</v>
      </c>
      <c r="AP22" s="85" t="str">
        <f t="shared" si="14"/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7">
        <f t="shared" si="0"/>
        <v>0</v>
      </c>
      <c r="E23" s="78">
        <f t="shared" si="1"/>
        <v>0</v>
      </c>
      <c r="F23" s="231" t="str">
        <f t="shared" si="2"/>
        <v>***</v>
      </c>
      <c r="G23" s="78"/>
      <c r="H23" s="78">
        <f>+IFERROR(VLOOKUP($A23,'Goals &amp; Budget 2026'!$A$2:$EJ$49,47,FALSE),0)</f>
        <v>0</v>
      </c>
      <c r="I23" s="84" t="str">
        <f t="shared" si="3"/>
        <v>***</v>
      </c>
      <c r="J23" s="78"/>
      <c r="K23" s="78">
        <f>+IFERROR(VLOOKUP($A23,'Goals &amp; Budget 2026'!$A$2:$EJ$49,48,FALSE),0)</f>
        <v>0</v>
      </c>
      <c r="L23" s="84" t="str">
        <f t="shared" si="4"/>
        <v>***</v>
      </c>
      <c r="M23" s="78"/>
      <c r="N23" s="78">
        <f>+IFERROR(VLOOKUP($A23,'Goals &amp; Budget 2026'!$A$2:$EJ$49,49,FALSE),0)</f>
        <v>0</v>
      </c>
      <c r="O23" s="231" t="str">
        <f t="shared" si="5"/>
        <v>***</v>
      </c>
      <c r="P23" s="78"/>
      <c r="Q23" s="78">
        <f>+IFERROR(VLOOKUP($A23,'Goals &amp; Budget 2026'!$A$2:$EJ$49,50,FALSE),0)</f>
        <v>0</v>
      </c>
      <c r="R23" s="84" t="str">
        <f t="shared" si="6"/>
        <v>***</v>
      </c>
      <c r="S23" s="78"/>
      <c r="T23" s="78">
        <f>+IFERROR(VLOOKUP($A23,'Goals &amp; Budget 2026'!$A$2:$EJ$49,51,FALSE),0)</f>
        <v>0</v>
      </c>
      <c r="U23" s="84" t="str">
        <f t="shared" si="7"/>
        <v>***</v>
      </c>
      <c r="V23" s="78"/>
      <c r="W23" s="78">
        <f>+IFERROR(VLOOKUP($A23,'Goals &amp; Budget 2026'!$A$2:$EJ$49,52,FALSE),0)</f>
        <v>0</v>
      </c>
      <c r="X23" s="231" t="str">
        <f t="shared" si="8"/>
        <v>***</v>
      </c>
      <c r="Y23" s="78"/>
      <c r="Z23" s="78">
        <f>+IFERROR(VLOOKUP($A23,'Goals &amp; Budget 2026'!$A$2:$EJ$49,53,FALSE),0)</f>
        <v>0</v>
      </c>
      <c r="AA23" s="84" t="str">
        <f t="shared" si="9"/>
        <v>***</v>
      </c>
      <c r="AB23" s="78"/>
      <c r="AC23" s="78">
        <f>+IFERROR(VLOOKUP($A23,'Goals &amp; Budget 2026'!$A$2:$EJ$49,54,FALSE),0)</f>
        <v>0</v>
      </c>
      <c r="AD23" s="84" t="str">
        <f t="shared" si="10"/>
        <v>***</v>
      </c>
      <c r="AE23" s="78"/>
      <c r="AF23" s="78">
        <f>+IFERROR(VLOOKUP($A23,'Goals &amp; Budget 2026'!$A$2:$EJ$49,55,FALSE),0)</f>
        <v>0</v>
      </c>
      <c r="AG23" s="231" t="str">
        <f t="shared" si="11"/>
        <v>***</v>
      </c>
      <c r="AH23" s="78"/>
      <c r="AI23" s="78">
        <f>+IFERROR(VLOOKUP($A23,'Goals &amp; Budget 2026'!$A$2:$EJ$49,56,FALSE),0)</f>
        <v>0</v>
      </c>
      <c r="AJ23" s="84" t="str">
        <f t="shared" si="12"/>
        <v>***</v>
      </c>
      <c r="AK23" s="78"/>
      <c r="AL23" s="78">
        <f>+IFERROR(VLOOKUP($A23,'Goals &amp; Budget 2026'!$A$2:$EJ$49,57,FALSE),0)</f>
        <v>0</v>
      </c>
      <c r="AM23" s="84" t="str">
        <f t="shared" si="13"/>
        <v>***</v>
      </c>
      <c r="AN23" s="78"/>
      <c r="AO23" s="78">
        <f>+IFERROR(VLOOKUP($A23,'Goals &amp; Budget 2026'!$A$2:$EJ$49,58,FALSE),0)</f>
        <v>0</v>
      </c>
      <c r="AP23" s="85" t="str">
        <f t="shared" si="14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7">
        <f t="shared" si="0"/>
        <v>0</v>
      </c>
      <c r="E24" s="78">
        <f t="shared" si="1"/>
        <v>0</v>
      </c>
      <c r="F24" s="231" t="str">
        <f t="shared" si="2"/>
        <v>***</v>
      </c>
      <c r="G24" s="78"/>
      <c r="H24" s="78">
        <f>+IFERROR(VLOOKUP($A24,'Goals &amp; Budget 2026'!$A$2:$EJ$49,47,FALSE),0)</f>
        <v>0</v>
      </c>
      <c r="I24" s="84" t="str">
        <f t="shared" si="3"/>
        <v>***</v>
      </c>
      <c r="J24" s="78"/>
      <c r="K24" s="78">
        <f>+IFERROR(VLOOKUP($A24,'Goals &amp; Budget 2026'!$A$2:$EJ$49,48,FALSE),0)</f>
        <v>0</v>
      </c>
      <c r="L24" s="84" t="str">
        <f t="shared" si="4"/>
        <v>***</v>
      </c>
      <c r="M24" s="78"/>
      <c r="N24" s="78">
        <f>+IFERROR(VLOOKUP($A24,'Goals &amp; Budget 2026'!$A$2:$EJ$49,49,FALSE),0)</f>
        <v>0</v>
      </c>
      <c r="O24" s="231" t="str">
        <f t="shared" si="5"/>
        <v>***</v>
      </c>
      <c r="P24" s="78"/>
      <c r="Q24" s="78">
        <f>+IFERROR(VLOOKUP($A24,'Goals &amp; Budget 2026'!$A$2:$EJ$49,50,FALSE),0)</f>
        <v>0</v>
      </c>
      <c r="R24" s="84" t="str">
        <f t="shared" si="6"/>
        <v>***</v>
      </c>
      <c r="S24" s="78"/>
      <c r="T24" s="78">
        <f>+IFERROR(VLOOKUP($A24,'Goals &amp; Budget 2026'!$A$2:$EJ$49,51,FALSE),0)</f>
        <v>0</v>
      </c>
      <c r="U24" s="84" t="str">
        <f t="shared" si="7"/>
        <v>***</v>
      </c>
      <c r="V24" s="78"/>
      <c r="W24" s="78">
        <f>+IFERROR(VLOOKUP($A24,'Goals &amp; Budget 2026'!$A$2:$EJ$49,52,FALSE),0)</f>
        <v>0</v>
      </c>
      <c r="X24" s="231" t="str">
        <f t="shared" si="8"/>
        <v>***</v>
      </c>
      <c r="Y24" s="78"/>
      <c r="Z24" s="78">
        <f>+IFERROR(VLOOKUP($A24,'Goals &amp; Budget 2026'!$A$2:$EJ$49,53,FALSE),0)</f>
        <v>0</v>
      </c>
      <c r="AA24" s="84" t="str">
        <f t="shared" si="9"/>
        <v>***</v>
      </c>
      <c r="AB24" s="78"/>
      <c r="AC24" s="78">
        <f>+IFERROR(VLOOKUP($A24,'Goals &amp; Budget 2026'!$A$2:$EJ$49,54,FALSE),0)</f>
        <v>0</v>
      </c>
      <c r="AD24" s="84" t="str">
        <f t="shared" si="10"/>
        <v>***</v>
      </c>
      <c r="AE24" s="78"/>
      <c r="AF24" s="78">
        <f>+IFERROR(VLOOKUP($A24,'Goals &amp; Budget 2026'!$A$2:$EJ$49,55,FALSE),0)</f>
        <v>0</v>
      </c>
      <c r="AG24" s="231" t="str">
        <f t="shared" si="11"/>
        <v>***</v>
      </c>
      <c r="AH24" s="78"/>
      <c r="AI24" s="78">
        <f>+IFERROR(VLOOKUP($A24,'Goals &amp; Budget 2026'!$A$2:$EJ$49,56,FALSE),0)</f>
        <v>0</v>
      </c>
      <c r="AJ24" s="84" t="str">
        <f t="shared" si="12"/>
        <v>***</v>
      </c>
      <c r="AK24" s="78"/>
      <c r="AL24" s="78">
        <f>+IFERROR(VLOOKUP($A24,'Goals &amp; Budget 2026'!$A$2:$EJ$49,57,FALSE),0)</f>
        <v>0</v>
      </c>
      <c r="AM24" s="84" t="str">
        <f t="shared" si="13"/>
        <v>***</v>
      </c>
      <c r="AN24" s="78"/>
      <c r="AO24" s="78">
        <f>+IFERROR(VLOOKUP($A24,'Goals &amp; Budget 2026'!$A$2:$EJ$49,58,FALSE),0)</f>
        <v>0</v>
      </c>
      <c r="AP24" s="85" t="str">
        <f t="shared" si="14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7">
        <f t="shared" ref="D25:D47" si="15">+G25</f>
        <v>0</v>
      </c>
      <c r="E25" s="78">
        <f t="shared" ref="E25:E47" si="16">+H25</f>
        <v>0</v>
      </c>
      <c r="F25" s="231" t="str">
        <f t="shared" ref="F25:F47" si="17">IF(AND(D25&gt;0,E25&gt;0),D25/E25,IF(AND(D25&gt;0,E25=0),100%,IF(AND(D25=0,E25&gt;0),0,IF(AND(D25=0,E25=0),"***",0))))</f>
        <v>***</v>
      </c>
      <c r="G25" s="78"/>
      <c r="H25" s="78">
        <f>+IFERROR(VLOOKUP($A25,'Goals &amp; Budget 2026'!$A$2:$EJ$49,47,FALSE),0)</f>
        <v>0</v>
      </c>
      <c r="I25" s="84" t="str">
        <f t="shared" ref="I25:I47" si="18">IF(AND(G25&gt;0,H25&gt;0),G25/H25,IF(AND(G25&gt;0,H25=0),100%,IF(AND(G25=0,H25&gt;0),0,IF(AND(G25=0,H25=0),"***",0))))</f>
        <v>***</v>
      </c>
      <c r="J25" s="78"/>
      <c r="K25" s="78">
        <f>+IFERROR(VLOOKUP($A25,'Goals &amp; Budget 2026'!$A$2:$EJ$49,48,FALSE),0)</f>
        <v>0</v>
      </c>
      <c r="L25" s="84" t="str">
        <f t="shared" ref="L25:L47" si="19">IF(AND(J25&gt;0,K25&gt;0),J25/K25,IF(AND(J25&gt;0,K25=0),100%,IF(AND(J25=0,K25&gt;0),0,IF(AND(J25=0,K25=0),"***",0))))</f>
        <v>***</v>
      </c>
      <c r="M25" s="78"/>
      <c r="N25" s="78">
        <f>+IFERROR(VLOOKUP($A25,'Goals &amp; Budget 2026'!$A$2:$EJ$49,49,FALSE),0)</f>
        <v>0</v>
      </c>
      <c r="O25" s="231" t="str">
        <f t="shared" ref="O25:O47" si="20">IF(AND(M25&gt;0,N25&gt;0),M25/N25,IF(AND(M25&gt;0,N25=0),100%,IF(AND(M25=0,N25&gt;0),0,IF(AND(M25=0,N25=0),"***",0))))</f>
        <v>***</v>
      </c>
      <c r="P25" s="78"/>
      <c r="Q25" s="78">
        <f>+IFERROR(VLOOKUP($A25,'Goals &amp; Budget 2026'!$A$2:$EJ$49,50,FALSE),0)</f>
        <v>0</v>
      </c>
      <c r="R25" s="84" t="str">
        <f t="shared" ref="R25:R47" si="21">IF(AND(P25&gt;0,Q25&gt;0),P25/Q25,IF(AND(P25&gt;0,Q25=0),100%,IF(AND(P25=0,Q25&gt;0),0,IF(AND(P25=0,Q25=0),"***",0))))</f>
        <v>***</v>
      </c>
      <c r="S25" s="78"/>
      <c r="T25" s="78">
        <f>+IFERROR(VLOOKUP($A25,'Goals &amp; Budget 2026'!$A$2:$EJ$49,51,FALSE),0)</f>
        <v>0</v>
      </c>
      <c r="U25" s="84" t="str">
        <f t="shared" ref="U25:U47" si="22">IF(AND(S25&gt;0,T25&gt;0),S25/T25,IF(AND(S25&gt;0,T25=0),100%,IF(AND(S25=0,T25&gt;0),0,IF(AND(S25=0,T25=0),"***",0))))</f>
        <v>***</v>
      </c>
      <c r="V25" s="78"/>
      <c r="W25" s="78">
        <f>+IFERROR(VLOOKUP($A25,'Goals &amp; Budget 2026'!$A$2:$EJ$49,52,FALSE),0)</f>
        <v>0</v>
      </c>
      <c r="X25" s="231" t="str">
        <f t="shared" ref="X25:X47" si="23">IF(AND(V25&gt;0,W25&gt;0),V25/W25,IF(AND(V25&gt;0,W25=0),100%,IF(AND(V25=0,W25&gt;0),0,IF(AND(V25=0,W25=0),"***",0))))</f>
        <v>***</v>
      </c>
      <c r="Y25" s="78"/>
      <c r="Z25" s="78">
        <f>+IFERROR(VLOOKUP($A25,'Goals &amp; Budget 2026'!$A$2:$EJ$49,53,FALSE),0)</f>
        <v>0</v>
      </c>
      <c r="AA25" s="84" t="str">
        <f t="shared" ref="AA25:AA47" si="24">IF(AND(Y25&gt;0,Z25&gt;0),Y25/Z25,IF(AND(Y25&gt;0,Z25=0),100%,IF(AND(Y25=0,Z25&gt;0),0,IF(AND(Y25=0,Z25=0),"***",0))))</f>
        <v>***</v>
      </c>
      <c r="AB25" s="78"/>
      <c r="AC25" s="78">
        <f>+IFERROR(VLOOKUP($A25,'Goals &amp; Budget 2026'!$A$2:$EJ$49,54,FALSE),0)</f>
        <v>0</v>
      </c>
      <c r="AD25" s="84" t="str">
        <f t="shared" ref="AD25:AD47" si="25">IF(AND(AB25&gt;0,AC25&gt;0),AB25/AC25,IF(AND(AB25&gt;0,AC25=0),100%,IF(AND(AB25=0,AC25&gt;0),0,IF(AND(AB25=0,AC25=0),"***",0))))</f>
        <v>***</v>
      </c>
      <c r="AE25" s="78"/>
      <c r="AF25" s="78">
        <f>+IFERROR(VLOOKUP($A25,'Goals &amp; Budget 2026'!$A$2:$EJ$49,55,FALSE),0)</f>
        <v>0</v>
      </c>
      <c r="AG25" s="231" t="str">
        <f t="shared" ref="AG25:AG47" si="26">IF(AND(AE25&gt;0,AF25&gt;0),AE25/AF25,IF(AND(AE25&gt;0,AF25=0),100%,IF(AND(AE25=0,AF25&gt;0),0,IF(AND(AE25=0,AF25=0),"***",0))))</f>
        <v>***</v>
      </c>
      <c r="AH25" s="78"/>
      <c r="AI25" s="78">
        <f>+IFERROR(VLOOKUP($A25,'Goals &amp; Budget 2026'!$A$2:$EJ$49,56,FALSE),0)</f>
        <v>0</v>
      </c>
      <c r="AJ25" s="84" t="str">
        <f t="shared" ref="AJ25:AJ47" si="27">IF(AND(AH25&gt;0,AI25&gt;0),AH25/AI25,IF(AND(AH25&gt;0,AI25=0),100%,IF(AND(AH25=0,AI25&gt;0),0,IF(AND(AH25=0,AI25=0),"***",0))))</f>
        <v>***</v>
      </c>
      <c r="AK25" s="78"/>
      <c r="AL25" s="78">
        <f>+IFERROR(VLOOKUP($A25,'Goals &amp; Budget 2026'!$A$2:$EJ$49,57,FALSE),0)</f>
        <v>0</v>
      </c>
      <c r="AM25" s="84" t="str">
        <f t="shared" ref="AM25:AM47" si="28">IF(AND(AK25&gt;0,AL25&gt;0),AK25/AL25,IF(AND(AK25&gt;0,AL25=0),100%,IF(AND(AK25=0,AL25&gt;0),0,IF(AND(AK25=0,AL25=0),"***",0))))</f>
        <v>***</v>
      </c>
      <c r="AN25" s="78"/>
      <c r="AO25" s="78">
        <f>+IFERROR(VLOOKUP($A25,'Goals &amp; Budget 2026'!$A$2:$EJ$49,58,FALSE),0)</f>
        <v>0</v>
      </c>
      <c r="AP25" s="85" t="str">
        <f t="shared" ref="AP25:AP47" si="29">IF(AND(AN25&gt;0,AO25&gt;0),AN25/AO25,IF(AND(AN25&gt;0,AO25=0),100%,IF(AND(AN25=0,AO25&gt;0),0,IF(AND(AN25=0,AO25=0),"***",0))))</f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77">
        <f t="shared" si="15"/>
        <v>0</v>
      </c>
      <c r="E26" s="78">
        <f t="shared" si="16"/>
        <v>0</v>
      </c>
      <c r="F26" s="231" t="str">
        <f t="shared" si="17"/>
        <v>***</v>
      </c>
      <c r="G26" s="78"/>
      <c r="H26" s="78">
        <f>+IFERROR(VLOOKUP($A26,'Goals &amp; Budget 2026'!$A$2:$EJ$49,47,FALSE),0)</f>
        <v>0</v>
      </c>
      <c r="I26" s="84" t="str">
        <f t="shared" si="18"/>
        <v>***</v>
      </c>
      <c r="J26" s="78"/>
      <c r="K26" s="78">
        <f>+IFERROR(VLOOKUP($A26,'Goals &amp; Budget 2026'!$A$2:$EJ$49,48,FALSE),0)</f>
        <v>0</v>
      </c>
      <c r="L26" s="84" t="str">
        <f t="shared" si="19"/>
        <v>***</v>
      </c>
      <c r="M26" s="78"/>
      <c r="N26" s="78">
        <f>+IFERROR(VLOOKUP($A26,'Goals &amp; Budget 2026'!$A$2:$EJ$49,49,FALSE),0)</f>
        <v>0</v>
      </c>
      <c r="O26" s="231" t="str">
        <f t="shared" si="20"/>
        <v>***</v>
      </c>
      <c r="P26" s="78"/>
      <c r="Q26" s="78">
        <f>+IFERROR(VLOOKUP($A26,'Goals &amp; Budget 2026'!$A$2:$EJ$49,50,FALSE),0)</f>
        <v>0</v>
      </c>
      <c r="R26" s="84" t="str">
        <f t="shared" si="21"/>
        <v>***</v>
      </c>
      <c r="S26" s="78"/>
      <c r="T26" s="78">
        <f>+IFERROR(VLOOKUP($A26,'Goals &amp; Budget 2026'!$A$2:$EJ$49,51,FALSE),0)</f>
        <v>0</v>
      </c>
      <c r="U26" s="84" t="str">
        <f t="shared" si="22"/>
        <v>***</v>
      </c>
      <c r="V26" s="78"/>
      <c r="W26" s="78">
        <f>+IFERROR(VLOOKUP($A26,'Goals &amp; Budget 2026'!$A$2:$EJ$49,52,FALSE),0)</f>
        <v>0</v>
      </c>
      <c r="X26" s="231" t="str">
        <f t="shared" si="23"/>
        <v>***</v>
      </c>
      <c r="Y26" s="78"/>
      <c r="Z26" s="78">
        <f>+IFERROR(VLOOKUP($A26,'Goals &amp; Budget 2026'!$A$2:$EJ$49,53,FALSE),0)</f>
        <v>0</v>
      </c>
      <c r="AA26" s="84" t="str">
        <f t="shared" si="24"/>
        <v>***</v>
      </c>
      <c r="AB26" s="78"/>
      <c r="AC26" s="78">
        <f>+IFERROR(VLOOKUP($A26,'Goals &amp; Budget 2026'!$A$2:$EJ$49,54,FALSE),0)</f>
        <v>0</v>
      </c>
      <c r="AD26" s="84" t="str">
        <f t="shared" si="25"/>
        <v>***</v>
      </c>
      <c r="AE26" s="78"/>
      <c r="AF26" s="78">
        <f>+IFERROR(VLOOKUP($A26,'Goals &amp; Budget 2026'!$A$2:$EJ$49,55,FALSE),0)</f>
        <v>0</v>
      </c>
      <c r="AG26" s="231" t="str">
        <f t="shared" si="26"/>
        <v>***</v>
      </c>
      <c r="AH26" s="78"/>
      <c r="AI26" s="78">
        <f>+IFERROR(VLOOKUP($A26,'Goals &amp; Budget 2026'!$A$2:$EJ$49,56,FALSE),0)</f>
        <v>0</v>
      </c>
      <c r="AJ26" s="84" t="str">
        <f t="shared" si="27"/>
        <v>***</v>
      </c>
      <c r="AK26" s="78"/>
      <c r="AL26" s="78">
        <f>+IFERROR(VLOOKUP($A26,'Goals &amp; Budget 2026'!$A$2:$EJ$49,57,FALSE),0)</f>
        <v>0</v>
      </c>
      <c r="AM26" s="84" t="str">
        <f t="shared" si="28"/>
        <v>***</v>
      </c>
      <c r="AN26" s="78"/>
      <c r="AO26" s="78">
        <f>+IFERROR(VLOOKUP($A26,'Goals &amp; Budget 2026'!$A$2:$EJ$49,58,FALSE),0)</f>
        <v>0</v>
      </c>
      <c r="AP26" s="85" t="str">
        <f t="shared" si="29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77">
        <f t="shared" si="15"/>
        <v>0</v>
      </c>
      <c r="E27" s="78">
        <f t="shared" si="16"/>
        <v>0</v>
      </c>
      <c r="F27" s="231" t="str">
        <f t="shared" si="17"/>
        <v>***</v>
      </c>
      <c r="G27" s="78"/>
      <c r="H27" s="78">
        <f>+IFERROR(VLOOKUP($A27,'Goals &amp; Budget 2026'!$A$2:$EJ$49,47,FALSE),0)</f>
        <v>0</v>
      </c>
      <c r="I27" s="84" t="str">
        <f t="shared" si="18"/>
        <v>***</v>
      </c>
      <c r="J27" s="78"/>
      <c r="K27" s="78">
        <f>+IFERROR(VLOOKUP($A27,'Goals &amp; Budget 2026'!$A$2:$EJ$49,48,FALSE),0)</f>
        <v>0</v>
      </c>
      <c r="L27" s="84" t="str">
        <f t="shared" si="19"/>
        <v>***</v>
      </c>
      <c r="M27" s="78"/>
      <c r="N27" s="78">
        <f>+IFERROR(VLOOKUP($A27,'Goals &amp; Budget 2026'!$A$2:$EJ$49,49,FALSE),0)</f>
        <v>0</v>
      </c>
      <c r="O27" s="231" t="str">
        <f t="shared" si="20"/>
        <v>***</v>
      </c>
      <c r="P27" s="78"/>
      <c r="Q27" s="78">
        <f>+IFERROR(VLOOKUP($A27,'Goals &amp; Budget 2026'!$A$2:$EJ$49,50,FALSE),0)</f>
        <v>0</v>
      </c>
      <c r="R27" s="84" t="str">
        <f t="shared" si="21"/>
        <v>***</v>
      </c>
      <c r="S27" s="78"/>
      <c r="T27" s="78">
        <f>+IFERROR(VLOOKUP($A27,'Goals &amp; Budget 2026'!$A$2:$EJ$49,51,FALSE),0)</f>
        <v>0</v>
      </c>
      <c r="U27" s="84" t="str">
        <f t="shared" si="22"/>
        <v>***</v>
      </c>
      <c r="V27" s="78"/>
      <c r="W27" s="78">
        <f>+IFERROR(VLOOKUP($A27,'Goals &amp; Budget 2026'!$A$2:$EJ$49,52,FALSE),0)</f>
        <v>0</v>
      </c>
      <c r="X27" s="231" t="str">
        <f t="shared" si="23"/>
        <v>***</v>
      </c>
      <c r="Y27" s="78"/>
      <c r="Z27" s="78">
        <f>+IFERROR(VLOOKUP($A27,'Goals &amp; Budget 2026'!$A$2:$EJ$49,53,FALSE),0)</f>
        <v>0</v>
      </c>
      <c r="AA27" s="84" t="str">
        <f t="shared" si="24"/>
        <v>***</v>
      </c>
      <c r="AB27" s="78"/>
      <c r="AC27" s="78">
        <f>+IFERROR(VLOOKUP($A27,'Goals &amp; Budget 2026'!$A$2:$EJ$49,54,FALSE),0)</f>
        <v>0</v>
      </c>
      <c r="AD27" s="84" t="str">
        <f t="shared" si="25"/>
        <v>***</v>
      </c>
      <c r="AE27" s="78"/>
      <c r="AF27" s="78">
        <f>+IFERROR(VLOOKUP($A27,'Goals &amp; Budget 2026'!$A$2:$EJ$49,55,FALSE),0)</f>
        <v>0</v>
      </c>
      <c r="AG27" s="231" t="str">
        <f t="shared" si="26"/>
        <v>***</v>
      </c>
      <c r="AH27" s="78"/>
      <c r="AI27" s="78">
        <f>+IFERROR(VLOOKUP($A27,'Goals &amp; Budget 2026'!$A$2:$EJ$49,56,FALSE),0)</f>
        <v>0</v>
      </c>
      <c r="AJ27" s="84" t="str">
        <f t="shared" si="27"/>
        <v>***</v>
      </c>
      <c r="AK27" s="78"/>
      <c r="AL27" s="78">
        <f>+IFERROR(VLOOKUP($A27,'Goals &amp; Budget 2026'!$A$2:$EJ$49,57,FALSE),0)</f>
        <v>0</v>
      </c>
      <c r="AM27" s="84" t="str">
        <f t="shared" si="28"/>
        <v>***</v>
      </c>
      <c r="AN27" s="78"/>
      <c r="AO27" s="78">
        <f>+IFERROR(VLOOKUP($A27,'Goals &amp; Budget 2026'!$A$2:$EJ$49,58,FALSE),0)</f>
        <v>0</v>
      </c>
      <c r="AP27" s="85" t="str">
        <f t="shared" si="29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77">
        <f t="shared" si="15"/>
        <v>0</v>
      </c>
      <c r="E28" s="78">
        <f t="shared" si="16"/>
        <v>0</v>
      </c>
      <c r="F28" s="231" t="str">
        <f t="shared" si="17"/>
        <v>***</v>
      </c>
      <c r="G28" s="78"/>
      <c r="H28" s="78">
        <f>+IFERROR(VLOOKUP($A28,'Goals &amp; Budget 2026'!$A$2:$EJ$49,47,FALSE),0)</f>
        <v>0</v>
      </c>
      <c r="I28" s="84" t="str">
        <f t="shared" si="18"/>
        <v>***</v>
      </c>
      <c r="J28" s="78"/>
      <c r="K28" s="78">
        <f>+IFERROR(VLOOKUP($A28,'Goals &amp; Budget 2026'!$A$2:$EJ$49,48,FALSE),0)</f>
        <v>0</v>
      </c>
      <c r="L28" s="84" t="str">
        <f t="shared" si="19"/>
        <v>***</v>
      </c>
      <c r="M28" s="78"/>
      <c r="N28" s="78">
        <f>+IFERROR(VLOOKUP($A28,'Goals &amp; Budget 2026'!$A$2:$EJ$49,49,FALSE),0)</f>
        <v>0</v>
      </c>
      <c r="O28" s="231" t="str">
        <f t="shared" si="20"/>
        <v>***</v>
      </c>
      <c r="P28" s="78"/>
      <c r="Q28" s="78">
        <f>+IFERROR(VLOOKUP($A28,'Goals &amp; Budget 2026'!$A$2:$EJ$49,50,FALSE),0)</f>
        <v>0</v>
      </c>
      <c r="R28" s="84" t="str">
        <f t="shared" si="21"/>
        <v>***</v>
      </c>
      <c r="S28" s="78"/>
      <c r="T28" s="78">
        <f>+IFERROR(VLOOKUP($A28,'Goals &amp; Budget 2026'!$A$2:$EJ$49,51,FALSE),0)</f>
        <v>0</v>
      </c>
      <c r="U28" s="84" t="str">
        <f t="shared" si="22"/>
        <v>***</v>
      </c>
      <c r="V28" s="78"/>
      <c r="W28" s="78">
        <f>+IFERROR(VLOOKUP($A28,'Goals &amp; Budget 2026'!$A$2:$EJ$49,52,FALSE),0)</f>
        <v>0</v>
      </c>
      <c r="X28" s="231" t="str">
        <f t="shared" si="23"/>
        <v>***</v>
      </c>
      <c r="Y28" s="78"/>
      <c r="Z28" s="78">
        <f>+IFERROR(VLOOKUP($A28,'Goals &amp; Budget 2026'!$A$2:$EJ$49,53,FALSE),0)</f>
        <v>0</v>
      </c>
      <c r="AA28" s="84" t="str">
        <f t="shared" si="24"/>
        <v>***</v>
      </c>
      <c r="AB28" s="78"/>
      <c r="AC28" s="78">
        <f>+IFERROR(VLOOKUP($A28,'Goals &amp; Budget 2026'!$A$2:$EJ$49,54,FALSE),0)</f>
        <v>0</v>
      </c>
      <c r="AD28" s="84" t="str">
        <f t="shared" si="25"/>
        <v>***</v>
      </c>
      <c r="AE28" s="78"/>
      <c r="AF28" s="78">
        <f>+IFERROR(VLOOKUP($A28,'Goals &amp; Budget 2026'!$A$2:$EJ$49,55,FALSE),0)</f>
        <v>0</v>
      </c>
      <c r="AG28" s="231" t="str">
        <f t="shared" si="26"/>
        <v>***</v>
      </c>
      <c r="AH28" s="78"/>
      <c r="AI28" s="78">
        <f>+IFERROR(VLOOKUP($A28,'Goals &amp; Budget 2026'!$A$2:$EJ$49,56,FALSE),0)</f>
        <v>0</v>
      </c>
      <c r="AJ28" s="84" t="str">
        <f t="shared" si="27"/>
        <v>***</v>
      </c>
      <c r="AK28" s="78"/>
      <c r="AL28" s="78">
        <f>+IFERROR(VLOOKUP($A28,'Goals &amp; Budget 2026'!$A$2:$EJ$49,57,FALSE),0)</f>
        <v>0</v>
      </c>
      <c r="AM28" s="84" t="str">
        <f t="shared" si="28"/>
        <v>***</v>
      </c>
      <c r="AN28" s="78"/>
      <c r="AO28" s="78">
        <f>+IFERROR(VLOOKUP($A28,'Goals &amp; Budget 2026'!$A$2:$EJ$49,58,FALSE),0)</f>
        <v>0</v>
      </c>
      <c r="AP28" s="85" t="str">
        <f t="shared" si="29"/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77">
        <f t="shared" si="15"/>
        <v>0</v>
      </c>
      <c r="E29" s="78">
        <f t="shared" si="16"/>
        <v>0</v>
      </c>
      <c r="F29" s="231" t="str">
        <f t="shared" si="17"/>
        <v>***</v>
      </c>
      <c r="G29" s="78"/>
      <c r="H29" s="78">
        <f>+IFERROR(VLOOKUP($A29,'Goals &amp; Budget 2026'!$A$2:$EJ$49,47,FALSE),0)</f>
        <v>0</v>
      </c>
      <c r="I29" s="84" t="str">
        <f t="shared" si="18"/>
        <v>***</v>
      </c>
      <c r="J29" s="78"/>
      <c r="K29" s="78">
        <f>+IFERROR(VLOOKUP($A29,'Goals &amp; Budget 2026'!$A$2:$EJ$49,48,FALSE),0)</f>
        <v>0</v>
      </c>
      <c r="L29" s="84" t="str">
        <f t="shared" si="19"/>
        <v>***</v>
      </c>
      <c r="M29" s="78"/>
      <c r="N29" s="78">
        <f>+IFERROR(VLOOKUP($A29,'Goals &amp; Budget 2026'!$A$2:$EJ$49,49,FALSE),0)</f>
        <v>0</v>
      </c>
      <c r="O29" s="231" t="str">
        <f t="shared" si="20"/>
        <v>***</v>
      </c>
      <c r="P29" s="78"/>
      <c r="Q29" s="78">
        <f>+IFERROR(VLOOKUP($A29,'Goals &amp; Budget 2026'!$A$2:$EJ$49,50,FALSE),0)</f>
        <v>0</v>
      </c>
      <c r="R29" s="84" t="str">
        <f t="shared" si="21"/>
        <v>***</v>
      </c>
      <c r="S29" s="78"/>
      <c r="T29" s="78">
        <f>+IFERROR(VLOOKUP($A29,'Goals &amp; Budget 2026'!$A$2:$EJ$49,51,FALSE),0)</f>
        <v>0</v>
      </c>
      <c r="U29" s="84" t="str">
        <f t="shared" si="22"/>
        <v>***</v>
      </c>
      <c r="V29" s="78"/>
      <c r="W29" s="78">
        <f>+IFERROR(VLOOKUP($A29,'Goals &amp; Budget 2026'!$A$2:$EJ$49,52,FALSE),0)</f>
        <v>0</v>
      </c>
      <c r="X29" s="231" t="str">
        <f t="shared" si="23"/>
        <v>***</v>
      </c>
      <c r="Y29" s="78"/>
      <c r="Z29" s="78">
        <f>+IFERROR(VLOOKUP($A29,'Goals &amp; Budget 2026'!$A$2:$EJ$49,53,FALSE),0)</f>
        <v>0</v>
      </c>
      <c r="AA29" s="84" t="str">
        <f t="shared" si="24"/>
        <v>***</v>
      </c>
      <c r="AB29" s="78"/>
      <c r="AC29" s="78">
        <f>+IFERROR(VLOOKUP($A29,'Goals &amp; Budget 2026'!$A$2:$EJ$49,54,FALSE),0)</f>
        <v>0</v>
      </c>
      <c r="AD29" s="84" t="str">
        <f t="shared" si="25"/>
        <v>***</v>
      </c>
      <c r="AE29" s="78"/>
      <c r="AF29" s="78">
        <f>+IFERROR(VLOOKUP($A29,'Goals &amp; Budget 2026'!$A$2:$EJ$49,55,FALSE),0)</f>
        <v>0</v>
      </c>
      <c r="AG29" s="231" t="str">
        <f t="shared" si="26"/>
        <v>***</v>
      </c>
      <c r="AH29" s="78"/>
      <c r="AI29" s="78">
        <f>+IFERROR(VLOOKUP($A29,'Goals &amp; Budget 2026'!$A$2:$EJ$49,56,FALSE),0)</f>
        <v>0</v>
      </c>
      <c r="AJ29" s="84" t="str">
        <f t="shared" si="27"/>
        <v>***</v>
      </c>
      <c r="AK29" s="78"/>
      <c r="AL29" s="78">
        <f>+IFERROR(VLOOKUP($A29,'Goals &amp; Budget 2026'!$A$2:$EJ$49,57,FALSE),0)</f>
        <v>0</v>
      </c>
      <c r="AM29" s="84" t="str">
        <f t="shared" si="28"/>
        <v>***</v>
      </c>
      <c r="AN29" s="78"/>
      <c r="AO29" s="78">
        <f>+IFERROR(VLOOKUP($A29,'Goals &amp; Budget 2026'!$A$2:$EJ$49,58,FALSE),0)</f>
        <v>0</v>
      </c>
      <c r="AP29" s="85" t="str">
        <f t="shared" si="29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77">
        <f t="shared" ref="D30:D47" si="30">+G30</f>
        <v>0</v>
      </c>
      <c r="E30" s="78">
        <f t="shared" ref="E30:E47" si="31">+H30</f>
        <v>0</v>
      </c>
      <c r="F30" s="231" t="str">
        <f t="shared" ref="F30:F47" si="32">IF(AND(D30&gt;0,E30&gt;0),D30/E30,IF(AND(D30&gt;0,E30=0),100%,IF(AND(D30=0,E30&gt;0),0,IF(AND(D30=0,E30=0),"***",0))))</f>
        <v>***</v>
      </c>
      <c r="G30" s="78"/>
      <c r="H30" s="78">
        <f>+IFERROR(VLOOKUP($A30,'Goals &amp; Budget 2026'!$A$2:$EJ$49,47,FALSE),0)</f>
        <v>0</v>
      </c>
      <c r="I30" s="84" t="str">
        <f t="shared" ref="I30:I47" si="33">IF(AND(G30&gt;0,H30&gt;0),G30/H30,IF(AND(G30&gt;0,H30=0),100%,IF(AND(G30=0,H30&gt;0),0,IF(AND(G30=0,H30=0),"***",0))))</f>
        <v>***</v>
      </c>
      <c r="J30" s="78"/>
      <c r="K30" s="78">
        <f>+IFERROR(VLOOKUP($A30,'Goals &amp; Budget 2026'!$A$2:$EJ$49,48,FALSE),0)</f>
        <v>0</v>
      </c>
      <c r="L30" s="84" t="str">
        <f t="shared" ref="L30:L47" si="34">IF(AND(J30&gt;0,K30&gt;0),J30/K30,IF(AND(J30&gt;0,K30=0),100%,IF(AND(J30=0,K30&gt;0),0,IF(AND(J30=0,K30=0),"***",0))))</f>
        <v>***</v>
      </c>
      <c r="M30" s="78"/>
      <c r="N30" s="78">
        <f>+IFERROR(VLOOKUP($A30,'Goals &amp; Budget 2026'!$A$2:$EJ$49,49,FALSE),0)</f>
        <v>0</v>
      </c>
      <c r="O30" s="231" t="str">
        <f t="shared" ref="O30:O47" si="35">IF(AND(M30&gt;0,N30&gt;0),M30/N30,IF(AND(M30&gt;0,N30=0),100%,IF(AND(M30=0,N30&gt;0),0,IF(AND(M30=0,N30=0),"***",0))))</f>
        <v>***</v>
      </c>
      <c r="P30" s="78"/>
      <c r="Q30" s="78">
        <f>+IFERROR(VLOOKUP($A30,'Goals &amp; Budget 2026'!$A$2:$EJ$49,50,FALSE),0)</f>
        <v>0</v>
      </c>
      <c r="R30" s="84" t="str">
        <f t="shared" ref="R30:R47" si="36">IF(AND(P30&gt;0,Q30&gt;0),P30/Q30,IF(AND(P30&gt;0,Q30=0),100%,IF(AND(P30=0,Q30&gt;0),0,IF(AND(P30=0,Q30=0),"***",0))))</f>
        <v>***</v>
      </c>
      <c r="S30" s="78"/>
      <c r="T30" s="78">
        <f>+IFERROR(VLOOKUP($A30,'Goals &amp; Budget 2026'!$A$2:$EJ$49,51,FALSE),0)</f>
        <v>0</v>
      </c>
      <c r="U30" s="84" t="str">
        <f t="shared" ref="U30:U47" si="37">IF(AND(S30&gt;0,T30&gt;0),S30/T30,IF(AND(S30&gt;0,T30=0),100%,IF(AND(S30=0,T30&gt;0),0,IF(AND(S30=0,T30=0),"***",0))))</f>
        <v>***</v>
      </c>
      <c r="V30" s="78"/>
      <c r="W30" s="78">
        <f>+IFERROR(VLOOKUP($A30,'Goals &amp; Budget 2026'!$A$2:$EJ$49,52,FALSE),0)</f>
        <v>0</v>
      </c>
      <c r="X30" s="231" t="str">
        <f t="shared" ref="X30:X47" si="38">IF(AND(V30&gt;0,W30&gt;0),V30/W30,IF(AND(V30&gt;0,W30=0),100%,IF(AND(V30=0,W30&gt;0),0,IF(AND(V30=0,W30=0),"***",0))))</f>
        <v>***</v>
      </c>
      <c r="Y30" s="78"/>
      <c r="Z30" s="78">
        <f>+IFERROR(VLOOKUP($A30,'Goals &amp; Budget 2026'!$A$2:$EJ$49,53,FALSE),0)</f>
        <v>0</v>
      </c>
      <c r="AA30" s="84" t="str">
        <f t="shared" ref="AA30:AA47" si="39">IF(AND(Y30&gt;0,Z30&gt;0),Y30/Z30,IF(AND(Y30&gt;0,Z30=0),100%,IF(AND(Y30=0,Z30&gt;0),0,IF(AND(Y30=0,Z30=0),"***",0))))</f>
        <v>***</v>
      </c>
      <c r="AB30" s="78"/>
      <c r="AC30" s="78">
        <f>+IFERROR(VLOOKUP($A30,'Goals &amp; Budget 2026'!$A$2:$EJ$49,54,FALSE),0)</f>
        <v>0</v>
      </c>
      <c r="AD30" s="84" t="str">
        <f t="shared" ref="AD30:AD47" si="40">IF(AND(AB30&gt;0,AC30&gt;0),AB30/AC30,IF(AND(AB30&gt;0,AC30=0),100%,IF(AND(AB30=0,AC30&gt;0),0,IF(AND(AB30=0,AC30=0),"***",0))))</f>
        <v>***</v>
      </c>
      <c r="AE30" s="78"/>
      <c r="AF30" s="78">
        <f>+IFERROR(VLOOKUP($A30,'Goals &amp; Budget 2026'!$A$2:$EJ$49,55,FALSE),0)</f>
        <v>0</v>
      </c>
      <c r="AG30" s="231" t="str">
        <f t="shared" ref="AG30:AG47" si="41">IF(AND(AE30&gt;0,AF30&gt;0),AE30/AF30,IF(AND(AE30&gt;0,AF30=0),100%,IF(AND(AE30=0,AF30&gt;0),0,IF(AND(AE30=0,AF30=0),"***",0))))</f>
        <v>***</v>
      </c>
      <c r="AH30" s="78"/>
      <c r="AI30" s="78">
        <f>+IFERROR(VLOOKUP($A30,'Goals &amp; Budget 2026'!$A$2:$EJ$49,56,FALSE),0)</f>
        <v>0</v>
      </c>
      <c r="AJ30" s="84" t="str">
        <f t="shared" ref="AJ30:AJ47" si="42">IF(AND(AH30&gt;0,AI30&gt;0),AH30/AI30,IF(AND(AH30&gt;0,AI30=0),100%,IF(AND(AH30=0,AI30&gt;0),0,IF(AND(AH30=0,AI30=0),"***",0))))</f>
        <v>***</v>
      </c>
      <c r="AK30" s="78"/>
      <c r="AL30" s="78">
        <f>+IFERROR(VLOOKUP($A30,'Goals &amp; Budget 2026'!$A$2:$EJ$49,57,FALSE),0)</f>
        <v>0</v>
      </c>
      <c r="AM30" s="84" t="str">
        <f t="shared" ref="AM30:AM47" si="43">IF(AND(AK30&gt;0,AL30&gt;0),AK30/AL30,IF(AND(AK30&gt;0,AL30=0),100%,IF(AND(AK30=0,AL30&gt;0),0,IF(AND(AK30=0,AL30=0),"***",0))))</f>
        <v>***</v>
      </c>
      <c r="AN30" s="78"/>
      <c r="AO30" s="78">
        <f>+IFERROR(VLOOKUP($A30,'Goals &amp; Budget 2026'!$A$2:$EJ$49,58,FALSE),0)</f>
        <v>0</v>
      </c>
      <c r="AP30" s="85" t="str">
        <f t="shared" ref="AP30:AP47" si="44">IF(AND(AN30&gt;0,AO30&gt;0),AN30/AO30,IF(AND(AN30&gt;0,AO30=0),100%,IF(AND(AN30=0,AO30&gt;0),0,IF(AND(AN30=0,AO30=0),"***",0))))</f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77">
        <f t="shared" si="30"/>
        <v>0</v>
      </c>
      <c r="E31" s="78">
        <f t="shared" si="31"/>
        <v>0</v>
      </c>
      <c r="F31" s="231" t="str">
        <f t="shared" si="32"/>
        <v>***</v>
      </c>
      <c r="G31" s="78"/>
      <c r="H31" s="78">
        <f>+IFERROR(VLOOKUP($A31,'Goals &amp; Budget 2026'!$A$2:$EJ$49,47,FALSE),0)</f>
        <v>0</v>
      </c>
      <c r="I31" s="84" t="str">
        <f t="shared" si="33"/>
        <v>***</v>
      </c>
      <c r="J31" s="78"/>
      <c r="K31" s="78">
        <f>+IFERROR(VLOOKUP($A31,'Goals &amp; Budget 2026'!$A$2:$EJ$49,48,FALSE),0)</f>
        <v>0</v>
      </c>
      <c r="L31" s="84" t="str">
        <f t="shared" si="34"/>
        <v>***</v>
      </c>
      <c r="M31" s="78"/>
      <c r="N31" s="78">
        <f>+IFERROR(VLOOKUP($A31,'Goals &amp; Budget 2026'!$A$2:$EJ$49,49,FALSE),0)</f>
        <v>0</v>
      </c>
      <c r="O31" s="231" t="str">
        <f t="shared" si="35"/>
        <v>***</v>
      </c>
      <c r="P31" s="78"/>
      <c r="Q31" s="78">
        <f>+IFERROR(VLOOKUP($A31,'Goals &amp; Budget 2026'!$A$2:$EJ$49,50,FALSE),0)</f>
        <v>0</v>
      </c>
      <c r="R31" s="84" t="str">
        <f t="shared" si="36"/>
        <v>***</v>
      </c>
      <c r="S31" s="78"/>
      <c r="T31" s="78">
        <f>+IFERROR(VLOOKUP($A31,'Goals &amp; Budget 2026'!$A$2:$EJ$49,51,FALSE),0)</f>
        <v>0</v>
      </c>
      <c r="U31" s="84" t="str">
        <f t="shared" si="37"/>
        <v>***</v>
      </c>
      <c r="V31" s="78"/>
      <c r="W31" s="78">
        <f>+IFERROR(VLOOKUP($A31,'Goals &amp; Budget 2026'!$A$2:$EJ$49,52,FALSE),0)</f>
        <v>0</v>
      </c>
      <c r="X31" s="231" t="str">
        <f t="shared" si="38"/>
        <v>***</v>
      </c>
      <c r="Y31" s="78"/>
      <c r="Z31" s="78">
        <f>+IFERROR(VLOOKUP($A31,'Goals &amp; Budget 2026'!$A$2:$EJ$49,53,FALSE),0)</f>
        <v>0</v>
      </c>
      <c r="AA31" s="84" t="str">
        <f t="shared" si="39"/>
        <v>***</v>
      </c>
      <c r="AB31" s="78"/>
      <c r="AC31" s="78">
        <f>+IFERROR(VLOOKUP($A31,'Goals &amp; Budget 2026'!$A$2:$EJ$49,54,FALSE),0)</f>
        <v>0</v>
      </c>
      <c r="AD31" s="84" t="str">
        <f t="shared" si="40"/>
        <v>***</v>
      </c>
      <c r="AE31" s="78"/>
      <c r="AF31" s="78">
        <f>+IFERROR(VLOOKUP($A31,'Goals &amp; Budget 2026'!$A$2:$EJ$49,55,FALSE),0)</f>
        <v>0</v>
      </c>
      <c r="AG31" s="231" t="str">
        <f t="shared" si="41"/>
        <v>***</v>
      </c>
      <c r="AH31" s="78"/>
      <c r="AI31" s="78">
        <f>+IFERROR(VLOOKUP($A31,'Goals &amp; Budget 2026'!$A$2:$EJ$49,56,FALSE),0)</f>
        <v>0</v>
      </c>
      <c r="AJ31" s="84" t="str">
        <f t="shared" si="42"/>
        <v>***</v>
      </c>
      <c r="AK31" s="78"/>
      <c r="AL31" s="78">
        <f>+IFERROR(VLOOKUP($A31,'Goals &amp; Budget 2026'!$A$2:$EJ$49,57,FALSE),0)</f>
        <v>0</v>
      </c>
      <c r="AM31" s="84" t="str">
        <f t="shared" si="43"/>
        <v>***</v>
      </c>
      <c r="AN31" s="78"/>
      <c r="AO31" s="78">
        <f>+IFERROR(VLOOKUP($A31,'Goals &amp; Budget 2026'!$A$2:$EJ$49,58,FALSE),0)</f>
        <v>0</v>
      </c>
      <c r="AP31" s="85" t="str">
        <f t="shared" si="44"/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77">
        <f t="shared" si="30"/>
        <v>0</v>
      </c>
      <c r="E32" s="78">
        <f t="shared" si="31"/>
        <v>0</v>
      </c>
      <c r="F32" s="231" t="str">
        <f t="shared" si="32"/>
        <v>***</v>
      </c>
      <c r="G32" s="78"/>
      <c r="H32" s="78">
        <f>+IFERROR(VLOOKUP($A32,'Goals &amp; Budget 2026'!$A$2:$EJ$49,47,FALSE),0)</f>
        <v>0</v>
      </c>
      <c r="I32" s="84" t="str">
        <f t="shared" si="33"/>
        <v>***</v>
      </c>
      <c r="J32" s="78"/>
      <c r="K32" s="78">
        <f>+IFERROR(VLOOKUP($A32,'Goals &amp; Budget 2026'!$A$2:$EJ$49,48,FALSE),0)</f>
        <v>0</v>
      </c>
      <c r="L32" s="84" t="str">
        <f t="shared" si="34"/>
        <v>***</v>
      </c>
      <c r="M32" s="78"/>
      <c r="N32" s="78">
        <f>+IFERROR(VLOOKUP($A32,'Goals &amp; Budget 2026'!$A$2:$EJ$49,49,FALSE),0)</f>
        <v>0</v>
      </c>
      <c r="O32" s="231" t="str">
        <f t="shared" si="35"/>
        <v>***</v>
      </c>
      <c r="P32" s="78"/>
      <c r="Q32" s="78">
        <f>+IFERROR(VLOOKUP($A32,'Goals &amp; Budget 2026'!$A$2:$EJ$49,50,FALSE),0)</f>
        <v>0</v>
      </c>
      <c r="R32" s="84" t="str">
        <f t="shared" si="36"/>
        <v>***</v>
      </c>
      <c r="S32" s="78"/>
      <c r="T32" s="78">
        <f>+IFERROR(VLOOKUP($A32,'Goals &amp; Budget 2026'!$A$2:$EJ$49,51,FALSE),0)</f>
        <v>0</v>
      </c>
      <c r="U32" s="84" t="str">
        <f t="shared" si="37"/>
        <v>***</v>
      </c>
      <c r="V32" s="78"/>
      <c r="W32" s="78">
        <f>+IFERROR(VLOOKUP($A32,'Goals &amp; Budget 2026'!$A$2:$EJ$49,52,FALSE),0)</f>
        <v>0</v>
      </c>
      <c r="X32" s="231" t="str">
        <f t="shared" si="38"/>
        <v>***</v>
      </c>
      <c r="Y32" s="78"/>
      <c r="Z32" s="78">
        <f>+IFERROR(VLOOKUP($A32,'Goals &amp; Budget 2026'!$A$2:$EJ$49,53,FALSE),0)</f>
        <v>0</v>
      </c>
      <c r="AA32" s="84" t="str">
        <f t="shared" si="39"/>
        <v>***</v>
      </c>
      <c r="AB32" s="78"/>
      <c r="AC32" s="78">
        <f>+IFERROR(VLOOKUP($A32,'Goals &amp; Budget 2026'!$A$2:$EJ$49,54,FALSE),0)</f>
        <v>0</v>
      </c>
      <c r="AD32" s="84" t="str">
        <f t="shared" si="40"/>
        <v>***</v>
      </c>
      <c r="AE32" s="78"/>
      <c r="AF32" s="78">
        <f>+IFERROR(VLOOKUP($A32,'Goals &amp; Budget 2026'!$A$2:$EJ$49,55,FALSE),0)</f>
        <v>0</v>
      </c>
      <c r="AG32" s="231" t="str">
        <f t="shared" si="41"/>
        <v>***</v>
      </c>
      <c r="AH32" s="78"/>
      <c r="AI32" s="78">
        <f>+IFERROR(VLOOKUP($A32,'Goals &amp; Budget 2026'!$A$2:$EJ$49,56,FALSE),0)</f>
        <v>0</v>
      </c>
      <c r="AJ32" s="84" t="str">
        <f t="shared" si="42"/>
        <v>***</v>
      </c>
      <c r="AK32" s="78"/>
      <c r="AL32" s="78">
        <f>+IFERROR(VLOOKUP($A32,'Goals &amp; Budget 2026'!$A$2:$EJ$49,57,FALSE),0)</f>
        <v>0</v>
      </c>
      <c r="AM32" s="84" t="str">
        <f t="shared" si="43"/>
        <v>***</v>
      </c>
      <c r="AN32" s="78"/>
      <c r="AO32" s="78">
        <f>+IFERROR(VLOOKUP($A32,'Goals &amp; Budget 2026'!$A$2:$EJ$49,58,FALSE),0)</f>
        <v>0</v>
      </c>
      <c r="AP32" s="85" t="str">
        <f t="shared" si="44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77">
        <f t="shared" si="30"/>
        <v>0</v>
      </c>
      <c r="E33" s="78">
        <f t="shared" si="31"/>
        <v>0</v>
      </c>
      <c r="F33" s="231" t="str">
        <f t="shared" si="32"/>
        <v>***</v>
      </c>
      <c r="G33" s="78"/>
      <c r="H33" s="78">
        <f>+IFERROR(VLOOKUP($A33,'Goals &amp; Budget 2026'!$A$2:$EJ$49,47,FALSE),0)</f>
        <v>0</v>
      </c>
      <c r="I33" s="84" t="str">
        <f t="shared" si="33"/>
        <v>***</v>
      </c>
      <c r="J33" s="78"/>
      <c r="K33" s="78">
        <f>+IFERROR(VLOOKUP($A33,'Goals &amp; Budget 2026'!$A$2:$EJ$49,48,FALSE),0)</f>
        <v>0</v>
      </c>
      <c r="L33" s="84" t="str">
        <f t="shared" si="34"/>
        <v>***</v>
      </c>
      <c r="M33" s="78"/>
      <c r="N33" s="78">
        <f>+IFERROR(VLOOKUP($A33,'Goals &amp; Budget 2026'!$A$2:$EJ$49,49,FALSE),0)</f>
        <v>0</v>
      </c>
      <c r="O33" s="231" t="str">
        <f t="shared" si="35"/>
        <v>***</v>
      </c>
      <c r="P33" s="78"/>
      <c r="Q33" s="78">
        <f>+IFERROR(VLOOKUP($A33,'Goals &amp; Budget 2026'!$A$2:$EJ$49,50,FALSE),0)</f>
        <v>0</v>
      </c>
      <c r="R33" s="84" t="str">
        <f t="shared" si="36"/>
        <v>***</v>
      </c>
      <c r="S33" s="78"/>
      <c r="T33" s="78">
        <f>+IFERROR(VLOOKUP($A33,'Goals &amp; Budget 2026'!$A$2:$EJ$49,51,FALSE),0)</f>
        <v>0</v>
      </c>
      <c r="U33" s="84" t="str">
        <f t="shared" si="37"/>
        <v>***</v>
      </c>
      <c r="V33" s="78"/>
      <c r="W33" s="78">
        <f>+IFERROR(VLOOKUP($A33,'Goals &amp; Budget 2026'!$A$2:$EJ$49,52,FALSE),0)</f>
        <v>0</v>
      </c>
      <c r="X33" s="231" t="str">
        <f t="shared" si="38"/>
        <v>***</v>
      </c>
      <c r="Y33" s="78"/>
      <c r="Z33" s="78">
        <f>+IFERROR(VLOOKUP($A33,'Goals &amp; Budget 2026'!$A$2:$EJ$49,53,FALSE),0)</f>
        <v>0</v>
      </c>
      <c r="AA33" s="84" t="str">
        <f t="shared" si="39"/>
        <v>***</v>
      </c>
      <c r="AB33" s="78"/>
      <c r="AC33" s="78">
        <f>+IFERROR(VLOOKUP($A33,'Goals &amp; Budget 2026'!$A$2:$EJ$49,54,FALSE),0)</f>
        <v>0</v>
      </c>
      <c r="AD33" s="84" t="str">
        <f t="shared" si="40"/>
        <v>***</v>
      </c>
      <c r="AE33" s="78"/>
      <c r="AF33" s="78">
        <f>+IFERROR(VLOOKUP($A33,'Goals &amp; Budget 2026'!$A$2:$EJ$49,55,FALSE),0)</f>
        <v>0</v>
      </c>
      <c r="AG33" s="231" t="str">
        <f t="shared" si="41"/>
        <v>***</v>
      </c>
      <c r="AH33" s="78"/>
      <c r="AI33" s="78">
        <f>+IFERROR(VLOOKUP($A33,'Goals &amp; Budget 2026'!$A$2:$EJ$49,56,FALSE),0)</f>
        <v>0</v>
      </c>
      <c r="AJ33" s="84" t="str">
        <f t="shared" si="42"/>
        <v>***</v>
      </c>
      <c r="AK33" s="78"/>
      <c r="AL33" s="78">
        <f>+IFERROR(VLOOKUP($A33,'Goals &amp; Budget 2026'!$A$2:$EJ$49,57,FALSE),0)</f>
        <v>0</v>
      </c>
      <c r="AM33" s="84" t="str">
        <f t="shared" si="43"/>
        <v>***</v>
      </c>
      <c r="AN33" s="78"/>
      <c r="AO33" s="78">
        <f>+IFERROR(VLOOKUP($A33,'Goals &amp; Budget 2026'!$A$2:$EJ$49,58,FALSE),0)</f>
        <v>0</v>
      </c>
      <c r="AP33" s="85" t="str">
        <f t="shared" si="44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77">
        <f t="shared" si="30"/>
        <v>0</v>
      </c>
      <c r="E34" s="78">
        <f t="shared" si="31"/>
        <v>0</v>
      </c>
      <c r="F34" s="231" t="str">
        <f t="shared" si="32"/>
        <v>***</v>
      </c>
      <c r="G34" s="78"/>
      <c r="H34" s="78">
        <f>+IFERROR(VLOOKUP($A34,'Goals &amp; Budget 2026'!$A$2:$EJ$49,47,FALSE),0)</f>
        <v>0</v>
      </c>
      <c r="I34" s="84" t="str">
        <f t="shared" si="33"/>
        <v>***</v>
      </c>
      <c r="J34" s="78"/>
      <c r="K34" s="78">
        <f>+IFERROR(VLOOKUP($A34,'Goals &amp; Budget 2026'!$A$2:$EJ$49,48,FALSE),0)</f>
        <v>0</v>
      </c>
      <c r="L34" s="84" t="str">
        <f t="shared" si="34"/>
        <v>***</v>
      </c>
      <c r="M34" s="78"/>
      <c r="N34" s="78">
        <f>+IFERROR(VLOOKUP($A34,'Goals &amp; Budget 2026'!$A$2:$EJ$49,49,FALSE),0)</f>
        <v>0</v>
      </c>
      <c r="O34" s="231" t="str">
        <f t="shared" si="35"/>
        <v>***</v>
      </c>
      <c r="P34" s="78"/>
      <c r="Q34" s="78">
        <f>+IFERROR(VLOOKUP($A34,'Goals &amp; Budget 2026'!$A$2:$EJ$49,50,FALSE),0)</f>
        <v>0</v>
      </c>
      <c r="R34" s="84" t="str">
        <f t="shared" si="36"/>
        <v>***</v>
      </c>
      <c r="S34" s="78"/>
      <c r="T34" s="78">
        <f>+IFERROR(VLOOKUP($A34,'Goals &amp; Budget 2026'!$A$2:$EJ$49,51,FALSE),0)</f>
        <v>0</v>
      </c>
      <c r="U34" s="84" t="str">
        <f t="shared" si="37"/>
        <v>***</v>
      </c>
      <c r="V34" s="78"/>
      <c r="W34" s="78">
        <f>+IFERROR(VLOOKUP($A34,'Goals &amp; Budget 2026'!$A$2:$EJ$49,52,FALSE),0)</f>
        <v>0</v>
      </c>
      <c r="X34" s="231" t="str">
        <f t="shared" si="38"/>
        <v>***</v>
      </c>
      <c r="Y34" s="78"/>
      <c r="Z34" s="78">
        <f>+IFERROR(VLOOKUP($A34,'Goals &amp; Budget 2026'!$A$2:$EJ$49,53,FALSE),0)</f>
        <v>0</v>
      </c>
      <c r="AA34" s="84" t="str">
        <f t="shared" si="39"/>
        <v>***</v>
      </c>
      <c r="AB34" s="78"/>
      <c r="AC34" s="78">
        <f>+IFERROR(VLOOKUP($A34,'Goals &amp; Budget 2026'!$A$2:$EJ$49,54,FALSE),0)</f>
        <v>0</v>
      </c>
      <c r="AD34" s="84" t="str">
        <f t="shared" si="40"/>
        <v>***</v>
      </c>
      <c r="AE34" s="78"/>
      <c r="AF34" s="78">
        <f>+IFERROR(VLOOKUP($A34,'Goals &amp; Budget 2026'!$A$2:$EJ$49,55,FALSE),0)</f>
        <v>0</v>
      </c>
      <c r="AG34" s="231" t="str">
        <f t="shared" si="41"/>
        <v>***</v>
      </c>
      <c r="AH34" s="78"/>
      <c r="AI34" s="78">
        <f>+IFERROR(VLOOKUP($A34,'Goals &amp; Budget 2026'!$A$2:$EJ$49,56,FALSE),0)</f>
        <v>0</v>
      </c>
      <c r="AJ34" s="84" t="str">
        <f t="shared" si="42"/>
        <v>***</v>
      </c>
      <c r="AK34" s="78"/>
      <c r="AL34" s="78">
        <f>+IFERROR(VLOOKUP($A34,'Goals &amp; Budget 2026'!$A$2:$EJ$49,57,FALSE),0)</f>
        <v>0</v>
      </c>
      <c r="AM34" s="84" t="str">
        <f t="shared" si="43"/>
        <v>***</v>
      </c>
      <c r="AN34" s="78"/>
      <c r="AO34" s="78">
        <f>+IFERROR(VLOOKUP($A34,'Goals &amp; Budget 2026'!$A$2:$EJ$49,58,FALSE),0)</f>
        <v>0</v>
      </c>
      <c r="AP34" s="85" t="str">
        <f t="shared" si="44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77">
        <f t="shared" si="30"/>
        <v>0</v>
      </c>
      <c r="E35" s="78">
        <f t="shared" si="31"/>
        <v>0</v>
      </c>
      <c r="F35" s="231" t="str">
        <f t="shared" si="32"/>
        <v>***</v>
      </c>
      <c r="G35" s="78"/>
      <c r="H35" s="78">
        <f>+IFERROR(VLOOKUP($A35,'Goals &amp; Budget 2026'!$A$2:$EJ$49,47,FALSE),0)</f>
        <v>0</v>
      </c>
      <c r="I35" s="84" t="str">
        <f t="shared" si="33"/>
        <v>***</v>
      </c>
      <c r="J35" s="78"/>
      <c r="K35" s="78">
        <f>+IFERROR(VLOOKUP($A35,'Goals &amp; Budget 2026'!$A$2:$EJ$49,48,FALSE),0)</f>
        <v>0</v>
      </c>
      <c r="L35" s="84" t="str">
        <f t="shared" si="34"/>
        <v>***</v>
      </c>
      <c r="M35" s="78"/>
      <c r="N35" s="78">
        <f>+IFERROR(VLOOKUP($A35,'Goals &amp; Budget 2026'!$A$2:$EJ$49,49,FALSE),0)</f>
        <v>0</v>
      </c>
      <c r="O35" s="231" t="str">
        <f t="shared" si="35"/>
        <v>***</v>
      </c>
      <c r="P35" s="78"/>
      <c r="Q35" s="78">
        <f>+IFERROR(VLOOKUP($A35,'Goals &amp; Budget 2026'!$A$2:$EJ$49,50,FALSE),0)</f>
        <v>0</v>
      </c>
      <c r="R35" s="84" t="str">
        <f t="shared" si="36"/>
        <v>***</v>
      </c>
      <c r="S35" s="78"/>
      <c r="T35" s="78">
        <f>+IFERROR(VLOOKUP($A35,'Goals &amp; Budget 2026'!$A$2:$EJ$49,51,FALSE),0)</f>
        <v>0</v>
      </c>
      <c r="U35" s="84" t="str">
        <f t="shared" si="37"/>
        <v>***</v>
      </c>
      <c r="V35" s="78"/>
      <c r="W35" s="78">
        <f>+IFERROR(VLOOKUP($A35,'Goals &amp; Budget 2026'!$A$2:$EJ$49,52,FALSE),0)</f>
        <v>0</v>
      </c>
      <c r="X35" s="231" t="str">
        <f t="shared" si="38"/>
        <v>***</v>
      </c>
      <c r="Y35" s="78"/>
      <c r="Z35" s="78">
        <f>+IFERROR(VLOOKUP($A35,'Goals &amp; Budget 2026'!$A$2:$EJ$49,53,FALSE),0)</f>
        <v>0</v>
      </c>
      <c r="AA35" s="84" t="str">
        <f t="shared" si="39"/>
        <v>***</v>
      </c>
      <c r="AB35" s="78"/>
      <c r="AC35" s="78">
        <f>+IFERROR(VLOOKUP($A35,'Goals &amp; Budget 2026'!$A$2:$EJ$49,54,FALSE),0)</f>
        <v>0</v>
      </c>
      <c r="AD35" s="84" t="str">
        <f t="shared" si="40"/>
        <v>***</v>
      </c>
      <c r="AE35" s="78"/>
      <c r="AF35" s="78">
        <f>+IFERROR(VLOOKUP($A35,'Goals &amp; Budget 2026'!$A$2:$EJ$49,55,FALSE),0)</f>
        <v>0</v>
      </c>
      <c r="AG35" s="231" t="str">
        <f t="shared" si="41"/>
        <v>***</v>
      </c>
      <c r="AH35" s="78"/>
      <c r="AI35" s="78">
        <f>+IFERROR(VLOOKUP($A35,'Goals &amp; Budget 2026'!$A$2:$EJ$49,56,FALSE),0)</f>
        <v>0</v>
      </c>
      <c r="AJ35" s="84" t="str">
        <f t="shared" si="42"/>
        <v>***</v>
      </c>
      <c r="AK35" s="78"/>
      <c r="AL35" s="78">
        <f>+IFERROR(VLOOKUP($A35,'Goals &amp; Budget 2026'!$A$2:$EJ$49,57,FALSE),0)</f>
        <v>0</v>
      </c>
      <c r="AM35" s="84" t="str">
        <f t="shared" si="43"/>
        <v>***</v>
      </c>
      <c r="AN35" s="78"/>
      <c r="AO35" s="78">
        <f>+IFERROR(VLOOKUP($A35,'Goals &amp; Budget 2026'!$A$2:$EJ$49,58,FALSE),0)</f>
        <v>0</v>
      </c>
      <c r="AP35" s="85" t="str">
        <f t="shared" si="44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77">
        <f t="shared" si="30"/>
        <v>0</v>
      </c>
      <c r="E36" s="78">
        <f t="shared" si="31"/>
        <v>0</v>
      </c>
      <c r="F36" s="231" t="str">
        <f t="shared" si="32"/>
        <v>***</v>
      </c>
      <c r="G36" s="78"/>
      <c r="H36" s="78">
        <f>+IFERROR(VLOOKUP($A36,'Goals &amp; Budget 2026'!$A$2:$EJ$49,47,FALSE),0)</f>
        <v>0</v>
      </c>
      <c r="I36" s="84" t="str">
        <f t="shared" si="33"/>
        <v>***</v>
      </c>
      <c r="J36" s="78"/>
      <c r="K36" s="78">
        <f>+IFERROR(VLOOKUP($A36,'Goals &amp; Budget 2026'!$A$2:$EJ$49,48,FALSE),0)</f>
        <v>0</v>
      </c>
      <c r="L36" s="84" t="str">
        <f t="shared" si="34"/>
        <v>***</v>
      </c>
      <c r="M36" s="78"/>
      <c r="N36" s="78">
        <f>+IFERROR(VLOOKUP($A36,'Goals &amp; Budget 2026'!$A$2:$EJ$49,49,FALSE),0)</f>
        <v>0</v>
      </c>
      <c r="O36" s="231" t="str">
        <f t="shared" si="35"/>
        <v>***</v>
      </c>
      <c r="P36" s="78"/>
      <c r="Q36" s="78">
        <f>+IFERROR(VLOOKUP($A36,'Goals &amp; Budget 2026'!$A$2:$EJ$49,50,FALSE),0)</f>
        <v>0</v>
      </c>
      <c r="R36" s="84" t="str">
        <f t="shared" si="36"/>
        <v>***</v>
      </c>
      <c r="S36" s="78"/>
      <c r="T36" s="78">
        <f>+IFERROR(VLOOKUP($A36,'Goals &amp; Budget 2026'!$A$2:$EJ$49,51,FALSE),0)</f>
        <v>0</v>
      </c>
      <c r="U36" s="84" t="str">
        <f t="shared" si="37"/>
        <v>***</v>
      </c>
      <c r="V36" s="78"/>
      <c r="W36" s="78">
        <f>+IFERROR(VLOOKUP($A36,'Goals &amp; Budget 2026'!$A$2:$EJ$49,52,FALSE),0)</f>
        <v>0</v>
      </c>
      <c r="X36" s="231" t="str">
        <f t="shared" si="38"/>
        <v>***</v>
      </c>
      <c r="Y36" s="78"/>
      <c r="Z36" s="78">
        <f>+IFERROR(VLOOKUP($A36,'Goals &amp; Budget 2026'!$A$2:$EJ$49,53,FALSE),0)</f>
        <v>0</v>
      </c>
      <c r="AA36" s="84" t="str">
        <f t="shared" si="39"/>
        <v>***</v>
      </c>
      <c r="AB36" s="78"/>
      <c r="AC36" s="78">
        <f>+IFERROR(VLOOKUP($A36,'Goals &amp; Budget 2026'!$A$2:$EJ$49,54,FALSE),0)</f>
        <v>0</v>
      </c>
      <c r="AD36" s="84" t="str">
        <f t="shared" si="40"/>
        <v>***</v>
      </c>
      <c r="AE36" s="78"/>
      <c r="AF36" s="78">
        <f>+IFERROR(VLOOKUP($A36,'Goals &amp; Budget 2026'!$A$2:$EJ$49,55,FALSE),0)</f>
        <v>0</v>
      </c>
      <c r="AG36" s="231" t="str">
        <f t="shared" si="41"/>
        <v>***</v>
      </c>
      <c r="AH36" s="78"/>
      <c r="AI36" s="78">
        <f>+IFERROR(VLOOKUP($A36,'Goals &amp; Budget 2026'!$A$2:$EJ$49,56,FALSE),0)</f>
        <v>0</v>
      </c>
      <c r="AJ36" s="84" t="str">
        <f t="shared" si="42"/>
        <v>***</v>
      </c>
      <c r="AK36" s="78"/>
      <c r="AL36" s="78">
        <f>+IFERROR(VLOOKUP($A36,'Goals &amp; Budget 2026'!$A$2:$EJ$49,57,FALSE),0)</f>
        <v>0</v>
      </c>
      <c r="AM36" s="84" t="str">
        <f t="shared" si="43"/>
        <v>***</v>
      </c>
      <c r="AN36" s="78"/>
      <c r="AO36" s="78">
        <f>+IFERROR(VLOOKUP($A36,'Goals &amp; Budget 2026'!$A$2:$EJ$49,58,FALSE),0)</f>
        <v>0</v>
      </c>
      <c r="AP36" s="85" t="str">
        <f t="shared" si="44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77">
        <f t="shared" si="30"/>
        <v>0</v>
      </c>
      <c r="E37" s="78">
        <f t="shared" si="31"/>
        <v>0</v>
      </c>
      <c r="F37" s="231" t="str">
        <f t="shared" si="32"/>
        <v>***</v>
      </c>
      <c r="G37" s="78"/>
      <c r="H37" s="78">
        <f>+IFERROR(VLOOKUP($A37,'Goals &amp; Budget 2026'!$A$2:$EJ$49,47,FALSE),0)</f>
        <v>0</v>
      </c>
      <c r="I37" s="84" t="str">
        <f t="shared" si="33"/>
        <v>***</v>
      </c>
      <c r="J37" s="78"/>
      <c r="K37" s="78">
        <f>+IFERROR(VLOOKUP($A37,'Goals &amp; Budget 2026'!$A$2:$EJ$49,48,FALSE),0)</f>
        <v>0</v>
      </c>
      <c r="L37" s="84" t="str">
        <f t="shared" si="34"/>
        <v>***</v>
      </c>
      <c r="M37" s="78"/>
      <c r="N37" s="78">
        <f>+IFERROR(VLOOKUP($A37,'Goals &amp; Budget 2026'!$A$2:$EJ$49,49,FALSE),0)</f>
        <v>0</v>
      </c>
      <c r="O37" s="231" t="str">
        <f t="shared" si="35"/>
        <v>***</v>
      </c>
      <c r="P37" s="78"/>
      <c r="Q37" s="78">
        <f>+IFERROR(VLOOKUP($A37,'Goals &amp; Budget 2026'!$A$2:$EJ$49,50,FALSE),0)</f>
        <v>0</v>
      </c>
      <c r="R37" s="84" t="str">
        <f t="shared" si="36"/>
        <v>***</v>
      </c>
      <c r="S37" s="78"/>
      <c r="T37" s="78">
        <f>+IFERROR(VLOOKUP($A37,'Goals &amp; Budget 2026'!$A$2:$EJ$49,51,FALSE),0)</f>
        <v>0</v>
      </c>
      <c r="U37" s="84" t="str">
        <f t="shared" si="37"/>
        <v>***</v>
      </c>
      <c r="V37" s="78"/>
      <c r="W37" s="78">
        <f>+IFERROR(VLOOKUP($A37,'Goals &amp; Budget 2026'!$A$2:$EJ$49,52,FALSE),0)</f>
        <v>0</v>
      </c>
      <c r="X37" s="231" t="str">
        <f t="shared" si="38"/>
        <v>***</v>
      </c>
      <c r="Y37" s="78"/>
      <c r="Z37" s="78">
        <f>+IFERROR(VLOOKUP($A37,'Goals &amp; Budget 2026'!$A$2:$EJ$49,53,FALSE),0)</f>
        <v>0</v>
      </c>
      <c r="AA37" s="84" t="str">
        <f t="shared" si="39"/>
        <v>***</v>
      </c>
      <c r="AB37" s="78"/>
      <c r="AC37" s="78">
        <f>+IFERROR(VLOOKUP($A37,'Goals &amp; Budget 2026'!$A$2:$EJ$49,54,FALSE),0)</f>
        <v>0</v>
      </c>
      <c r="AD37" s="84" t="str">
        <f t="shared" si="40"/>
        <v>***</v>
      </c>
      <c r="AE37" s="78"/>
      <c r="AF37" s="78">
        <f>+IFERROR(VLOOKUP($A37,'Goals &amp; Budget 2026'!$A$2:$EJ$49,55,FALSE),0)</f>
        <v>0</v>
      </c>
      <c r="AG37" s="231" t="str">
        <f t="shared" si="41"/>
        <v>***</v>
      </c>
      <c r="AH37" s="78"/>
      <c r="AI37" s="78">
        <f>+IFERROR(VLOOKUP($A37,'Goals &amp; Budget 2026'!$A$2:$EJ$49,56,FALSE),0)</f>
        <v>0</v>
      </c>
      <c r="AJ37" s="84" t="str">
        <f t="shared" si="42"/>
        <v>***</v>
      </c>
      <c r="AK37" s="78"/>
      <c r="AL37" s="78">
        <f>+IFERROR(VLOOKUP($A37,'Goals &amp; Budget 2026'!$A$2:$EJ$49,57,FALSE),0)</f>
        <v>0</v>
      </c>
      <c r="AM37" s="84" t="str">
        <f t="shared" si="43"/>
        <v>***</v>
      </c>
      <c r="AN37" s="78"/>
      <c r="AO37" s="78">
        <f>+IFERROR(VLOOKUP($A37,'Goals &amp; Budget 2026'!$A$2:$EJ$49,58,FALSE),0)</f>
        <v>0</v>
      </c>
      <c r="AP37" s="85" t="str">
        <f t="shared" si="44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77">
        <f t="shared" si="30"/>
        <v>0</v>
      </c>
      <c r="E38" s="78">
        <f t="shared" si="31"/>
        <v>0</v>
      </c>
      <c r="F38" s="231" t="str">
        <f t="shared" si="32"/>
        <v>***</v>
      </c>
      <c r="G38" s="78"/>
      <c r="H38" s="78">
        <f>+IFERROR(VLOOKUP($A38,'Goals &amp; Budget 2026'!$A$2:$EJ$49,47,FALSE),0)</f>
        <v>0</v>
      </c>
      <c r="I38" s="84" t="str">
        <f t="shared" si="33"/>
        <v>***</v>
      </c>
      <c r="J38" s="78"/>
      <c r="K38" s="78">
        <f>+IFERROR(VLOOKUP($A38,'Goals &amp; Budget 2026'!$A$2:$EJ$49,48,FALSE),0)</f>
        <v>0</v>
      </c>
      <c r="L38" s="84" t="str">
        <f t="shared" si="34"/>
        <v>***</v>
      </c>
      <c r="M38" s="78"/>
      <c r="N38" s="78">
        <f>+IFERROR(VLOOKUP($A38,'Goals &amp; Budget 2026'!$A$2:$EJ$49,49,FALSE),0)</f>
        <v>0</v>
      </c>
      <c r="O38" s="231" t="str">
        <f t="shared" si="35"/>
        <v>***</v>
      </c>
      <c r="P38" s="78"/>
      <c r="Q38" s="78">
        <f>+IFERROR(VLOOKUP($A38,'Goals &amp; Budget 2026'!$A$2:$EJ$49,50,FALSE),0)</f>
        <v>0</v>
      </c>
      <c r="R38" s="84" t="str">
        <f t="shared" si="36"/>
        <v>***</v>
      </c>
      <c r="S38" s="78"/>
      <c r="T38" s="78">
        <f>+IFERROR(VLOOKUP($A38,'Goals &amp; Budget 2026'!$A$2:$EJ$49,51,FALSE),0)</f>
        <v>0</v>
      </c>
      <c r="U38" s="84" t="str">
        <f t="shared" si="37"/>
        <v>***</v>
      </c>
      <c r="V38" s="78"/>
      <c r="W38" s="78">
        <f>+IFERROR(VLOOKUP($A38,'Goals &amp; Budget 2026'!$A$2:$EJ$49,52,FALSE),0)</f>
        <v>0</v>
      </c>
      <c r="X38" s="231" t="str">
        <f t="shared" si="38"/>
        <v>***</v>
      </c>
      <c r="Y38" s="78"/>
      <c r="Z38" s="78">
        <f>+IFERROR(VLOOKUP($A38,'Goals &amp; Budget 2026'!$A$2:$EJ$49,53,FALSE),0)</f>
        <v>0</v>
      </c>
      <c r="AA38" s="84" t="str">
        <f t="shared" si="39"/>
        <v>***</v>
      </c>
      <c r="AB38" s="78"/>
      <c r="AC38" s="78">
        <f>+IFERROR(VLOOKUP($A38,'Goals &amp; Budget 2026'!$A$2:$EJ$49,54,FALSE),0)</f>
        <v>0</v>
      </c>
      <c r="AD38" s="84" t="str">
        <f t="shared" si="40"/>
        <v>***</v>
      </c>
      <c r="AE38" s="78"/>
      <c r="AF38" s="78">
        <f>+IFERROR(VLOOKUP($A38,'Goals &amp; Budget 2026'!$A$2:$EJ$49,55,FALSE),0)</f>
        <v>0</v>
      </c>
      <c r="AG38" s="231" t="str">
        <f t="shared" si="41"/>
        <v>***</v>
      </c>
      <c r="AH38" s="78"/>
      <c r="AI38" s="78">
        <f>+IFERROR(VLOOKUP($A38,'Goals &amp; Budget 2026'!$A$2:$EJ$49,56,FALSE),0)</f>
        <v>0</v>
      </c>
      <c r="AJ38" s="84" t="str">
        <f t="shared" si="42"/>
        <v>***</v>
      </c>
      <c r="AK38" s="78"/>
      <c r="AL38" s="78">
        <f>+IFERROR(VLOOKUP($A38,'Goals &amp; Budget 2026'!$A$2:$EJ$49,57,FALSE),0)</f>
        <v>0</v>
      </c>
      <c r="AM38" s="84" t="str">
        <f t="shared" si="43"/>
        <v>***</v>
      </c>
      <c r="AN38" s="78"/>
      <c r="AO38" s="78">
        <f>+IFERROR(VLOOKUP($A38,'Goals &amp; Budget 2026'!$A$2:$EJ$49,58,FALSE),0)</f>
        <v>0</v>
      </c>
      <c r="AP38" s="85" t="str">
        <f t="shared" si="44"/>
        <v>***</v>
      </c>
    </row>
    <row r="39" spans="1:42" ht="18.75" customHeight="1" x14ac:dyDescent="0.25">
      <c r="A39" s="51" t="s">
        <v>101</v>
      </c>
      <c r="B39" s="52">
        <v>1</v>
      </c>
      <c r="C39" s="53">
        <v>180</v>
      </c>
      <c r="D39" s="58">
        <f t="shared" si="30"/>
        <v>0</v>
      </c>
      <c r="E39" s="59">
        <f t="shared" si="31"/>
        <v>0</v>
      </c>
      <c r="F39" s="232" t="str">
        <f t="shared" si="32"/>
        <v>***</v>
      </c>
      <c r="G39" s="59"/>
      <c r="H39" s="59">
        <f>+IFERROR(VLOOKUP($A39,'Goals &amp; Budget 2026'!$A$2:$EJ$49,47,FALSE),0)</f>
        <v>0</v>
      </c>
      <c r="I39" s="65" t="str">
        <f t="shared" si="33"/>
        <v>***</v>
      </c>
      <c r="J39" s="59"/>
      <c r="K39" s="59">
        <f>+IFERROR(VLOOKUP($A39,'Goals &amp; Budget 2026'!$A$2:$EJ$49,48,FALSE),0)</f>
        <v>0</v>
      </c>
      <c r="L39" s="65" t="str">
        <f t="shared" si="34"/>
        <v>***</v>
      </c>
      <c r="M39" s="59"/>
      <c r="N39" s="59">
        <f>+IFERROR(VLOOKUP($A39,'Goals &amp; Budget 2026'!$A$2:$EJ$49,49,FALSE),0)</f>
        <v>0</v>
      </c>
      <c r="O39" s="232" t="str">
        <f t="shared" si="35"/>
        <v>***</v>
      </c>
      <c r="P39" s="59"/>
      <c r="Q39" s="59">
        <f>+IFERROR(VLOOKUP($A39,'Goals &amp; Budget 2026'!$A$2:$EJ$49,50,FALSE),0)</f>
        <v>0</v>
      </c>
      <c r="R39" s="65" t="str">
        <f t="shared" si="36"/>
        <v>***</v>
      </c>
      <c r="S39" s="59"/>
      <c r="T39" s="59">
        <f>+IFERROR(VLOOKUP($A39,'Goals &amp; Budget 2026'!$A$2:$EJ$49,51,FALSE),0)</f>
        <v>0</v>
      </c>
      <c r="U39" s="65" t="str">
        <f t="shared" si="37"/>
        <v>***</v>
      </c>
      <c r="V39" s="59"/>
      <c r="W39" s="59">
        <f>+IFERROR(VLOOKUP($A39,'Goals &amp; Budget 2026'!$A$2:$EJ$49,52,FALSE),0)</f>
        <v>0</v>
      </c>
      <c r="X39" s="232" t="str">
        <f t="shared" si="38"/>
        <v>***</v>
      </c>
      <c r="Y39" s="59"/>
      <c r="Z39" s="59">
        <f>+IFERROR(VLOOKUP($A39,'Goals &amp; Budget 2026'!$A$2:$EJ$49,53,FALSE),0)</f>
        <v>0</v>
      </c>
      <c r="AA39" s="65" t="str">
        <f t="shared" si="39"/>
        <v>***</v>
      </c>
      <c r="AB39" s="59"/>
      <c r="AC39" s="59">
        <f>+IFERROR(VLOOKUP($A39,'Goals &amp; Budget 2026'!$A$2:$EJ$49,54,FALSE),0)</f>
        <v>0</v>
      </c>
      <c r="AD39" s="65" t="str">
        <f t="shared" si="40"/>
        <v>***</v>
      </c>
      <c r="AE39" s="59"/>
      <c r="AF39" s="59">
        <f>+IFERROR(VLOOKUP($A39,'Goals &amp; Budget 2026'!$A$2:$EJ$49,55,FALSE),0)</f>
        <v>0</v>
      </c>
      <c r="AG39" s="232" t="str">
        <f t="shared" si="41"/>
        <v>***</v>
      </c>
      <c r="AH39" s="59"/>
      <c r="AI39" s="59">
        <f>+IFERROR(VLOOKUP($A39,'Goals &amp; Budget 2026'!$A$2:$EJ$49,56,FALSE),0)</f>
        <v>0</v>
      </c>
      <c r="AJ39" s="65" t="str">
        <f t="shared" si="42"/>
        <v>***</v>
      </c>
      <c r="AK39" s="59"/>
      <c r="AL39" s="59">
        <f>+IFERROR(VLOOKUP($A39,'Goals &amp; Budget 2026'!$A$2:$EJ$49,57,FALSE),0)</f>
        <v>0</v>
      </c>
      <c r="AM39" s="65" t="str">
        <f t="shared" si="43"/>
        <v>***</v>
      </c>
      <c r="AN39" s="59"/>
      <c r="AO39" s="59">
        <f>+IFERROR(VLOOKUP($A39,'Goals &amp; Budget 2026'!$A$2:$EJ$49,58,FALSE),0)</f>
        <v>0</v>
      </c>
      <c r="AP39" s="66" t="str">
        <f t="shared" si="44"/>
        <v>***</v>
      </c>
    </row>
    <row r="40" spans="1:42" ht="18.75" customHeight="1" x14ac:dyDescent="0.25">
      <c r="A40" s="51" t="s">
        <v>115</v>
      </c>
      <c r="B40" s="52">
        <v>1</v>
      </c>
      <c r="C40" s="53">
        <v>1</v>
      </c>
      <c r="D40" s="58">
        <f t="shared" si="30"/>
        <v>0</v>
      </c>
      <c r="E40" s="59">
        <f t="shared" si="31"/>
        <v>0</v>
      </c>
      <c r="F40" s="232" t="str">
        <f t="shared" si="32"/>
        <v>***</v>
      </c>
      <c r="G40" s="59"/>
      <c r="H40" s="59">
        <f>+IFERROR(VLOOKUP($A40,'Goals &amp; Budget 2026'!$A$2:$EJ$49,47,FALSE),0)</f>
        <v>0</v>
      </c>
      <c r="I40" s="65" t="str">
        <f t="shared" si="33"/>
        <v>***</v>
      </c>
      <c r="J40" s="59"/>
      <c r="K40" s="59">
        <f>+IFERROR(VLOOKUP($A40,'Goals &amp; Budget 2026'!$A$2:$EJ$49,48,FALSE),0)</f>
        <v>0</v>
      </c>
      <c r="L40" s="65" t="str">
        <f t="shared" si="34"/>
        <v>***</v>
      </c>
      <c r="M40" s="59"/>
      <c r="N40" s="59">
        <f>+IFERROR(VLOOKUP($A40,'Goals &amp; Budget 2026'!$A$2:$EJ$49,49,FALSE),0)</f>
        <v>0</v>
      </c>
      <c r="O40" s="232" t="str">
        <f t="shared" si="35"/>
        <v>***</v>
      </c>
      <c r="P40" s="59"/>
      <c r="Q40" s="59">
        <f>+IFERROR(VLOOKUP($A40,'Goals &amp; Budget 2026'!$A$2:$EJ$49,50,FALSE),0)</f>
        <v>0</v>
      </c>
      <c r="R40" s="65" t="str">
        <f t="shared" si="36"/>
        <v>***</v>
      </c>
      <c r="S40" s="59"/>
      <c r="T40" s="59">
        <f>+IFERROR(VLOOKUP($A40,'Goals &amp; Budget 2026'!$A$2:$EJ$49,51,FALSE),0)</f>
        <v>0</v>
      </c>
      <c r="U40" s="65" t="str">
        <f t="shared" si="37"/>
        <v>***</v>
      </c>
      <c r="V40" s="59"/>
      <c r="W40" s="59">
        <f>+IFERROR(VLOOKUP($A40,'Goals &amp; Budget 2026'!$A$2:$EJ$49,52,FALSE),0)</f>
        <v>0</v>
      </c>
      <c r="X40" s="232" t="str">
        <f t="shared" si="38"/>
        <v>***</v>
      </c>
      <c r="Y40" s="59"/>
      <c r="Z40" s="59">
        <f>+IFERROR(VLOOKUP($A40,'Goals &amp; Budget 2026'!$A$2:$EJ$49,53,FALSE),0)</f>
        <v>0</v>
      </c>
      <c r="AA40" s="65" t="str">
        <f t="shared" si="39"/>
        <v>***</v>
      </c>
      <c r="AB40" s="59"/>
      <c r="AC40" s="59">
        <f>+IFERROR(VLOOKUP($A40,'Goals &amp; Budget 2026'!$A$2:$EJ$49,54,FALSE),0)</f>
        <v>0</v>
      </c>
      <c r="AD40" s="65" t="str">
        <f t="shared" si="40"/>
        <v>***</v>
      </c>
      <c r="AE40" s="59"/>
      <c r="AF40" s="59">
        <f>+IFERROR(VLOOKUP($A40,'Goals &amp; Budget 2026'!$A$2:$EJ$49,55,FALSE),0)</f>
        <v>0</v>
      </c>
      <c r="AG40" s="232" t="str">
        <f t="shared" si="41"/>
        <v>***</v>
      </c>
      <c r="AH40" s="59"/>
      <c r="AI40" s="59">
        <f>+IFERROR(VLOOKUP($A40,'Goals &amp; Budget 2026'!$A$2:$EJ$49,56,FALSE),0)</f>
        <v>0</v>
      </c>
      <c r="AJ40" s="65" t="str">
        <f t="shared" si="42"/>
        <v>***</v>
      </c>
      <c r="AK40" s="59"/>
      <c r="AL40" s="59">
        <f>+IFERROR(VLOOKUP($A40,'Goals &amp; Budget 2026'!$A$2:$EJ$49,57,FALSE),0)</f>
        <v>0</v>
      </c>
      <c r="AM40" s="65" t="str">
        <f t="shared" si="43"/>
        <v>***</v>
      </c>
      <c r="AN40" s="59"/>
      <c r="AO40" s="59">
        <f>+IFERROR(VLOOKUP($A40,'Goals &amp; Budget 2026'!$A$2:$EJ$49,58,FALSE),0)</f>
        <v>0</v>
      </c>
      <c r="AP40" s="66" t="str">
        <f t="shared" si="44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8">
        <f t="shared" si="30"/>
        <v>0</v>
      </c>
      <c r="E41" s="59">
        <f t="shared" si="31"/>
        <v>0</v>
      </c>
      <c r="F41" s="232" t="str">
        <f t="shared" si="32"/>
        <v>***</v>
      </c>
      <c r="G41" s="59"/>
      <c r="H41" s="59">
        <f>+IFERROR(VLOOKUP($A41,'Goals &amp; Budget 2026'!$A$2:$EJ$49,47,FALSE),0)</f>
        <v>0</v>
      </c>
      <c r="I41" s="65" t="str">
        <f t="shared" si="33"/>
        <v>***</v>
      </c>
      <c r="J41" s="59"/>
      <c r="K41" s="59">
        <f>+IFERROR(VLOOKUP($A41,'Goals &amp; Budget 2026'!$A$2:$EJ$49,48,FALSE),0)</f>
        <v>0</v>
      </c>
      <c r="L41" s="65" t="str">
        <f t="shared" si="34"/>
        <v>***</v>
      </c>
      <c r="M41" s="59"/>
      <c r="N41" s="59">
        <f>+IFERROR(VLOOKUP($A41,'Goals &amp; Budget 2026'!$A$2:$EJ$49,49,FALSE),0)</f>
        <v>0</v>
      </c>
      <c r="O41" s="232" t="str">
        <f t="shared" si="35"/>
        <v>***</v>
      </c>
      <c r="P41" s="59"/>
      <c r="Q41" s="59">
        <f>+IFERROR(VLOOKUP($A41,'Goals &amp; Budget 2026'!$A$2:$EJ$49,50,FALSE),0)</f>
        <v>0</v>
      </c>
      <c r="R41" s="65" t="str">
        <f t="shared" si="36"/>
        <v>***</v>
      </c>
      <c r="S41" s="59"/>
      <c r="T41" s="59">
        <f>+IFERROR(VLOOKUP($A41,'Goals &amp; Budget 2026'!$A$2:$EJ$49,51,FALSE),0)</f>
        <v>0</v>
      </c>
      <c r="U41" s="65" t="str">
        <f t="shared" si="37"/>
        <v>***</v>
      </c>
      <c r="V41" s="59"/>
      <c r="W41" s="59">
        <f>+IFERROR(VLOOKUP($A41,'Goals &amp; Budget 2026'!$A$2:$EJ$49,52,FALSE),0)</f>
        <v>0</v>
      </c>
      <c r="X41" s="232" t="str">
        <f t="shared" si="38"/>
        <v>***</v>
      </c>
      <c r="Y41" s="59"/>
      <c r="Z41" s="59">
        <f>+IFERROR(VLOOKUP($A41,'Goals &amp; Budget 2026'!$A$2:$EJ$49,53,FALSE),0)</f>
        <v>0</v>
      </c>
      <c r="AA41" s="65" t="str">
        <f t="shared" si="39"/>
        <v>***</v>
      </c>
      <c r="AB41" s="59"/>
      <c r="AC41" s="59">
        <f>+IFERROR(VLOOKUP($A41,'Goals &amp; Budget 2026'!$A$2:$EJ$49,54,FALSE),0)</f>
        <v>0</v>
      </c>
      <c r="AD41" s="65" t="str">
        <f t="shared" si="40"/>
        <v>***</v>
      </c>
      <c r="AE41" s="59"/>
      <c r="AF41" s="59">
        <f>+IFERROR(VLOOKUP($A41,'Goals &amp; Budget 2026'!$A$2:$EJ$49,55,FALSE),0)</f>
        <v>0</v>
      </c>
      <c r="AG41" s="232" t="str">
        <f t="shared" si="41"/>
        <v>***</v>
      </c>
      <c r="AH41" s="59"/>
      <c r="AI41" s="59">
        <f>+IFERROR(VLOOKUP($A41,'Goals &amp; Budget 2026'!$A$2:$EJ$49,56,FALSE),0)</f>
        <v>0</v>
      </c>
      <c r="AJ41" s="65" t="str">
        <f t="shared" si="42"/>
        <v>***</v>
      </c>
      <c r="AK41" s="59"/>
      <c r="AL41" s="59">
        <f>+IFERROR(VLOOKUP($A41,'Goals &amp; Budget 2026'!$A$2:$EJ$49,57,FALSE),0)</f>
        <v>0</v>
      </c>
      <c r="AM41" s="65" t="str">
        <f t="shared" si="43"/>
        <v>***</v>
      </c>
      <c r="AN41" s="59"/>
      <c r="AO41" s="59">
        <f>+IFERROR(VLOOKUP($A41,'Goals &amp; Budget 2026'!$A$2:$EJ$49,58,FALSE),0)</f>
        <v>0</v>
      </c>
      <c r="AP41" s="66" t="str">
        <f t="shared" si="44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8">
        <f t="shared" si="30"/>
        <v>0</v>
      </c>
      <c r="E42" s="59">
        <f t="shared" si="31"/>
        <v>0</v>
      </c>
      <c r="F42" s="232" t="str">
        <f t="shared" si="32"/>
        <v>***</v>
      </c>
      <c r="G42" s="59"/>
      <c r="H42" s="59">
        <f>+IFERROR(VLOOKUP($A42,'Goals &amp; Budget 2026'!$A$2:$EJ$49,47,FALSE),0)</f>
        <v>0</v>
      </c>
      <c r="I42" s="65" t="str">
        <f t="shared" si="33"/>
        <v>***</v>
      </c>
      <c r="J42" s="59"/>
      <c r="K42" s="59">
        <f>+IFERROR(VLOOKUP($A42,'Goals &amp; Budget 2026'!$A$2:$EJ$49,48,FALSE),0)</f>
        <v>0</v>
      </c>
      <c r="L42" s="65" t="str">
        <f t="shared" si="34"/>
        <v>***</v>
      </c>
      <c r="M42" s="59"/>
      <c r="N42" s="59">
        <f>+IFERROR(VLOOKUP($A42,'Goals &amp; Budget 2026'!$A$2:$EJ$49,49,FALSE),0)</f>
        <v>0</v>
      </c>
      <c r="O42" s="232" t="str">
        <f t="shared" si="35"/>
        <v>***</v>
      </c>
      <c r="P42" s="59"/>
      <c r="Q42" s="59">
        <f>+IFERROR(VLOOKUP($A42,'Goals &amp; Budget 2026'!$A$2:$EJ$49,50,FALSE),0)</f>
        <v>0</v>
      </c>
      <c r="R42" s="65" t="str">
        <f t="shared" si="36"/>
        <v>***</v>
      </c>
      <c r="S42" s="59"/>
      <c r="T42" s="59">
        <f>+IFERROR(VLOOKUP($A42,'Goals &amp; Budget 2026'!$A$2:$EJ$49,51,FALSE),0)</f>
        <v>0</v>
      </c>
      <c r="U42" s="65" t="str">
        <f t="shared" si="37"/>
        <v>***</v>
      </c>
      <c r="V42" s="59"/>
      <c r="W42" s="59">
        <f>+IFERROR(VLOOKUP($A42,'Goals &amp; Budget 2026'!$A$2:$EJ$49,52,FALSE),0)</f>
        <v>0</v>
      </c>
      <c r="X42" s="232" t="str">
        <f t="shared" si="38"/>
        <v>***</v>
      </c>
      <c r="Y42" s="59"/>
      <c r="Z42" s="59">
        <f>+IFERROR(VLOOKUP($A42,'Goals &amp; Budget 2026'!$A$2:$EJ$49,53,FALSE),0)</f>
        <v>0</v>
      </c>
      <c r="AA42" s="65" t="str">
        <f t="shared" si="39"/>
        <v>***</v>
      </c>
      <c r="AB42" s="59"/>
      <c r="AC42" s="59">
        <f>+IFERROR(VLOOKUP($A42,'Goals &amp; Budget 2026'!$A$2:$EJ$49,54,FALSE),0)</f>
        <v>0</v>
      </c>
      <c r="AD42" s="65" t="str">
        <f t="shared" si="40"/>
        <v>***</v>
      </c>
      <c r="AE42" s="59"/>
      <c r="AF42" s="59">
        <f>+IFERROR(VLOOKUP($A42,'Goals &amp; Budget 2026'!$A$2:$EJ$49,55,FALSE),0)</f>
        <v>0</v>
      </c>
      <c r="AG42" s="232" t="str">
        <f t="shared" si="41"/>
        <v>***</v>
      </c>
      <c r="AH42" s="59"/>
      <c r="AI42" s="59">
        <f>+IFERROR(VLOOKUP($A42,'Goals &amp; Budget 2026'!$A$2:$EJ$49,56,FALSE),0)</f>
        <v>0</v>
      </c>
      <c r="AJ42" s="65" t="str">
        <f t="shared" si="42"/>
        <v>***</v>
      </c>
      <c r="AK42" s="59"/>
      <c r="AL42" s="59">
        <f>+IFERROR(VLOOKUP($A42,'Goals &amp; Budget 2026'!$A$2:$EJ$49,57,FALSE),0)</f>
        <v>0</v>
      </c>
      <c r="AM42" s="65" t="str">
        <f t="shared" si="43"/>
        <v>***</v>
      </c>
      <c r="AN42" s="59"/>
      <c r="AO42" s="59">
        <f>+IFERROR(VLOOKUP($A42,'Goals &amp; Budget 2026'!$A$2:$EJ$49,58,FALSE),0)</f>
        <v>0</v>
      </c>
      <c r="AP42" s="66" t="str">
        <f t="shared" si="44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58">
        <f t="shared" si="30"/>
        <v>0</v>
      </c>
      <c r="E43" s="59">
        <f t="shared" si="31"/>
        <v>0</v>
      </c>
      <c r="F43" s="232" t="str">
        <f t="shared" si="32"/>
        <v>***</v>
      </c>
      <c r="G43" s="59"/>
      <c r="H43" s="59">
        <f>+IFERROR(VLOOKUP($A43,'Goals &amp; Budget 2026'!$A$2:$EJ$49,47,FALSE),0)</f>
        <v>0</v>
      </c>
      <c r="I43" s="65" t="str">
        <f t="shared" si="33"/>
        <v>***</v>
      </c>
      <c r="J43" s="59"/>
      <c r="K43" s="59">
        <f>+IFERROR(VLOOKUP($A43,'Goals &amp; Budget 2026'!$A$2:$EJ$49,48,FALSE),0)</f>
        <v>0</v>
      </c>
      <c r="L43" s="65" t="str">
        <f t="shared" si="34"/>
        <v>***</v>
      </c>
      <c r="M43" s="59"/>
      <c r="N43" s="59">
        <f>+IFERROR(VLOOKUP($A43,'Goals &amp; Budget 2026'!$A$2:$EJ$49,49,FALSE),0)</f>
        <v>0</v>
      </c>
      <c r="O43" s="232" t="str">
        <f t="shared" si="35"/>
        <v>***</v>
      </c>
      <c r="P43" s="59"/>
      <c r="Q43" s="59">
        <f>+IFERROR(VLOOKUP($A43,'Goals &amp; Budget 2026'!$A$2:$EJ$49,50,FALSE),0)</f>
        <v>0</v>
      </c>
      <c r="R43" s="65" t="str">
        <f t="shared" si="36"/>
        <v>***</v>
      </c>
      <c r="S43" s="59"/>
      <c r="T43" s="59">
        <f>+IFERROR(VLOOKUP($A43,'Goals &amp; Budget 2026'!$A$2:$EJ$49,51,FALSE),0)</f>
        <v>0</v>
      </c>
      <c r="U43" s="65" t="str">
        <f t="shared" si="37"/>
        <v>***</v>
      </c>
      <c r="V43" s="59"/>
      <c r="W43" s="59">
        <f>+IFERROR(VLOOKUP($A43,'Goals &amp; Budget 2026'!$A$2:$EJ$49,52,FALSE),0)</f>
        <v>0</v>
      </c>
      <c r="X43" s="232" t="str">
        <f t="shared" si="38"/>
        <v>***</v>
      </c>
      <c r="Y43" s="59"/>
      <c r="Z43" s="59">
        <f>+IFERROR(VLOOKUP($A43,'Goals &amp; Budget 2026'!$A$2:$EJ$49,53,FALSE),0)</f>
        <v>0</v>
      </c>
      <c r="AA43" s="65" t="str">
        <f t="shared" si="39"/>
        <v>***</v>
      </c>
      <c r="AB43" s="59"/>
      <c r="AC43" s="59">
        <f>+IFERROR(VLOOKUP($A43,'Goals &amp; Budget 2026'!$A$2:$EJ$49,54,FALSE),0)</f>
        <v>0</v>
      </c>
      <c r="AD43" s="65" t="str">
        <f t="shared" si="40"/>
        <v>***</v>
      </c>
      <c r="AE43" s="59"/>
      <c r="AF43" s="59">
        <f>+IFERROR(VLOOKUP($A43,'Goals &amp; Budget 2026'!$A$2:$EJ$49,55,FALSE),0)</f>
        <v>0</v>
      </c>
      <c r="AG43" s="232" t="str">
        <f t="shared" si="41"/>
        <v>***</v>
      </c>
      <c r="AH43" s="59"/>
      <c r="AI43" s="59">
        <f>+IFERROR(VLOOKUP($A43,'Goals &amp; Budget 2026'!$A$2:$EJ$49,56,FALSE),0)</f>
        <v>0</v>
      </c>
      <c r="AJ43" s="65" t="str">
        <f t="shared" si="42"/>
        <v>***</v>
      </c>
      <c r="AK43" s="59"/>
      <c r="AL43" s="59">
        <f>+IFERROR(VLOOKUP($A43,'Goals &amp; Budget 2026'!$A$2:$EJ$49,57,FALSE),0)</f>
        <v>0</v>
      </c>
      <c r="AM43" s="65" t="str">
        <f t="shared" si="43"/>
        <v>***</v>
      </c>
      <c r="AN43" s="59"/>
      <c r="AO43" s="59">
        <f>+IFERROR(VLOOKUP($A43,'Goals &amp; Budget 2026'!$A$2:$EJ$49,58,FALSE),0)</f>
        <v>0</v>
      </c>
      <c r="AP43" s="66" t="str">
        <f t="shared" si="44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30"/>
        <v>0</v>
      </c>
      <c r="E44" s="54">
        <f t="shared" si="31"/>
        <v>0</v>
      </c>
      <c r="F44" s="232" t="str">
        <f t="shared" si="32"/>
        <v>***</v>
      </c>
      <c r="G44" s="54"/>
      <c r="H44" s="54">
        <f>+IFERROR(VLOOKUP($A44,'Goals &amp; Budget 2026'!$A$2:$EJ$49,47,FALSE),0)</f>
        <v>0</v>
      </c>
      <c r="I44" s="65" t="str">
        <f t="shared" si="33"/>
        <v>***</v>
      </c>
      <c r="J44" s="54"/>
      <c r="K44" s="54">
        <f>+IFERROR(VLOOKUP($A44,'Goals &amp; Budget 2026'!$A$2:$EJ$49,48,FALSE),0)</f>
        <v>0</v>
      </c>
      <c r="L44" s="65" t="str">
        <f t="shared" si="34"/>
        <v>***</v>
      </c>
      <c r="M44" s="54"/>
      <c r="N44" s="54">
        <f>+IFERROR(VLOOKUP($A44,'Goals &amp; Budget 2026'!$A$2:$EJ$49,49,FALSE),0)</f>
        <v>0</v>
      </c>
      <c r="O44" s="232" t="str">
        <f t="shared" si="35"/>
        <v>***</v>
      </c>
      <c r="P44" s="54"/>
      <c r="Q44" s="54">
        <f>+IFERROR(VLOOKUP($A44,'Goals &amp; Budget 2026'!$A$2:$EJ$49,50,FALSE),0)</f>
        <v>0</v>
      </c>
      <c r="R44" s="65" t="str">
        <f t="shared" si="36"/>
        <v>***</v>
      </c>
      <c r="S44" s="54"/>
      <c r="T44" s="54">
        <f>+IFERROR(VLOOKUP($A44,'Goals &amp; Budget 2026'!$A$2:$EJ$49,51,FALSE),0)</f>
        <v>0</v>
      </c>
      <c r="U44" s="65" t="str">
        <f t="shared" si="37"/>
        <v>***</v>
      </c>
      <c r="V44" s="54"/>
      <c r="W44" s="54">
        <f>+IFERROR(VLOOKUP($A44,'Goals &amp; Budget 2026'!$A$2:$EJ$49,52,FALSE),0)</f>
        <v>0</v>
      </c>
      <c r="X44" s="232" t="str">
        <f t="shared" si="38"/>
        <v>***</v>
      </c>
      <c r="Y44" s="54"/>
      <c r="Z44" s="54">
        <f>+IFERROR(VLOOKUP($A44,'Goals &amp; Budget 2026'!$A$2:$EJ$49,53,FALSE),0)</f>
        <v>0</v>
      </c>
      <c r="AA44" s="65" t="str">
        <f t="shared" si="39"/>
        <v>***</v>
      </c>
      <c r="AB44" s="54"/>
      <c r="AC44" s="54">
        <f>+IFERROR(VLOOKUP($A44,'Goals &amp; Budget 2026'!$A$2:$EJ$49,54,FALSE),0)</f>
        <v>0</v>
      </c>
      <c r="AD44" s="65" t="str">
        <f t="shared" si="40"/>
        <v>***</v>
      </c>
      <c r="AE44" s="54"/>
      <c r="AF44" s="54">
        <f>+IFERROR(VLOOKUP($A44,'Goals &amp; Budget 2026'!$A$2:$EJ$49,55,FALSE),0)</f>
        <v>0</v>
      </c>
      <c r="AG44" s="232" t="str">
        <f t="shared" si="41"/>
        <v>***</v>
      </c>
      <c r="AH44" s="54"/>
      <c r="AI44" s="54">
        <f>+IFERROR(VLOOKUP($A44,'Goals &amp; Budget 2026'!$A$2:$EJ$49,56,FALSE),0)</f>
        <v>0</v>
      </c>
      <c r="AJ44" s="65" t="str">
        <f t="shared" si="42"/>
        <v>***</v>
      </c>
      <c r="AK44" s="54"/>
      <c r="AL44" s="54">
        <f>+IFERROR(VLOOKUP($A44,'Goals &amp; Budget 2026'!$A$2:$EJ$49,57,FALSE),0)</f>
        <v>0</v>
      </c>
      <c r="AM44" s="65" t="str">
        <f t="shared" si="43"/>
        <v>***</v>
      </c>
      <c r="AN44" s="54"/>
      <c r="AO44" s="54">
        <f>+IFERROR(VLOOKUP($A44,'Goals &amp; Budget 2026'!$A$2:$EJ$49,58,FALSE),0)</f>
        <v>0</v>
      </c>
      <c r="AP44" s="66" t="str">
        <f t="shared" si="44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30"/>
        <v>0</v>
      </c>
      <c r="E45" s="54">
        <f t="shared" si="31"/>
        <v>0</v>
      </c>
      <c r="F45" s="232" t="str">
        <f t="shared" si="32"/>
        <v>***</v>
      </c>
      <c r="G45" s="54"/>
      <c r="H45" s="54">
        <f>+IFERROR(VLOOKUP($A45,'Goals &amp; Budget 2026'!$A$2:$EJ$49,47,FALSE),0)</f>
        <v>0</v>
      </c>
      <c r="I45" s="65" t="str">
        <f t="shared" si="33"/>
        <v>***</v>
      </c>
      <c r="J45" s="54"/>
      <c r="K45" s="54">
        <f>+IFERROR(VLOOKUP($A45,'Goals &amp; Budget 2026'!$A$2:$EJ$49,48,FALSE),0)</f>
        <v>0</v>
      </c>
      <c r="L45" s="65" t="str">
        <f t="shared" si="34"/>
        <v>***</v>
      </c>
      <c r="M45" s="54"/>
      <c r="N45" s="54">
        <f>+IFERROR(VLOOKUP($A45,'Goals &amp; Budget 2026'!$A$2:$EJ$49,49,FALSE),0)</f>
        <v>0</v>
      </c>
      <c r="O45" s="232" t="str">
        <f t="shared" si="35"/>
        <v>***</v>
      </c>
      <c r="P45" s="54"/>
      <c r="Q45" s="54">
        <f>+IFERROR(VLOOKUP($A45,'Goals &amp; Budget 2026'!$A$2:$EJ$49,50,FALSE),0)</f>
        <v>0</v>
      </c>
      <c r="R45" s="65" t="str">
        <f t="shared" si="36"/>
        <v>***</v>
      </c>
      <c r="S45" s="54"/>
      <c r="T45" s="54">
        <f>+IFERROR(VLOOKUP($A45,'Goals &amp; Budget 2026'!$A$2:$EJ$49,51,FALSE),0)</f>
        <v>0</v>
      </c>
      <c r="U45" s="65" t="str">
        <f t="shared" si="37"/>
        <v>***</v>
      </c>
      <c r="V45" s="54"/>
      <c r="W45" s="54">
        <f>+IFERROR(VLOOKUP($A45,'Goals &amp; Budget 2026'!$A$2:$EJ$49,52,FALSE),0)</f>
        <v>0</v>
      </c>
      <c r="X45" s="232" t="str">
        <f t="shared" si="38"/>
        <v>***</v>
      </c>
      <c r="Y45" s="54"/>
      <c r="Z45" s="54">
        <f>+IFERROR(VLOOKUP($A45,'Goals &amp; Budget 2026'!$A$2:$EJ$49,53,FALSE),0)</f>
        <v>0</v>
      </c>
      <c r="AA45" s="65" t="str">
        <f t="shared" si="39"/>
        <v>***</v>
      </c>
      <c r="AB45" s="54"/>
      <c r="AC45" s="54">
        <f>+IFERROR(VLOOKUP($A45,'Goals &amp; Budget 2026'!$A$2:$EJ$49,54,FALSE),0)</f>
        <v>0</v>
      </c>
      <c r="AD45" s="65" t="str">
        <f t="shared" si="40"/>
        <v>***</v>
      </c>
      <c r="AE45" s="54"/>
      <c r="AF45" s="54">
        <f>+IFERROR(VLOOKUP($A45,'Goals &amp; Budget 2026'!$A$2:$EJ$49,55,FALSE),0)</f>
        <v>0</v>
      </c>
      <c r="AG45" s="232" t="str">
        <f t="shared" si="41"/>
        <v>***</v>
      </c>
      <c r="AH45" s="54"/>
      <c r="AI45" s="54">
        <f>+IFERROR(VLOOKUP($A45,'Goals &amp; Budget 2026'!$A$2:$EJ$49,56,FALSE),0)</f>
        <v>0</v>
      </c>
      <c r="AJ45" s="65" t="str">
        <f t="shared" si="42"/>
        <v>***</v>
      </c>
      <c r="AK45" s="54"/>
      <c r="AL45" s="54">
        <f>+IFERROR(VLOOKUP($A45,'Goals &amp; Budget 2026'!$A$2:$EJ$49,57,FALSE),0)</f>
        <v>0</v>
      </c>
      <c r="AM45" s="65" t="str">
        <f t="shared" si="43"/>
        <v>***</v>
      </c>
      <c r="AN45" s="54"/>
      <c r="AO45" s="54">
        <f>+IFERROR(VLOOKUP($A45,'Goals &amp; Budget 2026'!$A$2:$EJ$49,58,FALSE),0)</f>
        <v>0</v>
      </c>
      <c r="AP45" s="66" t="str">
        <f t="shared" si="44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8">
        <f t="shared" si="30"/>
        <v>0</v>
      </c>
      <c r="E46" s="59">
        <f t="shared" si="31"/>
        <v>0</v>
      </c>
      <c r="F46" s="232" t="str">
        <f t="shared" si="32"/>
        <v>***</v>
      </c>
      <c r="G46" s="59"/>
      <c r="H46" s="59">
        <f>+IFERROR(VLOOKUP($A46,'Goals &amp; Budget 2026'!$A$2:$EJ$49,47,FALSE),0)</f>
        <v>0</v>
      </c>
      <c r="I46" s="65" t="str">
        <f t="shared" si="33"/>
        <v>***</v>
      </c>
      <c r="J46" s="59"/>
      <c r="K46" s="59">
        <f>+IFERROR(VLOOKUP($A46,'Goals &amp; Budget 2026'!$A$2:$EJ$49,48,FALSE),0)</f>
        <v>0</v>
      </c>
      <c r="L46" s="65" t="str">
        <f t="shared" si="34"/>
        <v>***</v>
      </c>
      <c r="M46" s="59"/>
      <c r="N46" s="59">
        <f>+IFERROR(VLOOKUP($A46,'Goals &amp; Budget 2026'!$A$2:$EJ$49,49,FALSE),0)</f>
        <v>0</v>
      </c>
      <c r="O46" s="232" t="str">
        <f t="shared" si="35"/>
        <v>***</v>
      </c>
      <c r="P46" s="59"/>
      <c r="Q46" s="59">
        <f>+IFERROR(VLOOKUP($A46,'Goals &amp; Budget 2026'!$A$2:$EJ$49,50,FALSE),0)</f>
        <v>0</v>
      </c>
      <c r="R46" s="65" t="str">
        <f t="shared" si="36"/>
        <v>***</v>
      </c>
      <c r="S46" s="59"/>
      <c r="T46" s="59">
        <f>+IFERROR(VLOOKUP($A46,'Goals &amp; Budget 2026'!$A$2:$EJ$49,51,FALSE),0)</f>
        <v>0</v>
      </c>
      <c r="U46" s="65" t="str">
        <f t="shared" si="37"/>
        <v>***</v>
      </c>
      <c r="V46" s="59"/>
      <c r="W46" s="59">
        <f>+IFERROR(VLOOKUP($A46,'Goals &amp; Budget 2026'!$A$2:$EJ$49,52,FALSE),0)</f>
        <v>0</v>
      </c>
      <c r="X46" s="232" t="str">
        <f t="shared" si="38"/>
        <v>***</v>
      </c>
      <c r="Y46" s="59"/>
      <c r="Z46" s="59">
        <f>+IFERROR(VLOOKUP($A46,'Goals &amp; Budget 2026'!$A$2:$EJ$49,53,FALSE),0)</f>
        <v>0</v>
      </c>
      <c r="AA46" s="65" t="str">
        <f t="shared" si="39"/>
        <v>***</v>
      </c>
      <c r="AB46" s="59"/>
      <c r="AC46" s="59">
        <f>+IFERROR(VLOOKUP($A46,'Goals &amp; Budget 2026'!$A$2:$EJ$49,54,FALSE),0)</f>
        <v>0</v>
      </c>
      <c r="AD46" s="65" t="str">
        <f t="shared" si="40"/>
        <v>***</v>
      </c>
      <c r="AE46" s="59"/>
      <c r="AF46" s="59">
        <f>+IFERROR(VLOOKUP($A46,'Goals &amp; Budget 2026'!$A$2:$EJ$49,55,FALSE),0)</f>
        <v>0</v>
      </c>
      <c r="AG46" s="232" t="str">
        <f t="shared" si="41"/>
        <v>***</v>
      </c>
      <c r="AH46" s="59"/>
      <c r="AI46" s="59">
        <f>+IFERROR(VLOOKUP($A46,'Goals &amp; Budget 2026'!$A$2:$EJ$49,56,FALSE),0)</f>
        <v>0</v>
      </c>
      <c r="AJ46" s="65" t="str">
        <f t="shared" si="42"/>
        <v>***</v>
      </c>
      <c r="AK46" s="59"/>
      <c r="AL46" s="59">
        <f>+IFERROR(VLOOKUP($A46,'Goals &amp; Budget 2026'!$A$2:$EJ$49,57,FALSE),0)</f>
        <v>0</v>
      </c>
      <c r="AM46" s="65" t="str">
        <f t="shared" si="43"/>
        <v>***</v>
      </c>
      <c r="AN46" s="59"/>
      <c r="AO46" s="59">
        <f>+IFERROR(VLOOKUP($A46,'Goals &amp; Budget 2026'!$A$2:$EJ$49,58,FALSE),0)</f>
        <v>0</v>
      </c>
      <c r="AP46" s="66" t="str">
        <f t="shared" si="44"/>
        <v>***</v>
      </c>
    </row>
    <row r="47" spans="1:42" ht="20.100000000000001" customHeight="1" thickBot="1" x14ac:dyDescent="0.3">
      <c r="A47" s="51" t="s">
        <v>106</v>
      </c>
      <c r="B47" s="52">
        <v>1</v>
      </c>
      <c r="C47" s="53">
        <v>378</v>
      </c>
      <c r="D47" s="58">
        <f t="shared" si="30"/>
        <v>0</v>
      </c>
      <c r="E47" s="59">
        <f t="shared" si="31"/>
        <v>0</v>
      </c>
      <c r="F47" s="232" t="str">
        <f t="shared" si="32"/>
        <v>***</v>
      </c>
      <c r="G47" s="59"/>
      <c r="H47" s="59">
        <f>+IFERROR(VLOOKUP($A47,'Goals &amp; Budget 2026'!$A$2:$EJ$49,47,FALSE),0)</f>
        <v>0</v>
      </c>
      <c r="I47" s="65" t="str">
        <f t="shared" si="33"/>
        <v>***</v>
      </c>
      <c r="J47" s="59"/>
      <c r="K47" s="59">
        <f>+IFERROR(VLOOKUP($A47,'Goals &amp; Budget 2026'!$A$2:$EJ$49,48,FALSE),0)</f>
        <v>0</v>
      </c>
      <c r="L47" s="65" t="str">
        <f t="shared" si="34"/>
        <v>***</v>
      </c>
      <c r="M47" s="59"/>
      <c r="N47" s="59">
        <f>+IFERROR(VLOOKUP($A47,'Goals &amp; Budget 2026'!$A$2:$EJ$49,49,FALSE),0)</f>
        <v>0</v>
      </c>
      <c r="O47" s="232" t="str">
        <f t="shared" si="35"/>
        <v>***</v>
      </c>
      <c r="P47" s="59"/>
      <c r="Q47" s="59">
        <f>+IFERROR(VLOOKUP($A47,'Goals &amp; Budget 2026'!$A$2:$EJ$49,50,FALSE),0)</f>
        <v>0</v>
      </c>
      <c r="R47" s="65" t="str">
        <f t="shared" si="36"/>
        <v>***</v>
      </c>
      <c r="S47" s="59"/>
      <c r="T47" s="59">
        <f>+IFERROR(VLOOKUP($A47,'Goals &amp; Budget 2026'!$A$2:$EJ$49,51,FALSE),0)</f>
        <v>0</v>
      </c>
      <c r="U47" s="65" t="str">
        <f t="shared" si="37"/>
        <v>***</v>
      </c>
      <c r="V47" s="59"/>
      <c r="W47" s="59">
        <f>+IFERROR(VLOOKUP($A47,'Goals &amp; Budget 2026'!$A$2:$EJ$49,52,FALSE),0)</f>
        <v>0</v>
      </c>
      <c r="X47" s="232" t="str">
        <f t="shared" si="38"/>
        <v>***</v>
      </c>
      <c r="Y47" s="59"/>
      <c r="Z47" s="59">
        <f>+IFERROR(VLOOKUP($A47,'Goals &amp; Budget 2026'!$A$2:$EJ$49,53,FALSE),0)</f>
        <v>0</v>
      </c>
      <c r="AA47" s="65" t="str">
        <f t="shared" si="39"/>
        <v>***</v>
      </c>
      <c r="AB47" s="59"/>
      <c r="AC47" s="59">
        <f>+IFERROR(VLOOKUP($A47,'Goals &amp; Budget 2026'!$A$2:$EJ$49,54,FALSE),0)</f>
        <v>0</v>
      </c>
      <c r="AD47" s="65" t="str">
        <f t="shared" si="40"/>
        <v>***</v>
      </c>
      <c r="AE47" s="59"/>
      <c r="AF47" s="59">
        <f>+IFERROR(VLOOKUP($A47,'Goals &amp; Budget 2026'!$A$2:$EJ$49,55,FALSE),0)</f>
        <v>0</v>
      </c>
      <c r="AG47" s="232" t="str">
        <f t="shared" si="41"/>
        <v>***</v>
      </c>
      <c r="AH47" s="59"/>
      <c r="AI47" s="59">
        <f>+IFERROR(VLOOKUP($A47,'Goals &amp; Budget 2026'!$A$2:$EJ$49,56,FALSE),0)</f>
        <v>0</v>
      </c>
      <c r="AJ47" s="65" t="str">
        <f t="shared" si="42"/>
        <v>***</v>
      </c>
      <c r="AK47" s="59"/>
      <c r="AL47" s="59">
        <f>+IFERROR(VLOOKUP($A47,'Goals &amp; Budget 2026'!$A$2:$EJ$49,57,FALSE),0)</f>
        <v>0</v>
      </c>
      <c r="AM47" s="65" t="str">
        <f t="shared" si="43"/>
        <v>***</v>
      </c>
      <c r="AN47" s="59"/>
      <c r="AO47" s="59">
        <f>+IFERROR(VLOOKUP($A47,'Goals &amp; Budget 2026'!$A$2:$EJ$49,58,FALSE),0)</f>
        <v>0</v>
      </c>
      <c r="AP47" s="66" t="str">
        <f t="shared" si="44"/>
        <v>***</v>
      </c>
    </row>
    <row r="48" spans="1:42" ht="15" x14ac:dyDescent="0.25">
      <c r="A48" s="172" t="s">
        <v>12</v>
      </c>
      <c r="B48" s="173"/>
      <c r="C48" s="236"/>
      <c r="D48" s="119">
        <f>+SUM(D3:D47)</f>
        <v>0</v>
      </c>
      <c r="E48" s="120">
        <f>+SUM(E3:E47)</f>
        <v>0</v>
      </c>
      <c r="F48" s="237" t="str">
        <f t="shared" ref="F48" si="45">IF(AND(D48&gt;0,E48&gt;0),D48/E48,IF(AND(D48&gt;0,E48=0),100%,IF(AND(D48=0,E48&gt;0),0,IF(AND(D48=0,E48=0),"***",0))))</f>
        <v>***</v>
      </c>
      <c r="G48" s="120">
        <f>+SUM(G3:G47)</f>
        <v>0</v>
      </c>
      <c r="H48" s="120">
        <f>+SUM(H3:H47)</f>
        <v>0</v>
      </c>
      <c r="I48" s="238" t="str">
        <f t="shared" ref="I48:I49" si="46">IF(AND(G48&gt;0,H48&gt;0),G48/H48,IF(AND(G48&gt;0,H48=0),100%,IF(AND(G48=0,H48&gt;0),0,IF(AND(G48=0,H48=0),"***",0))))</f>
        <v>***</v>
      </c>
      <c r="J48" s="120">
        <f>+SUM(J3:J47)</f>
        <v>0</v>
      </c>
      <c r="K48" s="120">
        <f>+SUM(K3:K47)</f>
        <v>0</v>
      </c>
      <c r="L48" s="238" t="str">
        <f t="shared" ref="L48:L49" si="47">IF(AND(J48&gt;0,K48&gt;0),J48/K48,IF(AND(J48&gt;0,K48=0),100%,IF(AND(J48=0,K48&gt;0),0,IF(AND(J48=0,K48=0),"***",0))))</f>
        <v>***</v>
      </c>
      <c r="M48" s="120">
        <f>+SUM(M3:M47)</f>
        <v>0</v>
      </c>
      <c r="N48" s="120">
        <f>+SUM(N3:N47)</f>
        <v>0</v>
      </c>
      <c r="O48" s="237" t="str">
        <f t="shared" ref="O48:O49" si="48">IF(AND(M48&gt;0,N48&gt;0),M48/N48,IF(AND(M48&gt;0,N48=0),100%,IF(AND(M48=0,N48&gt;0),0,IF(AND(M48=0,N48=0),"***",0))))</f>
        <v>***</v>
      </c>
      <c r="P48" s="120">
        <f>+SUM(P3:P47)</f>
        <v>0</v>
      </c>
      <c r="Q48" s="120">
        <f>+SUM(Q3:Q47)</f>
        <v>0</v>
      </c>
      <c r="R48" s="238" t="str">
        <f t="shared" ref="R48:R49" si="49">IF(AND(P48&gt;0,Q48&gt;0),P48/Q48,IF(AND(P48&gt;0,Q48=0),100%,IF(AND(P48=0,Q48&gt;0),0,IF(AND(P48=0,Q48=0),"***",0))))</f>
        <v>***</v>
      </c>
      <c r="S48" s="120">
        <f>+SUM(S3:S47)</f>
        <v>0</v>
      </c>
      <c r="T48" s="120">
        <f>+SUM(T3:T47)</f>
        <v>0</v>
      </c>
      <c r="U48" s="238" t="str">
        <f t="shared" ref="U48:U49" si="50">IF(AND(S48&gt;0,T48&gt;0),S48/T48,IF(AND(S48&gt;0,T48=0),100%,IF(AND(S48=0,T48&gt;0),0,IF(AND(S48=0,T48=0),"***",0))))</f>
        <v>***</v>
      </c>
      <c r="V48" s="120">
        <f>+SUM(V3:V47)</f>
        <v>0</v>
      </c>
      <c r="W48" s="120">
        <f>+SUM(W3:W47)</f>
        <v>0</v>
      </c>
      <c r="X48" s="237" t="str">
        <f t="shared" ref="X48:X49" si="51">IF(AND(V48&gt;0,W48&gt;0),V48/W48,IF(AND(V48&gt;0,W48=0),100%,IF(AND(V48=0,W48&gt;0),0,IF(AND(V48=0,W48=0),"***",0))))</f>
        <v>***</v>
      </c>
      <c r="Y48" s="120">
        <f>+SUM(Y3:Y47)</f>
        <v>0</v>
      </c>
      <c r="Z48" s="120">
        <f>+SUM(Z3:Z47)</f>
        <v>0</v>
      </c>
      <c r="AA48" s="238" t="str">
        <f t="shared" ref="AA48:AA49" si="52">IF(AND(Y48&gt;0,Z48&gt;0),Y48/Z48,IF(AND(Y48&gt;0,Z48=0),100%,IF(AND(Y48=0,Z48&gt;0),0,IF(AND(Y48=0,Z48=0),"***",0))))</f>
        <v>***</v>
      </c>
      <c r="AB48" s="120">
        <f>+SUM(AB3:AB47)</f>
        <v>0</v>
      </c>
      <c r="AC48" s="120">
        <f>+SUM(AC3:AC47)</f>
        <v>0</v>
      </c>
      <c r="AD48" s="238" t="str">
        <f t="shared" ref="AD48:AD49" si="53">IF(AND(AB48&gt;0,AC48&gt;0),AB48/AC48,IF(AND(AB48&gt;0,AC48=0),100%,IF(AND(AB48=0,AC48&gt;0),0,IF(AND(AB48=0,AC48=0),"***",0))))</f>
        <v>***</v>
      </c>
      <c r="AE48" s="120">
        <f>+SUM(AE3:AE47)</f>
        <v>0</v>
      </c>
      <c r="AF48" s="120">
        <f>+SUM(AF3:AF47)</f>
        <v>0</v>
      </c>
      <c r="AG48" s="237" t="str">
        <f t="shared" ref="AG48:AG49" si="54">IF(AND(AE48&gt;0,AF48&gt;0),AE48/AF48,IF(AND(AE48&gt;0,AF48=0),100%,IF(AND(AE48=0,AF48&gt;0),0,IF(AND(AE48=0,AF48=0),"***",0))))</f>
        <v>***</v>
      </c>
      <c r="AH48" s="120">
        <f>+SUM(AH3:AH47)</f>
        <v>0</v>
      </c>
      <c r="AI48" s="120">
        <f>+SUM(AI3:AI47)</f>
        <v>0</v>
      </c>
      <c r="AJ48" s="238" t="str">
        <f t="shared" ref="AJ48:AJ49" si="55">IF(AND(AH48&gt;0,AI48&gt;0),AH48/AI48,IF(AND(AH48&gt;0,AI48=0),100%,IF(AND(AH48=0,AI48&gt;0),0,IF(AND(AH48=0,AI48=0),"***",0))))</f>
        <v>***</v>
      </c>
      <c r="AK48" s="120">
        <f>+SUM(AK3:AK47)</f>
        <v>0</v>
      </c>
      <c r="AL48" s="120">
        <f>+SUM(AL3:AL47)</f>
        <v>0</v>
      </c>
      <c r="AM48" s="238" t="str">
        <f t="shared" ref="AM48:AM49" si="56">IF(AND(AK48&gt;0,AL48&gt;0),AK48/AL48,IF(AND(AK48&gt;0,AL48=0),100%,IF(AND(AK48=0,AL48&gt;0),0,IF(AND(AK48=0,AL48=0),"***",0))))</f>
        <v>***</v>
      </c>
      <c r="AN48" s="120">
        <f>+SUM(AN3:AN47)</f>
        <v>0</v>
      </c>
      <c r="AO48" s="120">
        <f>+SUM(AO3:AO47)</f>
        <v>0</v>
      </c>
      <c r="AP48" s="239" t="str">
        <f t="shared" ref="AP48:AP49" si="57">IF(AND(AN48&gt;0,AO48&gt;0),AN48/AO48,IF(AND(AN48&gt;0,AO48=0),100%,IF(AND(AN48=0,AO48&gt;0),0,IF(AND(AN48=0,AO48=0),"***",0))))</f>
        <v>***</v>
      </c>
    </row>
    <row r="49" spans="1:42" ht="20.100000000000001" customHeight="1" thickBot="1" x14ac:dyDescent="0.3">
      <c r="A49" s="240" t="s">
        <v>23</v>
      </c>
      <c r="B49" s="241"/>
      <c r="C49" s="242"/>
      <c r="D49" s="133">
        <f>+SUMPRODUCT(D3:D47,$B$3:$B$47)</f>
        <v>0</v>
      </c>
      <c r="E49" s="134">
        <f>+SUMPRODUCT(E3:E47,$B$3:$B$47)</f>
        <v>0</v>
      </c>
      <c r="F49" s="243" t="str">
        <f>IF(AND(D49&gt;0,E49&gt;0),D49/E49,IF(AND(D49&gt;0,E49=0),100%,IF(AND(D49=0,E49&gt;0),0,IF(AND(D49=0,E49=0),"***",0))))</f>
        <v>***</v>
      </c>
      <c r="G49" s="134">
        <f>+SUMPRODUCT(G3:G47,$B$3:$B$47)</f>
        <v>0</v>
      </c>
      <c r="H49" s="134">
        <f>+SUMPRODUCT(H3:H47,$B$3:$B$47)</f>
        <v>0</v>
      </c>
      <c r="I49" s="244" t="str">
        <f t="shared" si="46"/>
        <v>***</v>
      </c>
      <c r="J49" s="134">
        <f>+SUMPRODUCT(J3:J47,$B$3:$B$47)</f>
        <v>0</v>
      </c>
      <c r="K49" s="134">
        <f>+SUMPRODUCT(K3:K47,$B$3:$B$47)</f>
        <v>0</v>
      </c>
      <c r="L49" s="244" t="str">
        <f t="shared" si="47"/>
        <v>***</v>
      </c>
      <c r="M49" s="134">
        <f>+SUMPRODUCT(M3:M47,$B$3:$B$47)</f>
        <v>0</v>
      </c>
      <c r="N49" s="134">
        <f>+SUMPRODUCT(N3:N47,$B$3:$B$47)</f>
        <v>0</v>
      </c>
      <c r="O49" s="243" t="str">
        <f t="shared" si="48"/>
        <v>***</v>
      </c>
      <c r="P49" s="134">
        <f>+SUMPRODUCT(P3:P47,$B$3:$B$47)</f>
        <v>0</v>
      </c>
      <c r="Q49" s="134">
        <f>+SUMPRODUCT(Q3:Q47,$B$3:$B$47)</f>
        <v>0</v>
      </c>
      <c r="R49" s="244" t="str">
        <f t="shared" si="49"/>
        <v>***</v>
      </c>
      <c r="S49" s="134">
        <f>+SUMPRODUCT(S3:S47,$B$3:$B$47)</f>
        <v>0</v>
      </c>
      <c r="T49" s="134">
        <f>+SUMPRODUCT(T3:T47,$B$3:$B$47)</f>
        <v>0</v>
      </c>
      <c r="U49" s="244" t="str">
        <f t="shared" si="50"/>
        <v>***</v>
      </c>
      <c r="V49" s="134">
        <f>+SUMPRODUCT(V3:V47,$B$3:$B$47)</f>
        <v>0</v>
      </c>
      <c r="W49" s="134">
        <f>+SUMPRODUCT(W3:W47,$B$3:$B$47)</f>
        <v>0</v>
      </c>
      <c r="X49" s="243" t="str">
        <f t="shared" si="51"/>
        <v>***</v>
      </c>
      <c r="Y49" s="134">
        <f>+SUMPRODUCT(Y3:Y47,$B$3:$B$47)</f>
        <v>0</v>
      </c>
      <c r="Z49" s="134">
        <f>+SUMPRODUCT(Z3:Z47,$B$3:$B$47)</f>
        <v>0</v>
      </c>
      <c r="AA49" s="244" t="str">
        <f t="shared" si="52"/>
        <v>***</v>
      </c>
      <c r="AB49" s="134">
        <f>+SUMPRODUCT(AB3:AB47,$B$3:$B$47)</f>
        <v>0</v>
      </c>
      <c r="AC49" s="134">
        <f>+SUMPRODUCT(AC3:AC47,$B$3:$B$47)</f>
        <v>0</v>
      </c>
      <c r="AD49" s="244" t="str">
        <f t="shared" si="53"/>
        <v>***</v>
      </c>
      <c r="AE49" s="134">
        <f>+SUMPRODUCT(AE3:AE47,$B$3:$B$47)</f>
        <v>0</v>
      </c>
      <c r="AF49" s="134">
        <f>+SUMPRODUCT(AF3:AF47,$B$3:$B$47)</f>
        <v>0</v>
      </c>
      <c r="AG49" s="243" t="str">
        <f t="shared" si="54"/>
        <v>***</v>
      </c>
      <c r="AH49" s="134">
        <f>+SUMPRODUCT(AH3:AH47,$B$3:$B$47)</f>
        <v>0</v>
      </c>
      <c r="AI49" s="134">
        <f>+SUMPRODUCT(AI3:AI47,$B$3:$B$47)</f>
        <v>0</v>
      </c>
      <c r="AJ49" s="244" t="str">
        <f t="shared" si="55"/>
        <v>***</v>
      </c>
      <c r="AK49" s="134">
        <f>+SUMPRODUCT(AK3:AK47,$B$3:$B$47)</f>
        <v>0</v>
      </c>
      <c r="AL49" s="134">
        <f>+SUMPRODUCT(AL3:AL47,$B$3:$B$47)</f>
        <v>0</v>
      </c>
      <c r="AM49" s="244" t="str">
        <f t="shared" si="56"/>
        <v>***</v>
      </c>
      <c r="AN49" s="134">
        <f>+SUMPRODUCT(AN3:AN47,$B$3:$B$47)</f>
        <v>0</v>
      </c>
      <c r="AO49" s="134">
        <f>+SUMPRODUCT(AO3:AO47,$B$3:$B$47)</f>
        <v>0</v>
      </c>
      <c r="AP49" s="245" t="str">
        <f t="shared" si="57"/>
        <v>***</v>
      </c>
    </row>
  </sheetData>
  <mergeCells count="16">
    <mergeCell ref="AK1:AM1"/>
    <mergeCell ref="AN1:AP1"/>
    <mergeCell ref="A48:C48"/>
    <mergeCell ref="A49:C49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conditionalFormatting sqref="F3:F49 I3:I49 L3:L49 O3:O49 R3:R49 U3:U49 X3:X49 AA3:AA49 AD3:AD49 AG3:AG49 AJ3:AJ49 AM3:AM49 AP3:AP49">
    <cfRule type="cellIs" priority="1" operator="equal">
      <formula>"***"</formula>
    </cfRule>
    <cfRule type="cellIs" dxfId="15" priority="2" operator="lessThan">
      <formula>1</formula>
    </cfRule>
    <cfRule type="cellIs" dxfId="14" priority="3" operator="greaterThanOrEqual">
      <formula>1</formula>
    </cfRule>
  </conditionalFormatting>
  <pageMargins left="0.7" right="0.7" top="0.75" bottom="0.75" header="0.3" footer="0.3"/>
  <ignoredErrors>
    <ignoredError sqref="F48:F4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5FA4-11E3-4F31-876C-2F095B120964}">
  <sheetPr>
    <tabColor theme="5" tint="0.79998168889431442"/>
  </sheetPr>
  <dimension ref="A1:AP49"/>
  <sheetViews>
    <sheetView showGridLines="0" zoomScale="85" zoomScaleNormal="85" workbookViewId="0">
      <pane xSplit="6" ySplit="2" topLeftCell="Q3" activePane="bottomRight" state="frozen"/>
      <selection activeCell="Z21" sqref="Z21:Z23"/>
      <selection pane="topRight" activeCell="Z21" sqref="Z21:Z23"/>
      <selection pane="bottomLeft" activeCell="Z21" sqref="Z21:Z23"/>
      <selection pane="bottomRight" activeCell="A3" sqref="A1:AP49"/>
    </sheetView>
  </sheetViews>
  <sheetFormatPr defaultRowHeight="20.100000000000001" customHeight="1" x14ac:dyDescent="0.25"/>
  <cols>
    <col min="1" max="1" width="19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+'Dashboard - Overview &amp; Project'!H2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35">
        <f>+G3</f>
        <v>0</v>
      </c>
      <c r="E3" s="38">
        <f>+H3</f>
        <v>0</v>
      </c>
      <c r="F3" s="230" t="str">
        <f>IF(AND(D3&gt;0,E3&gt;0),D3/E3,IF(AND(D3&gt;0,E3=0),100%,IF(AND(D3=0,E3&gt;0),0,IF(AND(D3=0,E3=0),"***",0))))</f>
        <v>***</v>
      </c>
      <c r="G3" s="38"/>
      <c r="H3" s="38">
        <f>+IFERROR(VLOOKUP($A3,'Goals &amp; Budget 2026'!$A$2:$EJ$49,62,FALSE),0)</f>
        <v>0</v>
      </c>
      <c r="I3" s="49" t="str">
        <f>IF(AND(G3&gt;0,H3&gt;0),G3/H3,IF(AND(G3&gt;0,H3=0),100%,IF(AND(G3=0,H3&gt;0),0,IF(AND(G3=0,H3=0),"***",0))))</f>
        <v>***</v>
      </c>
      <c r="J3" s="38"/>
      <c r="K3" s="38">
        <f>+IFERROR(VLOOKUP($A3,'Goals &amp; Budget 2026'!$A$2:$EJ$49,63,FALSE),0)</f>
        <v>0</v>
      </c>
      <c r="L3" s="49" t="str">
        <f>IF(AND(J3&gt;0,K3&gt;0),J3/K3,IF(AND(J3&gt;0,K3=0),100%,IF(AND(J3=0,K3&gt;0),0,IF(AND(J3=0,K3=0),"***",0))))</f>
        <v>***</v>
      </c>
      <c r="M3" s="38"/>
      <c r="N3" s="38">
        <f>+IFERROR(VLOOKUP($A3,'Goals &amp; Budget 2026'!$A$2:$EJ$49,64,FALSE),0)</f>
        <v>0</v>
      </c>
      <c r="O3" s="230" t="str">
        <f>IF(AND(M3&gt;0,N3&gt;0),M3/N3,IF(AND(M3&gt;0,N3=0),100%,IF(AND(M3=0,N3&gt;0),0,IF(AND(M3=0,N3=0),"***",0))))</f>
        <v>***</v>
      </c>
      <c r="P3" s="38"/>
      <c r="Q3" s="38">
        <f>+IFERROR(VLOOKUP($A3,'Goals &amp; Budget 2026'!$A$2:$EJ$49,65,FALSE),0)</f>
        <v>0</v>
      </c>
      <c r="R3" s="49" t="str">
        <f>IF(AND(P3&gt;0,Q3&gt;0),P3/Q3,IF(AND(P3&gt;0,Q3=0),100%,IF(AND(P3=0,Q3&gt;0),0,IF(AND(P3=0,Q3=0),"***",0))))</f>
        <v>***</v>
      </c>
      <c r="S3" s="38"/>
      <c r="T3" s="38">
        <f>+IFERROR(VLOOKUP($A3,'Goals &amp; Budget 2026'!$A$2:$EJ$49,66,FALSE),0)</f>
        <v>0</v>
      </c>
      <c r="U3" s="49" t="str">
        <f>IF(AND(S3&gt;0,T3&gt;0),S3/T3,IF(AND(S3&gt;0,T3=0),100%,IF(AND(S3=0,T3&gt;0),0,IF(AND(S3=0,T3=0),"***",0))))</f>
        <v>***</v>
      </c>
      <c r="V3" s="38"/>
      <c r="W3" s="38">
        <f>+IFERROR(VLOOKUP($A3,'Goals &amp; Budget 2026'!$A$2:$EJ$49,67,FALSE),0)</f>
        <v>0</v>
      </c>
      <c r="X3" s="230" t="str">
        <f>IF(AND(V3&gt;0,W3&gt;0),V3/W3,IF(AND(V3&gt;0,W3=0),100%,IF(AND(V3=0,W3&gt;0),0,IF(AND(V3=0,W3=0),"***",0))))</f>
        <v>***</v>
      </c>
      <c r="Y3" s="38"/>
      <c r="Z3" s="38">
        <f>+IFERROR(VLOOKUP($A3,'Goals &amp; Budget 2026'!$A$2:$EJ$49,68,FALSE),0)</f>
        <v>0</v>
      </c>
      <c r="AA3" s="49" t="str">
        <f>IF(AND(Y3&gt;0,Z3&gt;0),Y3/Z3,IF(AND(Y3&gt;0,Z3=0),100%,IF(AND(Y3=0,Z3&gt;0),0,IF(AND(Y3=0,Z3=0),"***",0))))</f>
        <v>***</v>
      </c>
      <c r="AB3" s="38"/>
      <c r="AC3" s="38">
        <f>+IFERROR(VLOOKUP($A3,'Goals &amp; Budget 2026'!$A$2:$EJ$49,69,FALSE),0)</f>
        <v>0</v>
      </c>
      <c r="AD3" s="49" t="str">
        <f>IF(AND(AB3&gt;0,AC3&gt;0),AB3/AC3,IF(AND(AB3&gt;0,AC3=0),100%,IF(AND(AB3=0,AC3&gt;0),0,IF(AND(AB3=0,AC3=0),"***",0))))</f>
        <v>***</v>
      </c>
      <c r="AE3" s="38"/>
      <c r="AF3" s="38">
        <f>+IFERROR(VLOOKUP($A3,'Goals &amp; Budget 2026'!$A$2:$EJ$49,70,FALSE),0)</f>
        <v>0</v>
      </c>
      <c r="AG3" s="230" t="str">
        <f>IF(AND(AE3&gt;0,AF3&gt;0),AE3/AF3,IF(AND(AE3&gt;0,AF3=0),100%,IF(AND(AE3=0,AF3&gt;0),0,IF(AND(AE3=0,AF3=0),"***",0))))</f>
        <v>***</v>
      </c>
      <c r="AH3" s="38"/>
      <c r="AI3" s="38">
        <f>+IFERROR(VLOOKUP($A3,'Goals &amp; Budget 2026'!$A$2:$EJ$49,71,FALSE),0)</f>
        <v>0</v>
      </c>
      <c r="AJ3" s="49" t="str">
        <f>IF(AND(AH3&gt;0,AI3&gt;0),AH3/AI3,IF(AND(AH3&gt;0,AI3=0),100%,IF(AND(AH3=0,AI3&gt;0),0,IF(AND(AH3=0,AI3=0),"***",0))))</f>
        <v>***</v>
      </c>
      <c r="AK3" s="38"/>
      <c r="AL3" s="38">
        <f>+IFERROR(VLOOKUP($A3,'Goals &amp; Budget 2026'!$A$2:$EJ$49,72,FALSE),0)</f>
        <v>0</v>
      </c>
      <c r="AM3" s="49" t="str">
        <f>IF(AND(AK3&gt;0,AL3&gt;0),AK3/AL3,IF(AND(AK3&gt;0,AL3=0),100%,IF(AND(AK3=0,AL3&gt;0),0,IF(AND(AK3=0,AL3=0),"***",0))))</f>
        <v>***</v>
      </c>
      <c r="AN3" s="38"/>
      <c r="AO3" s="38">
        <f>+IFERROR(VLOOKUP($A3,'Goals &amp; Budget 2026'!$A$2:$EJ$49,73,FALSE),0)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0">
        <f t="shared" ref="D4:D24" si="0">+G4</f>
        <v>0</v>
      </c>
      <c r="E4" s="73">
        <f t="shared" ref="E4:E24" si="1">+H4</f>
        <v>0</v>
      </c>
      <c r="F4" s="231" t="str">
        <f t="shared" ref="F4:F24" si="2">IF(AND(D4&gt;0,E4&gt;0),D4/E4,IF(AND(D4&gt;0,E4=0),100%,IF(AND(D4=0,E4&gt;0),0,IF(AND(D4=0,E4=0),"***",0))))</f>
        <v>***</v>
      </c>
      <c r="G4" s="73"/>
      <c r="H4" s="73">
        <f>+IFERROR(VLOOKUP($A4,'Goals &amp; Budget 2026'!$A$2:$EJ$49,62,FALSE),0)</f>
        <v>0</v>
      </c>
      <c r="I4" s="84" t="str">
        <f t="shared" ref="I4:I24" si="3">IF(AND(G4&gt;0,H4&gt;0),G4/H4,IF(AND(G4&gt;0,H4=0),100%,IF(AND(G4=0,H4&gt;0),0,IF(AND(G4=0,H4=0),"***",0))))</f>
        <v>***</v>
      </c>
      <c r="J4" s="73"/>
      <c r="K4" s="73">
        <f>+IFERROR(VLOOKUP($A4,'Goals &amp; Budget 2026'!$A$2:$EJ$49,63,FALSE),0)</f>
        <v>0</v>
      </c>
      <c r="L4" s="84" t="str">
        <f t="shared" ref="L4:L24" si="4">IF(AND(J4&gt;0,K4&gt;0),J4/K4,IF(AND(J4&gt;0,K4=0),100%,IF(AND(J4=0,K4&gt;0),0,IF(AND(J4=0,K4=0),"***",0))))</f>
        <v>***</v>
      </c>
      <c r="M4" s="73"/>
      <c r="N4" s="73">
        <f>+IFERROR(VLOOKUP($A4,'Goals &amp; Budget 2026'!$A$2:$EJ$49,64,FALSE),0)</f>
        <v>0</v>
      </c>
      <c r="O4" s="231" t="str">
        <f t="shared" ref="O4:O24" si="5">IF(AND(M4&gt;0,N4&gt;0),M4/N4,IF(AND(M4&gt;0,N4=0),100%,IF(AND(M4=0,N4&gt;0),0,IF(AND(M4=0,N4=0),"***",0))))</f>
        <v>***</v>
      </c>
      <c r="P4" s="73"/>
      <c r="Q4" s="73">
        <f>+IFERROR(VLOOKUP($A4,'Goals &amp; Budget 2026'!$A$2:$EJ$49,65,FALSE),0)</f>
        <v>0</v>
      </c>
      <c r="R4" s="84" t="str">
        <f t="shared" ref="R4:R24" si="6">IF(AND(P4&gt;0,Q4&gt;0),P4/Q4,IF(AND(P4&gt;0,Q4=0),100%,IF(AND(P4=0,Q4&gt;0),0,IF(AND(P4=0,Q4=0),"***",0))))</f>
        <v>***</v>
      </c>
      <c r="S4" s="73"/>
      <c r="T4" s="73">
        <f>+IFERROR(VLOOKUP($A4,'Goals &amp; Budget 2026'!$A$2:$EJ$49,66,FALSE),0)</f>
        <v>0</v>
      </c>
      <c r="U4" s="84" t="str">
        <f t="shared" ref="U4:U24" si="7">IF(AND(S4&gt;0,T4&gt;0),S4/T4,IF(AND(S4&gt;0,T4=0),100%,IF(AND(S4=0,T4&gt;0),0,IF(AND(S4=0,T4=0),"***",0))))</f>
        <v>***</v>
      </c>
      <c r="V4" s="73"/>
      <c r="W4" s="73">
        <f>+IFERROR(VLOOKUP($A4,'Goals &amp; Budget 2026'!$A$2:$EJ$49,67,FALSE),0)</f>
        <v>0</v>
      </c>
      <c r="X4" s="231" t="str">
        <f t="shared" ref="X4:X24" si="8">IF(AND(V4&gt;0,W4&gt;0),V4/W4,IF(AND(V4&gt;0,W4=0),100%,IF(AND(V4=0,W4&gt;0),0,IF(AND(V4=0,W4=0),"***",0))))</f>
        <v>***</v>
      </c>
      <c r="Y4" s="73"/>
      <c r="Z4" s="73">
        <f>+IFERROR(VLOOKUP($A4,'Goals &amp; Budget 2026'!$A$2:$EJ$49,68,FALSE),0)</f>
        <v>0</v>
      </c>
      <c r="AA4" s="84" t="str">
        <f t="shared" ref="AA4:AA24" si="9">IF(AND(Y4&gt;0,Z4&gt;0),Y4/Z4,IF(AND(Y4&gt;0,Z4=0),100%,IF(AND(Y4=0,Z4&gt;0),0,IF(AND(Y4=0,Z4=0),"***",0))))</f>
        <v>***</v>
      </c>
      <c r="AB4" s="73"/>
      <c r="AC4" s="73">
        <f>+IFERROR(VLOOKUP($A4,'Goals &amp; Budget 2026'!$A$2:$EJ$49,69,FALSE),0)</f>
        <v>0</v>
      </c>
      <c r="AD4" s="84" t="str">
        <f t="shared" ref="AD4:AD24" si="10">IF(AND(AB4&gt;0,AC4&gt;0),AB4/AC4,IF(AND(AB4&gt;0,AC4=0),100%,IF(AND(AB4=0,AC4&gt;0),0,IF(AND(AB4=0,AC4=0),"***",0))))</f>
        <v>***</v>
      </c>
      <c r="AE4" s="73"/>
      <c r="AF4" s="73">
        <f>+IFERROR(VLOOKUP($A4,'Goals &amp; Budget 2026'!$A$2:$EJ$49,70,FALSE),0)</f>
        <v>0</v>
      </c>
      <c r="AG4" s="231" t="str">
        <f t="shared" ref="AG4:AG24" si="11">IF(AND(AE4&gt;0,AF4&gt;0),AE4/AF4,IF(AND(AE4&gt;0,AF4=0),100%,IF(AND(AE4=0,AF4&gt;0),0,IF(AND(AE4=0,AF4=0),"***",0))))</f>
        <v>***</v>
      </c>
      <c r="AH4" s="73"/>
      <c r="AI4" s="73">
        <f>+IFERROR(VLOOKUP($A4,'Goals &amp; Budget 2026'!$A$2:$EJ$49,71,FALSE),0)</f>
        <v>0</v>
      </c>
      <c r="AJ4" s="84" t="str">
        <f t="shared" ref="AJ4:AJ24" si="12">IF(AND(AH4&gt;0,AI4&gt;0),AH4/AI4,IF(AND(AH4&gt;0,AI4=0),100%,IF(AND(AH4=0,AI4&gt;0),0,IF(AND(AH4=0,AI4=0),"***",0))))</f>
        <v>***</v>
      </c>
      <c r="AK4" s="73"/>
      <c r="AL4" s="73">
        <f>+IFERROR(VLOOKUP($A4,'Goals &amp; Budget 2026'!$A$2:$EJ$49,72,FALSE),0)</f>
        <v>0</v>
      </c>
      <c r="AM4" s="84" t="str">
        <f t="shared" ref="AM4:AM24" si="13">IF(AND(AK4&gt;0,AL4&gt;0),AK4/AL4,IF(AND(AK4&gt;0,AL4=0),100%,IF(AND(AK4=0,AL4&gt;0),0,IF(AND(AK4=0,AL4=0),"***",0))))</f>
        <v>***</v>
      </c>
      <c r="AN4" s="73"/>
      <c r="AO4" s="73">
        <f>+IFERROR(VLOOKUP($A4,'Goals &amp; Budget 2026'!$A$2:$EJ$49,73,FALSE),0)</f>
        <v>0</v>
      </c>
      <c r="AP4" s="85" t="str">
        <f t="shared" ref="AP4:AP24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0">
        <f t="shared" si="0"/>
        <v>0</v>
      </c>
      <c r="E5" s="73">
        <f t="shared" si="1"/>
        <v>0</v>
      </c>
      <c r="F5" s="231" t="str">
        <f t="shared" si="2"/>
        <v>***</v>
      </c>
      <c r="G5" s="73"/>
      <c r="H5" s="73">
        <f>+IFERROR(VLOOKUP($A5,'Goals &amp; Budget 2026'!$A$2:$EJ$49,62,FALSE),0)</f>
        <v>0</v>
      </c>
      <c r="I5" s="84" t="str">
        <f t="shared" si="3"/>
        <v>***</v>
      </c>
      <c r="J5" s="73"/>
      <c r="K5" s="73">
        <f>+IFERROR(VLOOKUP($A5,'Goals &amp; Budget 2026'!$A$2:$EJ$49,63,FALSE),0)</f>
        <v>0</v>
      </c>
      <c r="L5" s="84" t="str">
        <f t="shared" si="4"/>
        <v>***</v>
      </c>
      <c r="M5" s="73"/>
      <c r="N5" s="73">
        <f>+IFERROR(VLOOKUP($A5,'Goals &amp; Budget 2026'!$A$2:$EJ$49,64,FALSE),0)</f>
        <v>0</v>
      </c>
      <c r="O5" s="231" t="str">
        <f t="shared" si="5"/>
        <v>***</v>
      </c>
      <c r="P5" s="73"/>
      <c r="Q5" s="73">
        <f>+IFERROR(VLOOKUP($A5,'Goals &amp; Budget 2026'!$A$2:$EJ$49,65,FALSE),0)</f>
        <v>0</v>
      </c>
      <c r="R5" s="84" t="str">
        <f t="shared" si="6"/>
        <v>***</v>
      </c>
      <c r="S5" s="73"/>
      <c r="T5" s="73">
        <f>+IFERROR(VLOOKUP($A5,'Goals &amp; Budget 2026'!$A$2:$EJ$49,66,FALSE),0)</f>
        <v>0</v>
      </c>
      <c r="U5" s="84" t="str">
        <f t="shared" si="7"/>
        <v>***</v>
      </c>
      <c r="V5" s="73"/>
      <c r="W5" s="73">
        <f>+IFERROR(VLOOKUP($A5,'Goals &amp; Budget 2026'!$A$2:$EJ$49,67,FALSE),0)</f>
        <v>0</v>
      </c>
      <c r="X5" s="231" t="str">
        <f t="shared" si="8"/>
        <v>***</v>
      </c>
      <c r="Y5" s="73"/>
      <c r="Z5" s="73">
        <f>+IFERROR(VLOOKUP($A5,'Goals &amp; Budget 2026'!$A$2:$EJ$49,68,FALSE),0)</f>
        <v>0</v>
      </c>
      <c r="AA5" s="84" t="str">
        <f t="shared" si="9"/>
        <v>***</v>
      </c>
      <c r="AB5" s="73"/>
      <c r="AC5" s="73">
        <f>+IFERROR(VLOOKUP($A5,'Goals &amp; Budget 2026'!$A$2:$EJ$49,69,FALSE),0)</f>
        <v>0</v>
      </c>
      <c r="AD5" s="84" t="str">
        <f t="shared" si="10"/>
        <v>***</v>
      </c>
      <c r="AE5" s="73"/>
      <c r="AF5" s="73">
        <f>+IFERROR(VLOOKUP($A5,'Goals &amp; Budget 2026'!$A$2:$EJ$49,70,FALSE),0)</f>
        <v>0</v>
      </c>
      <c r="AG5" s="231" t="str">
        <f t="shared" si="11"/>
        <v>***</v>
      </c>
      <c r="AH5" s="73"/>
      <c r="AI5" s="73">
        <f>+IFERROR(VLOOKUP($A5,'Goals &amp; Budget 2026'!$A$2:$EJ$49,71,FALSE),0)</f>
        <v>0</v>
      </c>
      <c r="AJ5" s="84" t="str">
        <f t="shared" si="12"/>
        <v>***</v>
      </c>
      <c r="AK5" s="73"/>
      <c r="AL5" s="73">
        <f>+IFERROR(VLOOKUP($A5,'Goals &amp; Budget 2026'!$A$2:$EJ$49,72,FALSE),0)</f>
        <v>0</v>
      </c>
      <c r="AM5" s="84" t="str">
        <f t="shared" si="13"/>
        <v>***</v>
      </c>
      <c r="AN5" s="73"/>
      <c r="AO5" s="73">
        <f>+IFERROR(VLOOKUP($A5,'Goals &amp; Budget 2026'!$A$2:$EJ$49,73,FALSE),0)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0">
        <f t="shared" si="0"/>
        <v>0</v>
      </c>
      <c r="E6" s="73">
        <f t="shared" si="1"/>
        <v>0</v>
      </c>
      <c r="F6" s="231" t="str">
        <f t="shared" si="2"/>
        <v>***</v>
      </c>
      <c r="G6" s="73"/>
      <c r="H6" s="73">
        <f>+IFERROR(VLOOKUP($A6,'Goals &amp; Budget 2026'!$A$2:$EJ$49,62,FALSE),0)</f>
        <v>0</v>
      </c>
      <c r="I6" s="84" t="str">
        <f t="shared" si="3"/>
        <v>***</v>
      </c>
      <c r="J6" s="73"/>
      <c r="K6" s="73">
        <f>+IFERROR(VLOOKUP($A6,'Goals &amp; Budget 2026'!$A$2:$EJ$49,63,FALSE),0)</f>
        <v>0</v>
      </c>
      <c r="L6" s="84" t="str">
        <f t="shared" si="4"/>
        <v>***</v>
      </c>
      <c r="M6" s="73"/>
      <c r="N6" s="73">
        <f>+IFERROR(VLOOKUP($A6,'Goals &amp; Budget 2026'!$A$2:$EJ$49,64,FALSE),0)</f>
        <v>0</v>
      </c>
      <c r="O6" s="231" t="str">
        <f t="shared" si="5"/>
        <v>***</v>
      </c>
      <c r="P6" s="73"/>
      <c r="Q6" s="73">
        <f>+IFERROR(VLOOKUP($A6,'Goals &amp; Budget 2026'!$A$2:$EJ$49,65,FALSE),0)</f>
        <v>0</v>
      </c>
      <c r="R6" s="84" t="str">
        <f t="shared" si="6"/>
        <v>***</v>
      </c>
      <c r="S6" s="73"/>
      <c r="T6" s="73">
        <f>+IFERROR(VLOOKUP($A6,'Goals &amp; Budget 2026'!$A$2:$EJ$49,66,FALSE),0)</f>
        <v>0</v>
      </c>
      <c r="U6" s="84" t="str">
        <f t="shared" si="7"/>
        <v>***</v>
      </c>
      <c r="V6" s="73"/>
      <c r="W6" s="73">
        <f>+IFERROR(VLOOKUP($A6,'Goals &amp; Budget 2026'!$A$2:$EJ$49,67,FALSE),0)</f>
        <v>0</v>
      </c>
      <c r="X6" s="231" t="str">
        <f t="shared" si="8"/>
        <v>***</v>
      </c>
      <c r="Y6" s="73"/>
      <c r="Z6" s="73">
        <f>+IFERROR(VLOOKUP($A6,'Goals &amp; Budget 2026'!$A$2:$EJ$49,68,FALSE),0)</f>
        <v>0</v>
      </c>
      <c r="AA6" s="84" t="str">
        <f t="shared" si="9"/>
        <v>***</v>
      </c>
      <c r="AB6" s="73"/>
      <c r="AC6" s="73">
        <f>+IFERROR(VLOOKUP($A6,'Goals &amp; Budget 2026'!$A$2:$EJ$49,69,FALSE),0)</f>
        <v>0</v>
      </c>
      <c r="AD6" s="84" t="str">
        <f t="shared" si="10"/>
        <v>***</v>
      </c>
      <c r="AE6" s="73"/>
      <c r="AF6" s="73">
        <f>+IFERROR(VLOOKUP($A6,'Goals &amp; Budget 2026'!$A$2:$EJ$49,70,FALSE),0)</f>
        <v>0</v>
      </c>
      <c r="AG6" s="231" t="str">
        <f t="shared" si="11"/>
        <v>***</v>
      </c>
      <c r="AH6" s="73"/>
      <c r="AI6" s="73">
        <f>+IFERROR(VLOOKUP($A6,'Goals &amp; Budget 2026'!$A$2:$EJ$49,71,FALSE),0)</f>
        <v>0</v>
      </c>
      <c r="AJ6" s="84" t="str">
        <f t="shared" si="12"/>
        <v>***</v>
      </c>
      <c r="AK6" s="73"/>
      <c r="AL6" s="73">
        <f>+IFERROR(VLOOKUP($A6,'Goals &amp; Budget 2026'!$A$2:$EJ$49,72,FALSE),0)</f>
        <v>0</v>
      </c>
      <c r="AM6" s="84" t="str">
        <f t="shared" si="13"/>
        <v>***</v>
      </c>
      <c r="AN6" s="73"/>
      <c r="AO6" s="73">
        <f>+IFERROR(VLOOKUP($A6,'Goals &amp; Budget 2026'!$A$2:$EJ$49,73,FALSE),0)</f>
        <v>0</v>
      </c>
      <c r="AP6" s="85" t="str">
        <f t="shared" si="14"/>
        <v>***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0">
        <f t="shared" si="0"/>
        <v>0</v>
      </c>
      <c r="E7" s="73">
        <f t="shared" si="1"/>
        <v>0</v>
      </c>
      <c r="F7" s="231" t="str">
        <f t="shared" si="2"/>
        <v>***</v>
      </c>
      <c r="G7" s="73"/>
      <c r="H7" s="73">
        <f>+IFERROR(VLOOKUP($A7,'Goals &amp; Budget 2026'!$A$2:$EJ$49,62,FALSE),0)</f>
        <v>0</v>
      </c>
      <c r="I7" s="84" t="str">
        <f t="shared" si="3"/>
        <v>***</v>
      </c>
      <c r="J7" s="73"/>
      <c r="K7" s="73">
        <f>+IFERROR(VLOOKUP($A7,'Goals &amp; Budget 2026'!$A$2:$EJ$49,63,FALSE),0)</f>
        <v>0</v>
      </c>
      <c r="L7" s="84" t="str">
        <f t="shared" si="4"/>
        <v>***</v>
      </c>
      <c r="M7" s="73"/>
      <c r="N7" s="73">
        <f>+IFERROR(VLOOKUP($A7,'Goals &amp; Budget 2026'!$A$2:$EJ$49,64,FALSE),0)</f>
        <v>0</v>
      </c>
      <c r="O7" s="231" t="str">
        <f t="shared" si="5"/>
        <v>***</v>
      </c>
      <c r="P7" s="73"/>
      <c r="Q7" s="73">
        <f>+IFERROR(VLOOKUP($A7,'Goals &amp; Budget 2026'!$A$2:$EJ$49,65,FALSE),0)</f>
        <v>0</v>
      </c>
      <c r="R7" s="84" t="str">
        <f t="shared" si="6"/>
        <v>***</v>
      </c>
      <c r="S7" s="73"/>
      <c r="T7" s="73">
        <f>+IFERROR(VLOOKUP($A7,'Goals &amp; Budget 2026'!$A$2:$EJ$49,66,FALSE),0)</f>
        <v>0</v>
      </c>
      <c r="U7" s="84" t="str">
        <f t="shared" si="7"/>
        <v>***</v>
      </c>
      <c r="V7" s="73"/>
      <c r="W7" s="73">
        <f>+IFERROR(VLOOKUP($A7,'Goals &amp; Budget 2026'!$A$2:$EJ$49,67,FALSE),0)</f>
        <v>0</v>
      </c>
      <c r="X7" s="231" t="str">
        <f t="shared" si="8"/>
        <v>***</v>
      </c>
      <c r="Y7" s="73"/>
      <c r="Z7" s="73">
        <f>+IFERROR(VLOOKUP($A7,'Goals &amp; Budget 2026'!$A$2:$EJ$49,68,FALSE),0)</f>
        <v>0</v>
      </c>
      <c r="AA7" s="84" t="str">
        <f t="shared" si="9"/>
        <v>***</v>
      </c>
      <c r="AB7" s="73"/>
      <c r="AC7" s="73">
        <f>+IFERROR(VLOOKUP($A7,'Goals &amp; Budget 2026'!$A$2:$EJ$49,69,FALSE),0)</f>
        <v>0</v>
      </c>
      <c r="AD7" s="84" t="str">
        <f t="shared" si="10"/>
        <v>***</v>
      </c>
      <c r="AE7" s="73"/>
      <c r="AF7" s="73">
        <f>+IFERROR(VLOOKUP($A7,'Goals &amp; Budget 2026'!$A$2:$EJ$49,70,FALSE),0)</f>
        <v>0</v>
      </c>
      <c r="AG7" s="231" t="str">
        <f t="shared" si="11"/>
        <v>***</v>
      </c>
      <c r="AH7" s="73"/>
      <c r="AI7" s="73">
        <f>+IFERROR(VLOOKUP($A7,'Goals &amp; Budget 2026'!$A$2:$EJ$49,71,FALSE),0)</f>
        <v>0</v>
      </c>
      <c r="AJ7" s="84" t="str">
        <f t="shared" si="12"/>
        <v>***</v>
      </c>
      <c r="AK7" s="73"/>
      <c r="AL7" s="73">
        <f>+IFERROR(VLOOKUP($A7,'Goals &amp; Budget 2026'!$A$2:$EJ$49,72,FALSE),0)</f>
        <v>0</v>
      </c>
      <c r="AM7" s="84" t="str">
        <f t="shared" si="13"/>
        <v>***</v>
      </c>
      <c r="AN7" s="73"/>
      <c r="AO7" s="73">
        <f>+IFERROR(VLOOKUP($A7,'Goals &amp; Budget 2026'!$A$2:$EJ$49,73,FALSE),0)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0">
        <f t="shared" si="0"/>
        <v>0</v>
      </c>
      <c r="E8" s="73">
        <f t="shared" si="1"/>
        <v>0</v>
      </c>
      <c r="F8" s="231" t="str">
        <f t="shared" si="2"/>
        <v>***</v>
      </c>
      <c r="G8" s="73"/>
      <c r="H8" s="73">
        <f>+IFERROR(VLOOKUP($A8,'Goals &amp; Budget 2026'!$A$2:$EJ$49,62,FALSE),0)</f>
        <v>0</v>
      </c>
      <c r="I8" s="84" t="str">
        <f t="shared" si="3"/>
        <v>***</v>
      </c>
      <c r="J8" s="73"/>
      <c r="K8" s="73">
        <f>+IFERROR(VLOOKUP($A8,'Goals &amp; Budget 2026'!$A$2:$EJ$49,63,FALSE),0)</f>
        <v>0</v>
      </c>
      <c r="L8" s="84" t="str">
        <f t="shared" si="4"/>
        <v>***</v>
      </c>
      <c r="M8" s="73"/>
      <c r="N8" s="73">
        <f>+IFERROR(VLOOKUP($A8,'Goals &amp; Budget 2026'!$A$2:$EJ$49,64,FALSE),0)</f>
        <v>0</v>
      </c>
      <c r="O8" s="231" t="str">
        <f t="shared" si="5"/>
        <v>***</v>
      </c>
      <c r="P8" s="73"/>
      <c r="Q8" s="73">
        <f>+IFERROR(VLOOKUP($A8,'Goals &amp; Budget 2026'!$A$2:$EJ$49,65,FALSE),0)</f>
        <v>0</v>
      </c>
      <c r="R8" s="84" t="str">
        <f t="shared" si="6"/>
        <v>***</v>
      </c>
      <c r="S8" s="73"/>
      <c r="T8" s="73">
        <f>+IFERROR(VLOOKUP($A8,'Goals &amp; Budget 2026'!$A$2:$EJ$49,66,FALSE),0)</f>
        <v>0</v>
      </c>
      <c r="U8" s="84" t="str">
        <f t="shared" si="7"/>
        <v>***</v>
      </c>
      <c r="V8" s="73"/>
      <c r="W8" s="73">
        <f>+IFERROR(VLOOKUP($A8,'Goals &amp; Budget 2026'!$A$2:$EJ$49,67,FALSE),0)</f>
        <v>0</v>
      </c>
      <c r="X8" s="231" t="str">
        <f t="shared" si="8"/>
        <v>***</v>
      </c>
      <c r="Y8" s="73"/>
      <c r="Z8" s="73">
        <f>+IFERROR(VLOOKUP($A8,'Goals &amp; Budget 2026'!$A$2:$EJ$49,68,FALSE),0)</f>
        <v>0</v>
      </c>
      <c r="AA8" s="84" t="str">
        <f t="shared" si="9"/>
        <v>***</v>
      </c>
      <c r="AB8" s="73"/>
      <c r="AC8" s="73">
        <f>+IFERROR(VLOOKUP($A8,'Goals &amp; Budget 2026'!$A$2:$EJ$49,69,FALSE),0)</f>
        <v>0</v>
      </c>
      <c r="AD8" s="84" t="str">
        <f t="shared" si="10"/>
        <v>***</v>
      </c>
      <c r="AE8" s="73"/>
      <c r="AF8" s="73">
        <f>+IFERROR(VLOOKUP($A8,'Goals &amp; Budget 2026'!$A$2:$EJ$49,70,FALSE),0)</f>
        <v>0</v>
      </c>
      <c r="AG8" s="231" t="str">
        <f t="shared" si="11"/>
        <v>***</v>
      </c>
      <c r="AH8" s="73"/>
      <c r="AI8" s="73">
        <f>+IFERROR(VLOOKUP($A8,'Goals &amp; Budget 2026'!$A$2:$EJ$49,71,FALSE),0)</f>
        <v>0</v>
      </c>
      <c r="AJ8" s="84" t="str">
        <f t="shared" si="12"/>
        <v>***</v>
      </c>
      <c r="AK8" s="73"/>
      <c r="AL8" s="73">
        <f>+IFERROR(VLOOKUP($A8,'Goals &amp; Budget 2026'!$A$2:$EJ$49,72,FALSE),0)</f>
        <v>0</v>
      </c>
      <c r="AM8" s="84" t="str">
        <f t="shared" si="13"/>
        <v>***</v>
      </c>
      <c r="AN8" s="73"/>
      <c r="AO8" s="73">
        <f>+IFERROR(VLOOKUP($A8,'Goals &amp; Budget 2026'!$A$2:$EJ$49,73,FALSE),0)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0">
        <f t="shared" si="0"/>
        <v>0</v>
      </c>
      <c r="E9" s="73">
        <f t="shared" si="1"/>
        <v>0</v>
      </c>
      <c r="F9" s="231" t="str">
        <f t="shared" si="2"/>
        <v>***</v>
      </c>
      <c r="G9" s="73"/>
      <c r="H9" s="73">
        <f>+IFERROR(VLOOKUP($A9,'Goals &amp; Budget 2026'!$A$2:$EJ$49,62,FALSE),0)</f>
        <v>0</v>
      </c>
      <c r="I9" s="84" t="str">
        <f t="shared" si="3"/>
        <v>***</v>
      </c>
      <c r="J9" s="73"/>
      <c r="K9" s="73">
        <f>+IFERROR(VLOOKUP($A9,'Goals &amp; Budget 2026'!$A$2:$EJ$49,63,FALSE),0)</f>
        <v>0</v>
      </c>
      <c r="L9" s="84" t="str">
        <f t="shared" si="4"/>
        <v>***</v>
      </c>
      <c r="M9" s="73"/>
      <c r="N9" s="73">
        <f>+IFERROR(VLOOKUP($A9,'Goals &amp; Budget 2026'!$A$2:$EJ$49,64,FALSE),0)</f>
        <v>0</v>
      </c>
      <c r="O9" s="231" t="str">
        <f t="shared" si="5"/>
        <v>***</v>
      </c>
      <c r="P9" s="73"/>
      <c r="Q9" s="73">
        <f>+IFERROR(VLOOKUP($A9,'Goals &amp; Budget 2026'!$A$2:$EJ$49,65,FALSE),0)</f>
        <v>0</v>
      </c>
      <c r="R9" s="84" t="str">
        <f t="shared" si="6"/>
        <v>***</v>
      </c>
      <c r="S9" s="73"/>
      <c r="T9" s="73">
        <f>+IFERROR(VLOOKUP($A9,'Goals &amp; Budget 2026'!$A$2:$EJ$49,66,FALSE),0)</f>
        <v>0</v>
      </c>
      <c r="U9" s="84" t="str">
        <f t="shared" si="7"/>
        <v>***</v>
      </c>
      <c r="V9" s="73"/>
      <c r="W9" s="73">
        <f>+IFERROR(VLOOKUP($A9,'Goals &amp; Budget 2026'!$A$2:$EJ$49,67,FALSE),0)</f>
        <v>0</v>
      </c>
      <c r="X9" s="231" t="str">
        <f t="shared" si="8"/>
        <v>***</v>
      </c>
      <c r="Y9" s="73"/>
      <c r="Z9" s="73">
        <f>+IFERROR(VLOOKUP($A9,'Goals &amp; Budget 2026'!$A$2:$EJ$49,68,FALSE),0)</f>
        <v>0</v>
      </c>
      <c r="AA9" s="84" t="str">
        <f t="shared" si="9"/>
        <v>***</v>
      </c>
      <c r="AB9" s="73"/>
      <c r="AC9" s="73">
        <f>+IFERROR(VLOOKUP($A9,'Goals &amp; Budget 2026'!$A$2:$EJ$49,69,FALSE),0)</f>
        <v>0</v>
      </c>
      <c r="AD9" s="84" t="str">
        <f t="shared" si="10"/>
        <v>***</v>
      </c>
      <c r="AE9" s="73"/>
      <c r="AF9" s="73">
        <f>+IFERROR(VLOOKUP($A9,'Goals &amp; Budget 2026'!$A$2:$EJ$49,70,FALSE),0)</f>
        <v>0</v>
      </c>
      <c r="AG9" s="231" t="str">
        <f t="shared" si="11"/>
        <v>***</v>
      </c>
      <c r="AH9" s="73"/>
      <c r="AI9" s="73">
        <f>+IFERROR(VLOOKUP($A9,'Goals &amp; Budget 2026'!$A$2:$EJ$49,71,FALSE),0)</f>
        <v>0</v>
      </c>
      <c r="AJ9" s="84" t="str">
        <f t="shared" si="12"/>
        <v>***</v>
      </c>
      <c r="AK9" s="73"/>
      <c r="AL9" s="73">
        <f>+IFERROR(VLOOKUP($A9,'Goals &amp; Budget 2026'!$A$2:$EJ$49,72,FALSE),0)</f>
        <v>0</v>
      </c>
      <c r="AM9" s="84" t="str">
        <f t="shared" si="13"/>
        <v>***</v>
      </c>
      <c r="AN9" s="73"/>
      <c r="AO9" s="73">
        <f>+IFERROR(VLOOKUP($A9,'Goals &amp; Budget 2026'!$A$2:$EJ$49,73,FALSE),0)</f>
        <v>0</v>
      </c>
      <c r="AP9" s="85" t="str">
        <f t="shared" si="14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0">
        <f t="shared" si="0"/>
        <v>0</v>
      </c>
      <c r="E10" s="73">
        <f t="shared" si="1"/>
        <v>0</v>
      </c>
      <c r="F10" s="231" t="str">
        <f t="shared" si="2"/>
        <v>***</v>
      </c>
      <c r="G10" s="73"/>
      <c r="H10" s="73">
        <f>+IFERROR(VLOOKUP($A10,'Goals &amp; Budget 2026'!$A$2:$EJ$49,62,FALSE),0)</f>
        <v>0</v>
      </c>
      <c r="I10" s="84" t="str">
        <f t="shared" si="3"/>
        <v>***</v>
      </c>
      <c r="J10" s="73"/>
      <c r="K10" s="73">
        <f>+IFERROR(VLOOKUP($A10,'Goals &amp; Budget 2026'!$A$2:$EJ$49,63,FALSE),0)</f>
        <v>0</v>
      </c>
      <c r="L10" s="84" t="str">
        <f t="shared" si="4"/>
        <v>***</v>
      </c>
      <c r="M10" s="73"/>
      <c r="N10" s="73">
        <f>+IFERROR(VLOOKUP($A10,'Goals &amp; Budget 2026'!$A$2:$EJ$49,64,FALSE),0)</f>
        <v>0</v>
      </c>
      <c r="O10" s="231" t="str">
        <f t="shared" si="5"/>
        <v>***</v>
      </c>
      <c r="P10" s="73"/>
      <c r="Q10" s="73">
        <f>+IFERROR(VLOOKUP($A10,'Goals &amp; Budget 2026'!$A$2:$EJ$49,65,FALSE),0)</f>
        <v>0</v>
      </c>
      <c r="R10" s="84" t="str">
        <f t="shared" si="6"/>
        <v>***</v>
      </c>
      <c r="S10" s="73"/>
      <c r="T10" s="73">
        <f>+IFERROR(VLOOKUP($A10,'Goals &amp; Budget 2026'!$A$2:$EJ$49,66,FALSE),0)</f>
        <v>0</v>
      </c>
      <c r="U10" s="84" t="str">
        <f t="shared" si="7"/>
        <v>***</v>
      </c>
      <c r="V10" s="73"/>
      <c r="W10" s="73">
        <f>+IFERROR(VLOOKUP($A10,'Goals &amp; Budget 2026'!$A$2:$EJ$49,67,FALSE),0)</f>
        <v>0</v>
      </c>
      <c r="X10" s="231" t="str">
        <f t="shared" si="8"/>
        <v>***</v>
      </c>
      <c r="Y10" s="73"/>
      <c r="Z10" s="73">
        <f>+IFERROR(VLOOKUP($A10,'Goals &amp; Budget 2026'!$A$2:$EJ$49,68,FALSE),0)</f>
        <v>0</v>
      </c>
      <c r="AA10" s="84" t="str">
        <f t="shared" si="9"/>
        <v>***</v>
      </c>
      <c r="AB10" s="73"/>
      <c r="AC10" s="73">
        <f>+IFERROR(VLOOKUP($A10,'Goals &amp; Budget 2026'!$A$2:$EJ$49,69,FALSE),0)</f>
        <v>0</v>
      </c>
      <c r="AD10" s="84" t="str">
        <f t="shared" si="10"/>
        <v>***</v>
      </c>
      <c r="AE10" s="73"/>
      <c r="AF10" s="73">
        <f>+IFERROR(VLOOKUP($A10,'Goals &amp; Budget 2026'!$A$2:$EJ$49,70,FALSE),0)</f>
        <v>0</v>
      </c>
      <c r="AG10" s="231" t="str">
        <f t="shared" si="11"/>
        <v>***</v>
      </c>
      <c r="AH10" s="73"/>
      <c r="AI10" s="73">
        <f>+IFERROR(VLOOKUP($A10,'Goals &amp; Budget 2026'!$A$2:$EJ$49,71,FALSE),0)</f>
        <v>0</v>
      </c>
      <c r="AJ10" s="84" t="str">
        <f t="shared" si="12"/>
        <v>***</v>
      </c>
      <c r="AK10" s="73"/>
      <c r="AL10" s="73">
        <f>+IFERROR(VLOOKUP($A10,'Goals &amp; Budget 2026'!$A$2:$EJ$49,72,FALSE),0)</f>
        <v>0</v>
      </c>
      <c r="AM10" s="84" t="str">
        <f t="shared" si="13"/>
        <v>***</v>
      </c>
      <c r="AN10" s="73"/>
      <c r="AO10" s="73">
        <f>+IFERROR(VLOOKUP($A10,'Goals &amp; Budget 2026'!$A$2:$EJ$49,73,FALSE),0)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0">
        <f t="shared" si="0"/>
        <v>0</v>
      </c>
      <c r="E11" s="73">
        <f t="shared" si="1"/>
        <v>0</v>
      </c>
      <c r="F11" s="231" t="str">
        <f t="shared" si="2"/>
        <v>***</v>
      </c>
      <c r="G11" s="73"/>
      <c r="H11" s="73">
        <f>+IFERROR(VLOOKUP($A11,'Goals &amp; Budget 2026'!$A$2:$EJ$49,62,FALSE),0)</f>
        <v>0</v>
      </c>
      <c r="I11" s="84" t="str">
        <f t="shared" si="3"/>
        <v>***</v>
      </c>
      <c r="J11" s="73"/>
      <c r="K11" s="73">
        <f>+IFERROR(VLOOKUP($A11,'Goals &amp; Budget 2026'!$A$2:$EJ$49,63,FALSE),0)</f>
        <v>0</v>
      </c>
      <c r="L11" s="84" t="str">
        <f t="shared" si="4"/>
        <v>***</v>
      </c>
      <c r="M11" s="73"/>
      <c r="N11" s="73">
        <f>+IFERROR(VLOOKUP($A11,'Goals &amp; Budget 2026'!$A$2:$EJ$49,64,FALSE),0)</f>
        <v>0</v>
      </c>
      <c r="O11" s="231" t="str">
        <f t="shared" si="5"/>
        <v>***</v>
      </c>
      <c r="P11" s="73"/>
      <c r="Q11" s="73">
        <f>+IFERROR(VLOOKUP($A11,'Goals &amp; Budget 2026'!$A$2:$EJ$49,65,FALSE),0)</f>
        <v>0</v>
      </c>
      <c r="R11" s="84" t="str">
        <f t="shared" si="6"/>
        <v>***</v>
      </c>
      <c r="S11" s="73"/>
      <c r="T11" s="73">
        <f>+IFERROR(VLOOKUP($A11,'Goals &amp; Budget 2026'!$A$2:$EJ$49,66,FALSE),0)</f>
        <v>0</v>
      </c>
      <c r="U11" s="84" t="str">
        <f t="shared" si="7"/>
        <v>***</v>
      </c>
      <c r="V11" s="73"/>
      <c r="W11" s="73">
        <f>+IFERROR(VLOOKUP($A11,'Goals &amp; Budget 2026'!$A$2:$EJ$49,67,FALSE),0)</f>
        <v>0</v>
      </c>
      <c r="X11" s="231" t="str">
        <f t="shared" si="8"/>
        <v>***</v>
      </c>
      <c r="Y11" s="73"/>
      <c r="Z11" s="73">
        <f>+IFERROR(VLOOKUP($A11,'Goals &amp; Budget 2026'!$A$2:$EJ$49,68,FALSE),0)</f>
        <v>0</v>
      </c>
      <c r="AA11" s="84" t="str">
        <f t="shared" si="9"/>
        <v>***</v>
      </c>
      <c r="AB11" s="73"/>
      <c r="AC11" s="73">
        <f>+IFERROR(VLOOKUP($A11,'Goals &amp; Budget 2026'!$A$2:$EJ$49,69,FALSE),0)</f>
        <v>0</v>
      </c>
      <c r="AD11" s="84" t="str">
        <f t="shared" si="10"/>
        <v>***</v>
      </c>
      <c r="AE11" s="73"/>
      <c r="AF11" s="73">
        <f>+IFERROR(VLOOKUP($A11,'Goals &amp; Budget 2026'!$A$2:$EJ$49,70,FALSE),0)</f>
        <v>0</v>
      </c>
      <c r="AG11" s="231" t="str">
        <f t="shared" si="11"/>
        <v>***</v>
      </c>
      <c r="AH11" s="73"/>
      <c r="AI11" s="73">
        <f>+IFERROR(VLOOKUP($A11,'Goals &amp; Budget 2026'!$A$2:$EJ$49,71,FALSE),0)</f>
        <v>0</v>
      </c>
      <c r="AJ11" s="84" t="str">
        <f t="shared" si="12"/>
        <v>***</v>
      </c>
      <c r="AK11" s="73"/>
      <c r="AL11" s="73">
        <f>+IFERROR(VLOOKUP($A11,'Goals &amp; Budget 2026'!$A$2:$EJ$49,72,FALSE),0)</f>
        <v>0</v>
      </c>
      <c r="AM11" s="84" t="str">
        <f t="shared" si="13"/>
        <v>***</v>
      </c>
      <c r="AN11" s="73"/>
      <c r="AO11" s="73">
        <f>+IFERROR(VLOOKUP($A11,'Goals &amp; Budget 2026'!$A$2:$EJ$49,73,FALSE),0)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0">
        <f t="shared" si="0"/>
        <v>0</v>
      </c>
      <c r="E12" s="73">
        <f t="shared" si="1"/>
        <v>0</v>
      </c>
      <c r="F12" s="231" t="str">
        <f t="shared" si="2"/>
        <v>***</v>
      </c>
      <c r="G12" s="73"/>
      <c r="H12" s="73">
        <f>+IFERROR(VLOOKUP($A12,'Goals &amp; Budget 2026'!$A$2:$EJ$49,62,FALSE),0)</f>
        <v>0</v>
      </c>
      <c r="I12" s="84" t="str">
        <f t="shared" si="3"/>
        <v>***</v>
      </c>
      <c r="J12" s="73"/>
      <c r="K12" s="73">
        <f>+IFERROR(VLOOKUP($A12,'Goals &amp; Budget 2026'!$A$2:$EJ$49,63,FALSE),0)</f>
        <v>0</v>
      </c>
      <c r="L12" s="84" t="str">
        <f t="shared" si="4"/>
        <v>***</v>
      </c>
      <c r="M12" s="73"/>
      <c r="N12" s="73">
        <f>+IFERROR(VLOOKUP($A12,'Goals &amp; Budget 2026'!$A$2:$EJ$49,64,FALSE),0)</f>
        <v>0</v>
      </c>
      <c r="O12" s="231" t="str">
        <f t="shared" si="5"/>
        <v>***</v>
      </c>
      <c r="P12" s="73"/>
      <c r="Q12" s="73">
        <f>+IFERROR(VLOOKUP($A12,'Goals &amp; Budget 2026'!$A$2:$EJ$49,65,FALSE),0)</f>
        <v>0</v>
      </c>
      <c r="R12" s="84" t="str">
        <f t="shared" si="6"/>
        <v>***</v>
      </c>
      <c r="S12" s="73"/>
      <c r="T12" s="73">
        <f>+IFERROR(VLOOKUP($A12,'Goals &amp; Budget 2026'!$A$2:$EJ$49,66,FALSE),0)</f>
        <v>0</v>
      </c>
      <c r="U12" s="84" t="str">
        <f t="shared" si="7"/>
        <v>***</v>
      </c>
      <c r="V12" s="73"/>
      <c r="W12" s="73">
        <f>+IFERROR(VLOOKUP($A12,'Goals &amp; Budget 2026'!$A$2:$EJ$49,67,FALSE),0)</f>
        <v>0</v>
      </c>
      <c r="X12" s="231" t="str">
        <f t="shared" si="8"/>
        <v>***</v>
      </c>
      <c r="Y12" s="73"/>
      <c r="Z12" s="73">
        <f>+IFERROR(VLOOKUP($A12,'Goals &amp; Budget 2026'!$A$2:$EJ$49,68,FALSE),0)</f>
        <v>0</v>
      </c>
      <c r="AA12" s="84" t="str">
        <f t="shared" si="9"/>
        <v>***</v>
      </c>
      <c r="AB12" s="73"/>
      <c r="AC12" s="73">
        <f>+IFERROR(VLOOKUP($A12,'Goals &amp; Budget 2026'!$A$2:$EJ$49,69,FALSE),0)</f>
        <v>0</v>
      </c>
      <c r="AD12" s="84" t="str">
        <f t="shared" si="10"/>
        <v>***</v>
      </c>
      <c r="AE12" s="73"/>
      <c r="AF12" s="73">
        <f>+IFERROR(VLOOKUP($A12,'Goals &amp; Budget 2026'!$A$2:$EJ$49,70,FALSE),0)</f>
        <v>0</v>
      </c>
      <c r="AG12" s="231" t="str">
        <f t="shared" si="11"/>
        <v>***</v>
      </c>
      <c r="AH12" s="73"/>
      <c r="AI12" s="73">
        <f>+IFERROR(VLOOKUP($A12,'Goals &amp; Budget 2026'!$A$2:$EJ$49,71,FALSE),0)</f>
        <v>0</v>
      </c>
      <c r="AJ12" s="84" t="str">
        <f t="shared" si="12"/>
        <v>***</v>
      </c>
      <c r="AK12" s="73"/>
      <c r="AL12" s="73">
        <f>+IFERROR(VLOOKUP($A12,'Goals &amp; Budget 2026'!$A$2:$EJ$49,72,FALSE),0)</f>
        <v>0</v>
      </c>
      <c r="AM12" s="84" t="str">
        <f t="shared" si="13"/>
        <v>***</v>
      </c>
      <c r="AN12" s="73"/>
      <c r="AO12" s="73">
        <f>+IFERROR(VLOOKUP($A12,'Goals &amp; Budget 2026'!$A$2:$EJ$49,73,FALSE),0)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0">
        <f t="shared" si="0"/>
        <v>0</v>
      </c>
      <c r="E13" s="73">
        <f t="shared" si="1"/>
        <v>0</v>
      </c>
      <c r="F13" s="231" t="str">
        <f t="shared" si="2"/>
        <v>***</v>
      </c>
      <c r="G13" s="73"/>
      <c r="H13" s="73">
        <f>+IFERROR(VLOOKUP($A13,'Goals &amp; Budget 2026'!$A$2:$EJ$49,62,FALSE),0)</f>
        <v>0</v>
      </c>
      <c r="I13" s="84" t="str">
        <f t="shared" si="3"/>
        <v>***</v>
      </c>
      <c r="J13" s="73"/>
      <c r="K13" s="73">
        <f>+IFERROR(VLOOKUP($A13,'Goals &amp; Budget 2026'!$A$2:$EJ$49,63,FALSE),0)</f>
        <v>0</v>
      </c>
      <c r="L13" s="84" t="str">
        <f t="shared" si="4"/>
        <v>***</v>
      </c>
      <c r="M13" s="73"/>
      <c r="N13" s="73">
        <f>+IFERROR(VLOOKUP($A13,'Goals &amp; Budget 2026'!$A$2:$EJ$49,64,FALSE),0)</f>
        <v>0</v>
      </c>
      <c r="O13" s="231" t="str">
        <f t="shared" si="5"/>
        <v>***</v>
      </c>
      <c r="P13" s="73"/>
      <c r="Q13" s="73">
        <f>+IFERROR(VLOOKUP($A13,'Goals &amp; Budget 2026'!$A$2:$EJ$49,65,FALSE),0)</f>
        <v>0</v>
      </c>
      <c r="R13" s="84" t="str">
        <f t="shared" si="6"/>
        <v>***</v>
      </c>
      <c r="S13" s="73"/>
      <c r="T13" s="73">
        <f>+IFERROR(VLOOKUP($A13,'Goals &amp; Budget 2026'!$A$2:$EJ$49,66,FALSE),0)</f>
        <v>0</v>
      </c>
      <c r="U13" s="84" t="str">
        <f t="shared" si="7"/>
        <v>***</v>
      </c>
      <c r="V13" s="73"/>
      <c r="W13" s="73">
        <f>+IFERROR(VLOOKUP($A13,'Goals &amp; Budget 2026'!$A$2:$EJ$49,67,FALSE),0)</f>
        <v>0</v>
      </c>
      <c r="X13" s="231" t="str">
        <f t="shared" si="8"/>
        <v>***</v>
      </c>
      <c r="Y13" s="73"/>
      <c r="Z13" s="73">
        <f>+IFERROR(VLOOKUP($A13,'Goals &amp; Budget 2026'!$A$2:$EJ$49,68,FALSE),0)</f>
        <v>0</v>
      </c>
      <c r="AA13" s="84" t="str">
        <f t="shared" si="9"/>
        <v>***</v>
      </c>
      <c r="AB13" s="73"/>
      <c r="AC13" s="73">
        <f>+IFERROR(VLOOKUP($A13,'Goals &amp; Budget 2026'!$A$2:$EJ$49,69,FALSE),0)</f>
        <v>0</v>
      </c>
      <c r="AD13" s="84" t="str">
        <f t="shared" si="10"/>
        <v>***</v>
      </c>
      <c r="AE13" s="73"/>
      <c r="AF13" s="73">
        <f>+IFERROR(VLOOKUP($A13,'Goals &amp; Budget 2026'!$A$2:$EJ$49,70,FALSE),0)</f>
        <v>0</v>
      </c>
      <c r="AG13" s="231" t="str">
        <f t="shared" si="11"/>
        <v>***</v>
      </c>
      <c r="AH13" s="73"/>
      <c r="AI13" s="73">
        <f>+IFERROR(VLOOKUP($A13,'Goals &amp; Budget 2026'!$A$2:$EJ$49,71,FALSE),0)</f>
        <v>0</v>
      </c>
      <c r="AJ13" s="84" t="str">
        <f t="shared" si="12"/>
        <v>***</v>
      </c>
      <c r="AK13" s="73"/>
      <c r="AL13" s="73">
        <f>+IFERROR(VLOOKUP($A13,'Goals &amp; Budget 2026'!$A$2:$EJ$49,72,FALSE),0)</f>
        <v>0</v>
      </c>
      <c r="AM13" s="84" t="str">
        <f t="shared" si="13"/>
        <v>***</v>
      </c>
      <c r="AN13" s="73"/>
      <c r="AO13" s="73">
        <f>+IFERROR(VLOOKUP($A13,'Goals &amp; Budget 2026'!$A$2:$EJ$49,73,FALSE),0)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0">
        <f t="shared" si="0"/>
        <v>0</v>
      </c>
      <c r="E14" s="73">
        <f t="shared" si="1"/>
        <v>0</v>
      </c>
      <c r="F14" s="231" t="str">
        <f t="shared" si="2"/>
        <v>***</v>
      </c>
      <c r="G14" s="73"/>
      <c r="H14" s="73">
        <f>+IFERROR(VLOOKUP($A14,'Goals &amp; Budget 2026'!$A$2:$EJ$49,62,FALSE),0)</f>
        <v>0</v>
      </c>
      <c r="I14" s="84" t="str">
        <f t="shared" si="3"/>
        <v>***</v>
      </c>
      <c r="J14" s="73"/>
      <c r="K14" s="73">
        <f>+IFERROR(VLOOKUP($A14,'Goals &amp; Budget 2026'!$A$2:$EJ$49,63,FALSE),0)</f>
        <v>0</v>
      </c>
      <c r="L14" s="84" t="str">
        <f t="shared" si="4"/>
        <v>***</v>
      </c>
      <c r="M14" s="73"/>
      <c r="N14" s="73">
        <f>+IFERROR(VLOOKUP($A14,'Goals &amp; Budget 2026'!$A$2:$EJ$49,64,FALSE),0)</f>
        <v>0</v>
      </c>
      <c r="O14" s="231" t="str">
        <f t="shared" si="5"/>
        <v>***</v>
      </c>
      <c r="P14" s="73"/>
      <c r="Q14" s="73">
        <f>+IFERROR(VLOOKUP($A14,'Goals &amp; Budget 2026'!$A$2:$EJ$49,65,FALSE),0)</f>
        <v>0</v>
      </c>
      <c r="R14" s="84" t="str">
        <f t="shared" si="6"/>
        <v>***</v>
      </c>
      <c r="S14" s="73"/>
      <c r="T14" s="73">
        <f>+IFERROR(VLOOKUP($A14,'Goals &amp; Budget 2026'!$A$2:$EJ$49,66,FALSE),0)</f>
        <v>0</v>
      </c>
      <c r="U14" s="84" t="str">
        <f t="shared" si="7"/>
        <v>***</v>
      </c>
      <c r="V14" s="73"/>
      <c r="W14" s="73">
        <f>+IFERROR(VLOOKUP($A14,'Goals &amp; Budget 2026'!$A$2:$EJ$49,67,FALSE),0)</f>
        <v>0</v>
      </c>
      <c r="X14" s="231" t="str">
        <f t="shared" si="8"/>
        <v>***</v>
      </c>
      <c r="Y14" s="73"/>
      <c r="Z14" s="73">
        <f>+IFERROR(VLOOKUP($A14,'Goals &amp; Budget 2026'!$A$2:$EJ$49,68,FALSE),0)</f>
        <v>0</v>
      </c>
      <c r="AA14" s="84" t="str">
        <f t="shared" si="9"/>
        <v>***</v>
      </c>
      <c r="AB14" s="73"/>
      <c r="AC14" s="73">
        <f>+IFERROR(VLOOKUP($A14,'Goals &amp; Budget 2026'!$A$2:$EJ$49,69,FALSE),0)</f>
        <v>0</v>
      </c>
      <c r="AD14" s="84" t="str">
        <f t="shared" si="10"/>
        <v>***</v>
      </c>
      <c r="AE14" s="73"/>
      <c r="AF14" s="73">
        <f>+IFERROR(VLOOKUP($A14,'Goals &amp; Budget 2026'!$A$2:$EJ$49,70,FALSE),0)</f>
        <v>0</v>
      </c>
      <c r="AG14" s="231" t="str">
        <f t="shared" si="11"/>
        <v>***</v>
      </c>
      <c r="AH14" s="73"/>
      <c r="AI14" s="73">
        <f>+IFERROR(VLOOKUP($A14,'Goals &amp; Budget 2026'!$A$2:$EJ$49,71,FALSE),0)</f>
        <v>0</v>
      </c>
      <c r="AJ14" s="84" t="str">
        <f t="shared" si="12"/>
        <v>***</v>
      </c>
      <c r="AK14" s="73"/>
      <c r="AL14" s="73">
        <f>+IFERROR(VLOOKUP($A14,'Goals &amp; Budget 2026'!$A$2:$EJ$49,72,FALSE),0)</f>
        <v>0</v>
      </c>
      <c r="AM14" s="84" t="str">
        <f t="shared" si="13"/>
        <v>***</v>
      </c>
      <c r="AN14" s="73"/>
      <c r="AO14" s="73">
        <f>+IFERROR(VLOOKUP($A14,'Goals &amp; Budget 2026'!$A$2:$EJ$49,73,FALSE),0)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0">
        <f t="shared" si="0"/>
        <v>0</v>
      </c>
      <c r="E15" s="73">
        <f t="shared" si="1"/>
        <v>0</v>
      </c>
      <c r="F15" s="231" t="str">
        <f t="shared" si="2"/>
        <v>***</v>
      </c>
      <c r="G15" s="73"/>
      <c r="H15" s="73">
        <f>+IFERROR(VLOOKUP($A15,'Goals &amp; Budget 2026'!$A$2:$EJ$49,62,FALSE),0)</f>
        <v>0</v>
      </c>
      <c r="I15" s="84" t="str">
        <f t="shared" si="3"/>
        <v>***</v>
      </c>
      <c r="J15" s="73"/>
      <c r="K15" s="73">
        <f>+IFERROR(VLOOKUP($A15,'Goals &amp; Budget 2026'!$A$2:$EJ$49,63,FALSE),0)</f>
        <v>0</v>
      </c>
      <c r="L15" s="84" t="str">
        <f t="shared" si="4"/>
        <v>***</v>
      </c>
      <c r="M15" s="73"/>
      <c r="N15" s="73">
        <f>+IFERROR(VLOOKUP($A15,'Goals &amp; Budget 2026'!$A$2:$EJ$49,64,FALSE),0)</f>
        <v>0</v>
      </c>
      <c r="O15" s="231" t="str">
        <f t="shared" si="5"/>
        <v>***</v>
      </c>
      <c r="P15" s="73"/>
      <c r="Q15" s="73">
        <f>+IFERROR(VLOOKUP($A15,'Goals &amp; Budget 2026'!$A$2:$EJ$49,65,FALSE),0)</f>
        <v>0</v>
      </c>
      <c r="R15" s="84" t="str">
        <f t="shared" si="6"/>
        <v>***</v>
      </c>
      <c r="S15" s="73"/>
      <c r="T15" s="73">
        <f>+IFERROR(VLOOKUP($A15,'Goals &amp; Budget 2026'!$A$2:$EJ$49,66,FALSE),0)</f>
        <v>0</v>
      </c>
      <c r="U15" s="84" t="str">
        <f t="shared" si="7"/>
        <v>***</v>
      </c>
      <c r="V15" s="73"/>
      <c r="W15" s="73">
        <f>+IFERROR(VLOOKUP($A15,'Goals &amp; Budget 2026'!$A$2:$EJ$49,67,FALSE),0)</f>
        <v>0</v>
      </c>
      <c r="X15" s="231" t="str">
        <f t="shared" si="8"/>
        <v>***</v>
      </c>
      <c r="Y15" s="73"/>
      <c r="Z15" s="73">
        <f>+IFERROR(VLOOKUP($A15,'Goals &amp; Budget 2026'!$A$2:$EJ$49,68,FALSE),0)</f>
        <v>0</v>
      </c>
      <c r="AA15" s="84" t="str">
        <f t="shared" si="9"/>
        <v>***</v>
      </c>
      <c r="AB15" s="73"/>
      <c r="AC15" s="73">
        <f>+IFERROR(VLOOKUP($A15,'Goals &amp; Budget 2026'!$A$2:$EJ$49,69,FALSE),0)</f>
        <v>0</v>
      </c>
      <c r="AD15" s="84" t="str">
        <f t="shared" si="10"/>
        <v>***</v>
      </c>
      <c r="AE15" s="73"/>
      <c r="AF15" s="73">
        <f>+IFERROR(VLOOKUP($A15,'Goals &amp; Budget 2026'!$A$2:$EJ$49,70,FALSE),0)</f>
        <v>0</v>
      </c>
      <c r="AG15" s="231" t="str">
        <f t="shared" si="11"/>
        <v>***</v>
      </c>
      <c r="AH15" s="73"/>
      <c r="AI15" s="73">
        <f>+IFERROR(VLOOKUP($A15,'Goals &amp; Budget 2026'!$A$2:$EJ$49,71,FALSE),0)</f>
        <v>0</v>
      </c>
      <c r="AJ15" s="84" t="str">
        <f t="shared" si="12"/>
        <v>***</v>
      </c>
      <c r="AK15" s="73"/>
      <c r="AL15" s="73">
        <f>+IFERROR(VLOOKUP($A15,'Goals &amp; Budget 2026'!$A$2:$EJ$49,72,FALSE),0)</f>
        <v>0</v>
      </c>
      <c r="AM15" s="84" t="str">
        <f t="shared" si="13"/>
        <v>***</v>
      </c>
      <c r="AN15" s="73"/>
      <c r="AO15" s="73">
        <f>+IFERROR(VLOOKUP($A15,'Goals &amp; Budget 2026'!$A$2:$EJ$49,73,FALSE),0)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0">
        <f t="shared" si="0"/>
        <v>0</v>
      </c>
      <c r="E16" s="73">
        <f t="shared" si="1"/>
        <v>0</v>
      </c>
      <c r="F16" s="231" t="str">
        <f t="shared" si="2"/>
        <v>***</v>
      </c>
      <c r="G16" s="73"/>
      <c r="H16" s="73">
        <f>+IFERROR(VLOOKUP($A16,'Goals &amp; Budget 2026'!$A$2:$EJ$49,62,FALSE),0)</f>
        <v>0</v>
      </c>
      <c r="I16" s="84" t="str">
        <f t="shared" si="3"/>
        <v>***</v>
      </c>
      <c r="J16" s="73"/>
      <c r="K16" s="73">
        <f>+IFERROR(VLOOKUP($A16,'Goals &amp; Budget 2026'!$A$2:$EJ$49,63,FALSE),0)</f>
        <v>0</v>
      </c>
      <c r="L16" s="84" t="str">
        <f t="shared" si="4"/>
        <v>***</v>
      </c>
      <c r="M16" s="73"/>
      <c r="N16" s="73">
        <f>+IFERROR(VLOOKUP($A16,'Goals &amp; Budget 2026'!$A$2:$EJ$49,64,FALSE),0)</f>
        <v>0</v>
      </c>
      <c r="O16" s="231" t="str">
        <f t="shared" si="5"/>
        <v>***</v>
      </c>
      <c r="P16" s="73"/>
      <c r="Q16" s="73">
        <f>+IFERROR(VLOOKUP($A16,'Goals &amp; Budget 2026'!$A$2:$EJ$49,65,FALSE),0)</f>
        <v>0</v>
      </c>
      <c r="R16" s="84" t="str">
        <f t="shared" si="6"/>
        <v>***</v>
      </c>
      <c r="S16" s="73"/>
      <c r="T16" s="73">
        <f>+IFERROR(VLOOKUP($A16,'Goals &amp; Budget 2026'!$A$2:$EJ$49,66,FALSE),0)</f>
        <v>0</v>
      </c>
      <c r="U16" s="84" t="str">
        <f t="shared" si="7"/>
        <v>***</v>
      </c>
      <c r="V16" s="73"/>
      <c r="W16" s="73">
        <f>+IFERROR(VLOOKUP($A16,'Goals &amp; Budget 2026'!$A$2:$EJ$49,67,FALSE),0)</f>
        <v>0</v>
      </c>
      <c r="X16" s="231" t="str">
        <f t="shared" si="8"/>
        <v>***</v>
      </c>
      <c r="Y16" s="73"/>
      <c r="Z16" s="73">
        <f>+IFERROR(VLOOKUP($A16,'Goals &amp; Budget 2026'!$A$2:$EJ$49,68,FALSE),0)</f>
        <v>0</v>
      </c>
      <c r="AA16" s="84" t="str">
        <f t="shared" si="9"/>
        <v>***</v>
      </c>
      <c r="AB16" s="73"/>
      <c r="AC16" s="73">
        <f>+IFERROR(VLOOKUP($A16,'Goals &amp; Budget 2026'!$A$2:$EJ$49,69,FALSE),0)</f>
        <v>0</v>
      </c>
      <c r="AD16" s="84" t="str">
        <f t="shared" si="10"/>
        <v>***</v>
      </c>
      <c r="AE16" s="73"/>
      <c r="AF16" s="73">
        <f>+IFERROR(VLOOKUP($A16,'Goals &amp; Budget 2026'!$A$2:$EJ$49,70,FALSE),0)</f>
        <v>0</v>
      </c>
      <c r="AG16" s="231" t="str">
        <f t="shared" si="11"/>
        <v>***</v>
      </c>
      <c r="AH16" s="73"/>
      <c r="AI16" s="73">
        <f>+IFERROR(VLOOKUP($A16,'Goals &amp; Budget 2026'!$A$2:$EJ$49,71,FALSE),0)</f>
        <v>0</v>
      </c>
      <c r="AJ16" s="84" t="str">
        <f t="shared" si="12"/>
        <v>***</v>
      </c>
      <c r="AK16" s="73"/>
      <c r="AL16" s="73">
        <f>+IFERROR(VLOOKUP($A16,'Goals &amp; Budget 2026'!$A$2:$EJ$49,72,FALSE),0)</f>
        <v>0</v>
      </c>
      <c r="AM16" s="84" t="str">
        <f t="shared" si="13"/>
        <v>***</v>
      </c>
      <c r="AN16" s="73"/>
      <c r="AO16" s="73">
        <f>+IFERROR(VLOOKUP($A16,'Goals &amp; Budget 2026'!$A$2:$EJ$49,73,FALSE),0)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0">
        <f t="shared" si="0"/>
        <v>0</v>
      </c>
      <c r="E17" s="73">
        <f t="shared" si="1"/>
        <v>0</v>
      </c>
      <c r="F17" s="231" t="str">
        <f t="shared" si="2"/>
        <v>***</v>
      </c>
      <c r="G17" s="73"/>
      <c r="H17" s="73">
        <f>+IFERROR(VLOOKUP($A17,'Goals &amp; Budget 2026'!$A$2:$EJ$49,62,FALSE),0)</f>
        <v>0</v>
      </c>
      <c r="I17" s="84" t="str">
        <f t="shared" si="3"/>
        <v>***</v>
      </c>
      <c r="J17" s="73"/>
      <c r="K17" s="73">
        <f>+IFERROR(VLOOKUP($A17,'Goals &amp; Budget 2026'!$A$2:$EJ$49,63,FALSE),0)</f>
        <v>0</v>
      </c>
      <c r="L17" s="84" t="str">
        <f t="shared" si="4"/>
        <v>***</v>
      </c>
      <c r="M17" s="73"/>
      <c r="N17" s="73">
        <f>+IFERROR(VLOOKUP($A17,'Goals &amp; Budget 2026'!$A$2:$EJ$49,64,FALSE),0)</f>
        <v>0</v>
      </c>
      <c r="O17" s="231" t="str">
        <f t="shared" si="5"/>
        <v>***</v>
      </c>
      <c r="P17" s="73"/>
      <c r="Q17" s="73">
        <f>+IFERROR(VLOOKUP($A17,'Goals &amp; Budget 2026'!$A$2:$EJ$49,65,FALSE),0)</f>
        <v>0</v>
      </c>
      <c r="R17" s="84" t="str">
        <f t="shared" si="6"/>
        <v>***</v>
      </c>
      <c r="S17" s="73"/>
      <c r="T17" s="73">
        <f>+IFERROR(VLOOKUP($A17,'Goals &amp; Budget 2026'!$A$2:$EJ$49,66,FALSE),0)</f>
        <v>0</v>
      </c>
      <c r="U17" s="84" t="str">
        <f t="shared" si="7"/>
        <v>***</v>
      </c>
      <c r="V17" s="73"/>
      <c r="W17" s="73">
        <f>+IFERROR(VLOOKUP($A17,'Goals &amp; Budget 2026'!$A$2:$EJ$49,67,FALSE),0)</f>
        <v>0</v>
      </c>
      <c r="X17" s="231" t="str">
        <f t="shared" si="8"/>
        <v>***</v>
      </c>
      <c r="Y17" s="73"/>
      <c r="Z17" s="73">
        <f>+IFERROR(VLOOKUP($A17,'Goals &amp; Budget 2026'!$A$2:$EJ$49,68,FALSE),0)</f>
        <v>0</v>
      </c>
      <c r="AA17" s="84" t="str">
        <f t="shared" si="9"/>
        <v>***</v>
      </c>
      <c r="AB17" s="73"/>
      <c r="AC17" s="73">
        <f>+IFERROR(VLOOKUP($A17,'Goals &amp; Budget 2026'!$A$2:$EJ$49,69,FALSE),0)</f>
        <v>0</v>
      </c>
      <c r="AD17" s="84" t="str">
        <f t="shared" si="10"/>
        <v>***</v>
      </c>
      <c r="AE17" s="73"/>
      <c r="AF17" s="73">
        <f>+IFERROR(VLOOKUP($A17,'Goals &amp; Budget 2026'!$A$2:$EJ$49,70,FALSE),0)</f>
        <v>0</v>
      </c>
      <c r="AG17" s="231" t="str">
        <f t="shared" si="11"/>
        <v>***</v>
      </c>
      <c r="AH17" s="73"/>
      <c r="AI17" s="73">
        <f>+IFERROR(VLOOKUP($A17,'Goals &amp; Budget 2026'!$A$2:$EJ$49,71,FALSE),0)</f>
        <v>0</v>
      </c>
      <c r="AJ17" s="84" t="str">
        <f t="shared" si="12"/>
        <v>***</v>
      </c>
      <c r="AK17" s="73"/>
      <c r="AL17" s="73">
        <f>+IFERROR(VLOOKUP($A17,'Goals &amp; Budget 2026'!$A$2:$EJ$49,72,FALSE),0)</f>
        <v>0</v>
      </c>
      <c r="AM17" s="84" t="str">
        <f t="shared" si="13"/>
        <v>***</v>
      </c>
      <c r="AN17" s="73"/>
      <c r="AO17" s="73">
        <f>+IFERROR(VLOOKUP($A17,'Goals &amp; Budget 2026'!$A$2:$EJ$49,73,FALSE),0)</f>
        <v>0</v>
      </c>
      <c r="AP17" s="85" t="str">
        <f t="shared" si="14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0">
        <f t="shared" si="0"/>
        <v>0</v>
      </c>
      <c r="E18" s="73">
        <f t="shared" si="1"/>
        <v>0</v>
      </c>
      <c r="F18" s="231" t="str">
        <f t="shared" si="2"/>
        <v>***</v>
      </c>
      <c r="G18" s="73"/>
      <c r="H18" s="73">
        <f>+IFERROR(VLOOKUP($A18,'Goals &amp; Budget 2026'!$A$2:$EJ$49,62,FALSE),0)</f>
        <v>0</v>
      </c>
      <c r="I18" s="84" t="str">
        <f t="shared" si="3"/>
        <v>***</v>
      </c>
      <c r="J18" s="73"/>
      <c r="K18" s="73">
        <f>+IFERROR(VLOOKUP($A18,'Goals &amp; Budget 2026'!$A$2:$EJ$49,63,FALSE),0)</f>
        <v>0</v>
      </c>
      <c r="L18" s="84" t="str">
        <f t="shared" si="4"/>
        <v>***</v>
      </c>
      <c r="M18" s="73"/>
      <c r="N18" s="73">
        <f>+IFERROR(VLOOKUP($A18,'Goals &amp; Budget 2026'!$A$2:$EJ$49,64,FALSE),0)</f>
        <v>0</v>
      </c>
      <c r="O18" s="231" t="str">
        <f t="shared" si="5"/>
        <v>***</v>
      </c>
      <c r="P18" s="73"/>
      <c r="Q18" s="73">
        <f>+IFERROR(VLOOKUP($A18,'Goals &amp; Budget 2026'!$A$2:$EJ$49,65,FALSE),0)</f>
        <v>0</v>
      </c>
      <c r="R18" s="84" t="str">
        <f t="shared" si="6"/>
        <v>***</v>
      </c>
      <c r="S18" s="73"/>
      <c r="T18" s="73">
        <f>+IFERROR(VLOOKUP($A18,'Goals &amp; Budget 2026'!$A$2:$EJ$49,66,FALSE),0)</f>
        <v>0</v>
      </c>
      <c r="U18" s="84" t="str">
        <f t="shared" si="7"/>
        <v>***</v>
      </c>
      <c r="V18" s="73"/>
      <c r="W18" s="73">
        <f>+IFERROR(VLOOKUP($A18,'Goals &amp; Budget 2026'!$A$2:$EJ$49,67,FALSE),0)</f>
        <v>0</v>
      </c>
      <c r="X18" s="231" t="str">
        <f t="shared" si="8"/>
        <v>***</v>
      </c>
      <c r="Y18" s="73"/>
      <c r="Z18" s="73">
        <f>+IFERROR(VLOOKUP($A18,'Goals &amp; Budget 2026'!$A$2:$EJ$49,68,FALSE),0)</f>
        <v>0</v>
      </c>
      <c r="AA18" s="84" t="str">
        <f t="shared" si="9"/>
        <v>***</v>
      </c>
      <c r="AB18" s="73"/>
      <c r="AC18" s="73">
        <f>+IFERROR(VLOOKUP($A18,'Goals &amp; Budget 2026'!$A$2:$EJ$49,69,FALSE),0)</f>
        <v>0</v>
      </c>
      <c r="AD18" s="84" t="str">
        <f t="shared" si="10"/>
        <v>***</v>
      </c>
      <c r="AE18" s="73"/>
      <c r="AF18" s="73">
        <f>+IFERROR(VLOOKUP($A18,'Goals &amp; Budget 2026'!$A$2:$EJ$49,70,FALSE),0)</f>
        <v>0</v>
      </c>
      <c r="AG18" s="231" t="str">
        <f t="shared" si="11"/>
        <v>***</v>
      </c>
      <c r="AH18" s="73"/>
      <c r="AI18" s="73">
        <f>+IFERROR(VLOOKUP($A18,'Goals &amp; Budget 2026'!$A$2:$EJ$49,71,FALSE),0)</f>
        <v>0</v>
      </c>
      <c r="AJ18" s="84" t="str">
        <f t="shared" si="12"/>
        <v>***</v>
      </c>
      <c r="AK18" s="73"/>
      <c r="AL18" s="73">
        <f>+IFERROR(VLOOKUP($A18,'Goals &amp; Budget 2026'!$A$2:$EJ$49,72,FALSE),0)</f>
        <v>0</v>
      </c>
      <c r="AM18" s="84" t="str">
        <f t="shared" si="13"/>
        <v>***</v>
      </c>
      <c r="AN18" s="73"/>
      <c r="AO18" s="73">
        <f>+IFERROR(VLOOKUP($A18,'Goals &amp; Budget 2026'!$A$2:$EJ$49,73,FALSE),0)</f>
        <v>0</v>
      </c>
      <c r="AP18" s="85" t="str">
        <f t="shared" si="14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0">
        <f t="shared" si="0"/>
        <v>0</v>
      </c>
      <c r="E19" s="73">
        <f t="shared" si="1"/>
        <v>0</v>
      </c>
      <c r="F19" s="231" t="str">
        <f t="shared" si="2"/>
        <v>***</v>
      </c>
      <c r="G19" s="73"/>
      <c r="H19" s="73">
        <f>+IFERROR(VLOOKUP($A19,'Goals &amp; Budget 2026'!$A$2:$EJ$49,62,FALSE),0)</f>
        <v>0</v>
      </c>
      <c r="I19" s="84" t="str">
        <f t="shared" si="3"/>
        <v>***</v>
      </c>
      <c r="J19" s="73"/>
      <c r="K19" s="73">
        <f>+IFERROR(VLOOKUP($A19,'Goals &amp; Budget 2026'!$A$2:$EJ$49,63,FALSE),0)</f>
        <v>0</v>
      </c>
      <c r="L19" s="84" t="str">
        <f t="shared" si="4"/>
        <v>***</v>
      </c>
      <c r="M19" s="73"/>
      <c r="N19" s="73">
        <f>+IFERROR(VLOOKUP($A19,'Goals &amp; Budget 2026'!$A$2:$EJ$49,64,FALSE),0)</f>
        <v>0</v>
      </c>
      <c r="O19" s="231" t="str">
        <f t="shared" si="5"/>
        <v>***</v>
      </c>
      <c r="P19" s="73"/>
      <c r="Q19" s="73">
        <f>+IFERROR(VLOOKUP($A19,'Goals &amp; Budget 2026'!$A$2:$EJ$49,65,FALSE),0)</f>
        <v>0</v>
      </c>
      <c r="R19" s="84" t="str">
        <f t="shared" si="6"/>
        <v>***</v>
      </c>
      <c r="S19" s="73"/>
      <c r="T19" s="73">
        <f>+IFERROR(VLOOKUP($A19,'Goals &amp; Budget 2026'!$A$2:$EJ$49,66,FALSE),0)</f>
        <v>0</v>
      </c>
      <c r="U19" s="84" t="str">
        <f t="shared" si="7"/>
        <v>***</v>
      </c>
      <c r="V19" s="73"/>
      <c r="W19" s="73">
        <f>+IFERROR(VLOOKUP($A19,'Goals &amp; Budget 2026'!$A$2:$EJ$49,67,FALSE),0)</f>
        <v>0</v>
      </c>
      <c r="X19" s="231" t="str">
        <f t="shared" si="8"/>
        <v>***</v>
      </c>
      <c r="Y19" s="73"/>
      <c r="Z19" s="73">
        <f>+IFERROR(VLOOKUP($A19,'Goals &amp; Budget 2026'!$A$2:$EJ$49,68,FALSE),0)</f>
        <v>0</v>
      </c>
      <c r="AA19" s="84" t="str">
        <f t="shared" si="9"/>
        <v>***</v>
      </c>
      <c r="AB19" s="73"/>
      <c r="AC19" s="73">
        <f>+IFERROR(VLOOKUP($A19,'Goals &amp; Budget 2026'!$A$2:$EJ$49,69,FALSE),0)</f>
        <v>0</v>
      </c>
      <c r="AD19" s="84" t="str">
        <f t="shared" si="10"/>
        <v>***</v>
      </c>
      <c r="AE19" s="73"/>
      <c r="AF19" s="73">
        <f>+IFERROR(VLOOKUP($A19,'Goals &amp; Budget 2026'!$A$2:$EJ$49,70,FALSE),0)</f>
        <v>0</v>
      </c>
      <c r="AG19" s="231" t="str">
        <f t="shared" si="11"/>
        <v>***</v>
      </c>
      <c r="AH19" s="73"/>
      <c r="AI19" s="73">
        <f>+IFERROR(VLOOKUP($A19,'Goals &amp; Budget 2026'!$A$2:$EJ$49,71,FALSE),0)</f>
        <v>0</v>
      </c>
      <c r="AJ19" s="84" t="str">
        <f t="shared" si="12"/>
        <v>***</v>
      </c>
      <c r="AK19" s="73"/>
      <c r="AL19" s="73">
        <f>+IFERROR(VLOOKUP($A19,'Goals &amp; Budget 2026'!$A$2:$EJ$49,72,FALSE),0)</f>
        <v>0</v>
      </c>
      <c r="AM19" s="84" t="str">
        <f t="shared" si="13"/>
        <v>***</v>
      </c>
      <c r="AN19" s="73"/>
      <c r="AO19" s="73">
        <f>+IFERROR(VLOOKUP($A19,'Goals &amp; Budget 2026'!$A$2:$EJ$49,73,FALSE),0)</f>
        <v>0</v>
      </c>
      <c r="AP19" s="85" t="str">
        <f t="shared" si="14"/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0">
        <f t="shared" si="0"/>
        <v>0</v>
      </c>
      <c r="E20" s="73">
        <f t="shared" si="1"/>
        <v>0</v>
      </c>
      <c r="F20" s="231" t="str">
        <f t="shared" si="2"/>
        <v>***</v>
      </c>
      <c r="G20" s="73"/>
      <c r="H20" s="73">
        <f>+IFERROR(VLOOKUP($A20,'Goals &amp; Budget 2026'!$A$2:$EJ$49,62,FALSE),0)</f>
        <v>0</v>
      </c>
      <c r="I20" s="84" t="str">
        <f t="shared" si="3"/>
        <v>***</v>
      </c>
      <c r="J20" s="73"/>
      <c r="K20" s="73">
        <f>+IFERROR(VLOOKUP($A20,'Goals &amp; Budget 2026'!$A$2:$EJ$49,63,FALSE),0)</f>
        <v>0</v>
      </c>
      <c r="L20" s="84" t="str">
        <f t="shared" si="4"/>
        <v>***</v>
      </c>
      <c r="M20" s="73"/>
      <c r="N20" s="73">
        <f>+IFERROR(VLOOKUP($A20,'Goals &amp; Budget 2026'!$A$2:$EJ$49,64,FALSE),0)</f>
        <v>0</v>
      </c>
      <c r="O20" s="231" t="str">
        <f t="shared" si="5"/>
        <v>***</v>
      </c>
      <c r="P20" s="73"/>
      <c r="Q20" s="73">
        <f>+IFERROR(VLOOKUP($A20,'Goals &amp; Budget 2026'!$A$2:$EJ$49,65,FALSE),0)</f>
        <v>0</v>
      </c>
      <c r="R20" s="84" t="str">
        <f t="shared" si="6"/>
        <v>***</v>
      </c>
      <c r="S20" s="73"/>
      <c r="T20" s="73">
        <f>+IFERROR(VLOOKUP($A20,'Goals &amp; Budget 2026'!$A$2:$EJ$49,66,FALSE),0)</f>
        <v>0</v>
      </c>
      <c r="U20" s="84" t="str">
        <f t="shared" si="7"/>
        <v>***</v>
      </c>
      <c r="V20" s="73"/>
      <c r="W20" s="73">
        <f>+IFERROR(VLOOKUP($A20,'Goals &amp; Budget 2026'!$A$2:$EJ$49,67,FALSE),0)</f>
        <v>0</v>
      </c>
      <c r="X20" s="231" t="str">
        <f t="shared" si="8"/>
        <v>***</v>
      </c>
      <c r="Y20" s="73"/>
      <c r="Z20" s="73">
        <f>+IFERROR(VLOOKUP($A20,'Goals &amp; Budget 2026'!$A$2:$EJ$49,68,FALSE),0)</f>
        <v>0</v>
      </c>
      <c r="AA20" s="84" t="str">
        <f t="shared" si="9"/>
        <v>***</v>
      </c>
      <c r="AB20" s="73"/>
      <c r="AC20" s="73">
        <f>+IFERROR(VLOOKUP($A20,'Goals &amp; Budget 2026'!$A$2:$EJ$49,69,FALSE),0)</f>
        <v>0</v>
      </c>
      <c r="AD20" s="84" t="str">
        <f t="shared" si="10"/>
        <v>***</v>
      </c>
      <c r="AE20" s="73"/>
      <c r="AF20" s="73">
        <f>+IFERROR(VLOOKUP($A20,'Goals &amp; Budget 2026'!$A$2:$EJ$49,70,FALSE),0)</f>
        <v>0</v>
      </c>
      <c r="AG20" s="231" t="str">
        <f t="shared" si="11"/>
        <v>***</v>
      </c>
      <c r="AH20" s="73"/>
      <c r="AI20" s="73">
        <f>+IFERROR(VLOOKUP($A20,'Goals &amp; Budget 2026'!$A$2:$EJ$49,71,FALSE),0)</f>
        <v>0</v>
      </c>
      <c r="AJ20" s="84" t="str">
        <f t="shared" si="12"/>
        <v>***</v>
      </c>
      <c r="AK20" s="73"/>
      <c r="AL20" s="73">
        <f>+IFERROR(VLOOKUP($A20,'Goals &amp; Budget 2026'!$A$2:$EJ$49,72,FALSE),0)</f>
        <v>0</v>
      </c>
      <c r="AM20" s="84" t="str">
        <f t="shared" si="13"/>
        <v>***</v>
      </c>
      <c r="AN20" s="73"/>
      <c r="AO20" s="73">
        <f>+IFERROR(VLOOKUP($A20,'Goals &amp; Budget 2026'!$A$2:$EJ$49,73,FALSE),0)</f>
        <v>0</v>
      </c>
      <c r="AP20" s="85" t="str">
        <f t="shared" si="14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0">
        <f t="shared" si="0"/>
        <v>0</v>
      </c>
      <c r="E21" s="73">
        <f t="shared" si="1"/>
        <v>0</v>
      </c>
      <c r="F21" s="231" t="str">
        <f t="shared" si="2"/>
        <v>***</v>
      </c>
      <c r="G21" s="73"/>
      <c r="H21" s="73">
        <f>+IFERROR(VLOOKUP($A21,'Goals &amp; Budget 2026'!$A$2:$EJ$49,62,FALSE),0)</f>
        <v>0</v>
      </c>
      <c r="I21" s="84" t="str">
        <f t="shared" si="3"/>
        <v>***</v>
      </c>
      <c r="J21" s="73"/>
      <c r="K21" s="73">
        <f>+IFERROR(VLOOKUP($A21,'Goals &amp; Budget 2026'!$A$2:$EJ$49,63,FALSE),0)</f>
        <v>0</v>
      </c>
      <c r="L21" s="84" t="str">
        <f t="shared" si="4"/>
        <v>***</v>
      </c>
      <c r="M21" s="73"/>
      <c r="N21" s="73">
        <f>+IFERROR(VLOOKUP($A21,'Goals &amp; Budget 2026'!$A$2:$EJ$49,64,FALSE),0)</f>
        <v>0</v>
      </c>
      <c r="O21" s="231" t="str">
        <f t="shared" si="5"/>
        <v>***</v>
      </c>
      <c r="P21" s="73"/>
      <c r="Q21" s="73">
        <f>+IFERROR(VLOOKUP($A21,'Goals &amp; Budget 2026'!$A$2:$EJ$49,65,FALSE),0)</f>
        <v>0</v>
      </c>
      <c r="R21" s="84" t="str">
        <f t="shared" si="6"/>
        <v>***</v>
      </c>
      <c r="S21" s="73"/>
      <c r="T21" s="73">
        <f>+IFERROR(VLOOKUP($A21,'Goals &amp; Budget 2026'!$A$2:$EJ$49,66,FALSE),0)</f>
        <v>0</v>
      </c>
      <c r="U21" s="84" t="str">
        <f t="shared" si="7"/>
        <v>***</v>
      </c>
      <c r="V21" s="73"/>
      <c r="W21" s="73">
        <f>+IFERROR(VLOOKUP($A21,'Goals &amp; Budget 2026'!$A$2:$EJ$49,67,FALSE),0)</f>
        <v>0</v>
      </c>
      <c r="X21" s="231" t="str">
        <f t="shared" si="8"/>
        <v>***</v>
      </c>
      <c r="Y21" s="73"/>
      <c r="Z21" s="73">
        <f>+IFERROR(VLOOKUP($A21,'Goals &amp; Budget 2026'!$A$2:$EJ$49,68,FALSE),0)</f>
        <v>0</v>
      </c>
      <c r="AA21" s="84" t="str">
        <f t="shared" si="9"/>
        <v>***</v>
      </c>
      <c r="AB21" s="73"/>
      <c r="AC21" s="73">
        <f>+IFERROR(VLOOKUP($A21,'Goals &amp; Budget 2026'!$A$2:$EJ$49,69,FALSE),0)</f>
        <v>0</v>
      </c>
      <c r="AD21" s="84" t="str">
        <f t="shared" si="10"/>
        <v>***</v>
      </c>
      <c r="AE21" s="73"/>
      <c r="AF21" s="73">
        <f>+IFERROR(VLOOKUP($A21,'Goals &amp; Budget 2026'!$A$2:$EJ$49,70,FALSE),0)</f>
        <v>0</v>
      </c>
      <c r="AG21" s="231" t="str">
        <f t="shared" si="11"/>
        <v>***</v>
      </c>
      <c r="AH21" s="73"/>
      <c r="AI21" s="73">
        <f>+IFERROR(VLOOKUP($A21,'Goals &amp; Budget 2026'!$A$2:$EJ$49,71,FALSE),0)</f>
        <v>0</v>
      </c>
      <c r="AJ21" s="84" t="str">
        <f t="shared" si="12"/>
        <v>***</v>
      </c>
      <c r="AK21" s="73"/>
      <c r="AL21" s="73">
        <f>+IFERROR(VLOOKUP($A21,'Goals &amp; Budget 2026'!$A$2:$EJ$49,72,FALSE),0)</f>
        <v>0</v>
      </c>
      <c r="AM21" s="84" t="str">
        <f t="shared" si="13"/>
        <v>***</v>
      </c>
      <c r="AN21" s="73"/>
      <c r="AO21" s="73">
        <f>+IFERROR(VLOOKUP($A21,'Goals &amp; Budget 2026'!$A$2:$EJ$49,73,FALSE),0)</f>
        <v>0</v>
      </c>
      <c r="AP21" s="85" t="str">
        <f t="shared" si="14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0">
        <f t="shared" si="0"/>
        <v>0</v>
      </c>
      <c r="E22" s="73">
        <f t="shared" si="1"/>
        <v>0</v>
      </c>
      <c r="F22" s="231" t="str">
        <f t="shared" si="2"/>
        <v>***</v>
      </c>
      <c r="G22" s="73"/>
      <c r="H22" s="73">
        <f>+IFERROR(VLOOKUP($A22,'Goals &amp; Budget 2026'!$A$2:$EJ$49,62,FALSE),0)</f>
        <v>0</v>
      </c>
      <c r="I22" s="84" t="str">
        <f t="shared" si="3"/>
        <v>***</v>
      </c>
      <c r="J22" s="73"/>
      <c r="K22" s="73">
        <f>+IFERROR(VLOOKUP($A22,'Goals &amp; Budget 2026'!$A$2:$EJ$49,63,FALSE),0)</f>
        <v>0</v>
      </c>
      <c r="L22" s="84" t="str">
        <f t="shared" si="4"/>
        <v>***</v>
      </c>
      <c r="M22" s="73"/>
      <c r="N22" s="73">
        <f>+IFERROR(VLOOKUP($A22,'Goals &amp; Budget 2026'!$A$2:$EJ$49,64,FALSE),0)</f>
        <v>0</v>
      </c>
      <c r="O22" s="231" t="str">
        <f t="shared" si="5"/>
        <v>***</v>
      </c>
      <c r="P22" s="73"/>
      <c r="Q22" s="73">
        <f>+IFERROR(VLOOKUP($A22,'Goals &amp; Budget 2026'!$A$2:$EJ$49,65,FALSE),0)</f>
        <v>0</v>
      </c>
      <c r="R22" s="84" t="str">
        <f t="shared" si="6"/>
        <v>***</v>
      </c>
      <c r="S22" s="73"/>
      <c r="T22" s="73">
        <f>+IFERROR(VLOOKUP($A22,'Goals &amp; Budget 2026'!$A$2:$EJ$49,66,FALSE),0)</f>
        <v>0</v>
      </c>
      <c r="U22" s="84" t="str">
        <f t="shared" si="7"/>
        <v>***</v>
      </c>
      <c r="V22" s="73"/>
      <c r="W22" s="73">
        <f>+IFERROR(VLOOKUP($A22,'Goals &amp; Budget 2026'!$A$2:$EJ$49,67,FALSE),0)</f>
        <v>0</v>
      </c>
      <c r="X22" s="231" t="str">
        <f t="shared" si="8"/>
        <v>***</v>
      </c>
      <c r="Y22" s="73"/>
      <c r="Z22" s="73">
        <f>+IFERROR(VLOOKUP($A22,'Goals &amp; Budget 2026'!$A$2:$EJ$49,68,FALSE),0)</f>
        <v>0</v>
      </c>
      <c r="AA22" s="84" t="str">
        <f t="shared" si="9"/>
        <v>***</v>
      </c>
      <c r="AB22" s="73"/>
      <c r="AC22" s="73">
        <f>+IFERROR(VLOOKUP($A22,'Goals &amp; Budget 2026'!$A$2:$EJ$49,69,FALSE),0)</f>
        <v>0</v>
      </c>
      <c r="AD22" s="84" t="str">
        <f t="shared" si="10"/>
        <v>***</v>
      </c>
      <c r="AE22" s="73"/>
      <c r="AF22" s="73">
        <f>+IFERROR(VLOOKUP($A22,'Goals &amp; Budget 2026'!$A$2:$EJ$49,70,FALSE),0)</f>
        <v>0</v>
      </c>
      <c r="AG22" s="231" t="str">
        <f t="shared" si="11"/>
        <v>***</v>
      </c>
      <c r="AH22" s="73"/>
      <c r="AI22" s="73">
        <f>+IFERROR(VLOOKUP($A22,'Goals &amp; Budget 2026'!$A$2:$EJ$49,71,FALSE),0)</f>
        <v>0</v>
      </c>
      <c r="AJ22" s="84" t="str">
        <f t="shared" si="12"/>
        <v>***</v>
      </c>
      <c r="AK22" s="73"/>
      <c r="AL22" s="73">
        <f>+IFERROR(VLOOKUP($A22,'Goals &amp; Budget 2026'!$A$2:$EJ$49,72,FALSE),0)</f>
        <v>0</v>
      </c>
      <c r="AM22" s="84" t="str">
        <f t="shared" si="13"/>
        <v>***</v>
      </c>
      <c r="AN22" s="73"/>
      <c r="AO22" s="73">
        <f>+IFERROR(VLOOKUP($A22,'Goals &amp; Budget 2026'!$A$2:$EJ$49,73,FALSE),0)</f>
        <v>0</v>
      </c>
      <c r="AP22" s="85" t="str">
        <f t="shared" si="14"/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0">
        <f t="shared" si="0"/>
        <v>0</v>
      </c>
      <c r="E23" s="73">
        <f t="shared" si="1"/>
        <v>0</v>
      </c>
      <c r="F23" s="231" t="str">
        <f t="shared" si="2"/>
        <v>***</v>
      </c>
      <c r="G23" s="73"/>
      <c r="H23" s="73">
        <f>+IFERROR(VLOOKUP($A23,'Goals &amp; Budget 2026'!$A$2:$EJ$49,62,FALSE),0)</f>
        <v>0</v>
      </c>
      <c r="I23" s="84" t="str">
        <f t="shared" si="3"/>
        <v>***</v>
      </c>
      <c r="J23" s="73"/>
      <c r="K23" s="73">
        <f>+IFERROR(VLOOKUP($A23,'Goals &amp; Budget 2026'!$A$2:$EJ$49,63,FALSE),0)</f>
        <v>0</v>
      </c>
      <c r="L23" s="84" t="str">
        <f t="shared" si="4"/>
        <v>***</v>
      </c>
      <c r="M23" s="73"/>
      <c r="N23" s="73">
        <f>+IFERROR(VLOOKUP($A23,'Goals &amp; Budget 2026'!$A$2:$EJ$49,64,FALSE),0)</f>
        <v>0</v>
      </c>
      <c r="O23" s="231" t="str">
        <f t="shared" si="5"/>
        <v>***</v>
      </c>
      <c r="P23" s="73"/>
      <c r="Q23" s="73">
        <f>+IFERROR(VLOOKUP($A23,'Goals &amp; Budget 2026'!$A$2:$EJ$49,65,FALSE),0)</f>
        <v>0</v>
      </c>
      <c r="R23" s="84" t="str">
        <f t="shared" si="6"/>
        <v>***</v>
      </c>
      <c r="S23" s="73"/>
      <c r="T23" s="73">
        <f>+IFERROR(VLOOKUP($A23,'Goals &amp; Budget 2026'!$A$2:$EJ$49,66,FALSE),0)</f>
        <v>0</v>
      </c>
      <c r="U23" s="84" t="str">
        <f t="shared" si="7"/>
        <v>***</v>
      </c>
      <c r="V23" s="73"/>
      <c r="W23" s="73">
        <f>+IFERROR(VLOOKUP($A23,'Goals &amp; Budget 2026'!$A$2:$EJ$49,67,FALSE),0)</f>
        <v>0</v>
      </c>
      <c r="X23" s="231" t="str">
        <f t="shared" si="8"/>
        <v>***</v>
      </c>
      <c r="Y23" s="73"/>
      <c r="Z23" s="73">
        <f>+IFERROR(VLOOKUP($A23,'Goals &amp; Budget 2026'!$A$2:$EJ$49,68,FALSE),0)</f>
        <v>0</v>
      </c>
      <c r="AA23" s="84" t="str">
        <f t="shared" si="9"/>
        <v>***</v>
      </c>
      <c r="AB23" s="73"/>
      <c r="AC23" s="73">
        <f>+IFERROR(VLOOKUP($A23,'Goals &amp; Budget 2026'!$A$2:$EJ$49,69,FALSE),0)</f>
        <v>0</v>
      </c>
      <c r="AD23" s="84" t="str">
        <f t="shared" si="10"/>
        <v>***</v>
      </c>
      <c r="AE23" s="73"/>
      <c r="AF23" s="73">
        <f>+IFERROR(VLOOKUP($A23,'Goals &amp; Budget 2026'!$A$2:$EJ$49,70,FALSE),0)</f>
        <v>0</v>
      </c>
      <c r="AG23" s="231" t="str">
        <f t="shared" si="11"/>
        <v>***</v>
      </c>
      <c r="AH23" s="73"/>
      <c r="AI23" s="73">
        <f>+IFERROR(VLOOKUP($A23,'Goals &amp; Budget 2026'!$A$2:$EJ$49,71,FALSE),0)</f>
        <v>0</v>
      </c>
      <c r="AJ23" s="84" t="str">
        <f t="shared" si="12"/>
        <v>***</v>
      </c>
      <c r="AK23" s="73"/>
      <c r="AL23" s="73">
        <f>+IFERROR(VLOOKUP($A23,'Goals &amp; Budget 2026'!$A$2:$EJ$49,72,FALSE),0)</f>
        <v>0</v>
      </c>
      <c r="AM23" s="84" t="str">
        <f t="shared" si="13"/>
        <v>***</v>
      </c>
      <c r="AN23" s="73"/>
      <c r="AO23" s="73">
        <f>+IFERROR(VLOOKUP($A23,'Goals &amp; Budget 2026'!$A$2:$EJ$49,73,FALSE),0)</f>
        <v>0</v>
      </c>
      <c r="AP23" s="85" t="str">
        <f t="shared" si="14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0">
        <f t="shared" si="0"/>
        <v>0</v>
      </c>
      <c r="E24" s="73">
        <f t="shared" si="1"/>
        <v>0</v>
      </c>
      <c r="F24" s="231" t="str">
        <f t="shared" si="2"/>
        <v>***</v>
      </c>
      <c r="G24" s="73"/>
      <c r="H24" s="73">
        <f>+IFERROR(VLOOKUP($A24,'Goals &amp; Budget 2026'!$A$2:$EJ$49,62,FALSE),0)</f>
        <v>0</v>
      </c>
      <c r="I24" s="84" t="str">
        <f t="shared" si="3"/>
        <v>***</v>
      </c>
      <c r="J24" s="73"/>
      <c r="K24" s="73">
        <f>+IFERROR(VLOOKUP($A24,'Goals &amp; Budget 2026'!$A$2:$EJ$49,63,FALSE),0)</f>
        <v>0</v>
      </c>
      <c r="L24" s="84" t="str">
        <f t="shared" si="4"/>
        <v>***</v>
      </c>
      <c r="M24" s="73"/>
      <c r="N24" s="73">
        <f>+IFERROR(VLOOKUP($A24,'Goals &amp; Budget 2026'!$A$2:$EJ$49,64,FALSE),0)</f>
        <v>0</v>
      </c>
      <c r="O24" s="231" t="str">
        <f t="shared" si="5"/>
        <v>***</v>
      </c>
      <c r="P24" s="73"/>
      <c r="Q24" s="73">
        <f>+IFERROR(VLOOKUP($A24,'Goals &amp; Budget 2026'!$A$2:$EJ$49,65,FALSE),0)</f>
        <v>0</v>
      </c>
      <c r="R24" s="84" t="str">
        <f t="shared" si="6"/>
        <v>***</v>
      </c>
      <c r="S24" s="73"/>
      <c r="T24" s="73">
        <f>+IFERROR(VLOOKUP($A24,'Goals &amp; Budget 2026'!$A$2:$EJ$49,66,FALSE),0)</f>
        <v>0</v>
      </c>
      <c r="U24" s="84" t="str">
        <f t="shared" si="7"/>
        <v>***</v>
      </c>
      <c r="V24" s="73"/>
      <c r="W24" s="73">
        <f>+IFERROR(VLOOKUP($A24,'Goals &amp; Budget 2026'!$A$2:$EJ$49,67,FALSE),0)</f>
        <v>0</v>
      </c>
      <c r="X24" s="231" t="str">
        <f t="shared" si="8"/>
        <v>***</v>
      </c>
      <c r="Y24" s="73"/>
      <c r="Z24" s="73">
        <f>+IFERROR(VLOOKUP($A24,'Goals &amp; Budget 2026'!$A$2:$EJ$49,68,FALSE),0)</f>
        <v>0</v>
      </c>
      <c r="AA24" s="84" t="str">
        <f t="shared" si="9"/>
        <v>***</v>
      </c>
      <c r="AB24" s="73"/>
      <c r="AC24" s="73">
        <f>+IFERROR(VLOOKUP($A24,'Goals &amp; Budget 2026'!$A$2:$EJ$49,69,FALSE),0)</f>
        <v>0</v>
      </c>
      <c r="AD24" s="84" t="str">
        <f t="shared" si="10"/>
        <v>***</v>
      </c>
      <c r="AE24" s="73"/>
      <c r="AF24" s="73">
        <f>+IFERROR(VLOOKUP($A24,'Goals &amp; Budget 2026'!$A$2:$EJ$49,70,FALSE),0)</f>
        <v>0</v>
      </c>
      <c r="AG24" s="231" t="str">
        <f t="shared" si="11"/>
        <v>***</v>
      </c>
      <c r="AH24" s="73"/>
      <c r="AI24" s="73">
        <f>+IFERROR(VLOOKUP($A24,'Goals &amp; Budget 2026'!$A$2:$EJ$49,71,FALSE),0)</f>
        <v>0</v>
      </c>
      <c r="AJ24" s="84" t="str">
        <f t="shared" si="12"/>
        <v>***</v>
      </c>
      <c r="AK24" s="73"/>
      <c r="AL24" s="73">
        <f>+IFERROR(VLOOKUP($A24,'Goals &amp; Budget 2026'!$A$2:$EJ$49,72,FALSE),0)</f>
        <v>0</v>
      </c>
      <c r="AM24" s="84" t="str">
        <f t="shared" si="13"/>
        <v>***</v>
      </c>
      <c r="AN24" s="73"/>
      <c r="AO24" s="73">
        <f>+IFERROR(VLOOKUP($A24,'Goals &amp; Budget 2026'!$A$2:$EJ$49,73,FALSE),0)</f>
        <v>0</v>
      </c>
      <c r="AP24" s="85" t="str">
        <f t="shared" si="14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0">
        <f t="shared" ref="D25:D47" si="15">+G25</f>
        <v>0</v>
      </c>
      <c r="E25" s="73">
        <f t="shared" ref="E25:E47" si="16">+H25</f>
        <v>0</v>
      </c>
      <c r="F25" s="231" t="str">
        <f t="shared" ref="F25:F47" si="17">IF(AND(D25&gt;0,E25&gt;0),D25/E25,IF(AND(D25&gt;0,E25=0),100%,IF(AND(D25=0,E25&gt;0),0,IF(AND(D25=0,E25=0),"***",0))))</f>
        <v>***</v>
      </c>
      <c r="G25" s="73"/>
      <c r="H25" s="73">
        <f>+IFERROR(VLOOKUP($A25,'Goals &amp; Budget 2026'!$A$2:$EJ$49,62,FALSE),0)</f>
        <v>0</v>
      </c>
      <c r="I25" s="84" t="str">
        <f t="shared" ref="I25:I47" si="18">IF(AND(G25&gt;0,H25&gt;0),G25/H25,IF(AND(G25&gt;0,H25=0),100%,IF(AND(G25=0,H25&gt;0),0,IF(AND(G25=0,H25=0),"***",0))))</f>
        <v>***</v>
      </c>
      <c r="J25" s="73"/>
      <c r="K25" s="73">
        <f>+IFERROR(VLOOKUP($A25,'Goals &amp; Budget 2026'!$A$2:$EJ$49,63,FALSE),0)</f>
        <v>0</v>
      </c>
      <c r="L25" s="84" t="str">
        <f t="shared" ref="L25:L47" si="19">IF(AND(J25&gt;0,K25&gt;0),J25/K25,IF(AND(J25&gt;0,K25=0),100%,IF(AND(J25=0,K25&gt;0),0,IF(AND(J25=0,K25=0),"***",0))))</f>
        <v>***</v>
      </c>
      <c r="M25" s="73"/>
      <c r="N25" s="73">
        <f>+IFERROR(VLOOKUP($A25,'Goals &amp; Budget 2026'!$A$2:$EJ$49,64,FALSE),0)</f>
        <v>0</v>
      </c>
      <c r="O25" s="231" t="str">
        <f t="shared" ref="O25:O47" si="20">IF(AND(M25&gt;0,N25&gt;0),M25/N25,IF(AND(M25&gt;0,N25=0),100%,IF(AND(M25=0,N25&gt;0),0,IF(AND(M25=0,N25=0),"***",0))))</f>
        <v>***</v>
      </c>
      <c r="P25" s="73"/>
      <c r="Q25" s="73">
        <f>+IFERROR(VLOOKUP($A25,'Goals &amp; Budget 2026'!$A$2:$EJ$49,65,FALSE),0)</f>
        <v>0</v>
      </c>
      <c r="R25" s="84" t="str">
        <f t="shared" ref="R25:R47" si="21">IF(AND(P25&gt;0,Q25&gt;0),P25/Q25,IF(AND(P25&gt;0,Q25=0),100%,IF(AND(P25=0,Q25&gt;0),0,IF(AND(P25=0,Q25=0),"***",0))))</f>
        <v>***</v>
      </c>
      <c r="S25" s="73"/>
      <c r="T25" s="73">
        <f>+IFERROR(VLOOKUP($A25,'Goals &amp; Budget 2026'!$A$2:$EJ$49,66,FALSE),0)</f>
        <v>0</v>
      </c>
      <c r="U25" s="84" t="str">
        <f t="shared" ref="U25:U47" si="22">IF(AND(S25&gt;0,T25&gt;0),S25/T25,IF(AND(S25&gt;0,T25=0),100%,IF(AND(S25=0,T25&gt;0),0,IF(AND(S25=0,T25=0),"***",0))))</f>
        <v>***</v>
      </c>
      <c r="V25" s="73"/>
      <c r="W25" s="73">
        <f>+IFERROR(VLOOKUP($A25,'Goals &amp; Budget 2026'!$A$2:$EJ$49,67,FALSE),0)</f>
        <v>0</v>
      </c>
      <c r="X25" s="231" t="str">
        <f t="shared" ref="X25:X47" si="23">IF(AND(V25&gt;0,W25&gt;0),V25/W25,IF(AND(V25&gt;0,W25=0),100%,IF(AND(V25=0,W25&gt;0),0,IF(AND(V25=0,W25=0),"***",0))))</f>
        <v>***</v>
      </c>
      <c r="Y25" s="73"/>
      <c r="Z25" s="73">
        <f>+IFERROR(VLOOKUP($A25,'Goals &amp; Budget 2026'!$A$2:$EJ$49,68,FALSE),0)</f>
        <v>0</v>
      </c>
      <c r="AA25" s="84" t="str">
        <f t="shared" ref="AA25:AA47" si="24">IF(AND(Y25&gt;0,Z25&gt;0),Y25/Z25,IF(AND(Y25&gt;0,Z25=0),100%,IF(AND(Y25=0,Z25&gt;0),0,IF(AND(Y25=0,Z25=0),"***",0))))</f>
        <v>***</v>
      </c>
      <c r="AB25" s="73"/>
      <c r="AC25" s="73">
        <f>+IFERROR(VLOOKUP($A25,'Goals &amp; Budget 2026'!$A$2:$EJ$49,69,FALSE),0)</f>
        <v>0</v>
      </c>
      <c r="AD25" s="84" t="str">
        <f t="shared" ref="AD25:AD47" si="25">IF(AND(AB25&gt;0,AC25&gt;0),AB25/AC25,IF(AND(AB25&gt;0,AC25=0),100%,IF(AND(AB25=0,AC25&gt;0),0,IF(AND(AB25=0,AC25=0),"***",0))))</f>
        <v>***</v>
      </c>
      <c r="AE25" s="73"/>
      <c r="AF25" s="73">
        <f>+IFERROR(VLOOKUP($A25,'Goals &amp; Budget 2026'!$A$2:$EJ$49,70,FALSE),0)</f>
        <v>0</v>
      </c>
      <c r="AG25" s="231" t="str">
        <f t="shared" ref="AG25:AG47" si="26">IF(AND(AE25&gt;0,AF25&gt;0),AE25/AF25,IF(AND(AE25&gt;0,AF25=0),100%,IF(AND(AE25=0,AF25&gt;0),0,IF(AND(AE25=0,AF25=0),"***",0))))</f>
        <v>***</v>
      </c>
      <c r="AH25" s="73"/>
      <c r="AI25" s="73">
        <f>+IFERROR(VLOOKUP($A25,'Goals &amp; Budget 2026'!$A$2:$EJ$49,71,FALSE),0)</f>
        <v>0</v>
      </c>
      <c r="AJ25" s="84" t="str">
        <f t="shared" ref="AJ25:AJ47" si="27">IF(AND(AH25&gt;0,AI25&gt;0),AH25/AI25,IF(AND(AH25&gt;0,AI25=0),100%,IF(AND(AH25=0,AI25&gt;0),0,IF(AND(AH25=0,AI25=0),"***",0))))</f>
        <v>***</v>
      </c>
      <c r="AK25" s="73"/>
      <c r="AL25" s="73">
        <f>+IFERROR(VLOOKUP($A25,'Goals &amp; Budget 2026'!$A$2:$EJ$49,72,FALSE),0)</f>
        <v>0</v>
      </c>
      <c r="AM25" s="84" t="str">
        <f t="shared" ref="AM25:AM47" si="28">IF(AND(AK25&gt;0,AL25&gt;0),AK25/AL25,IF(AND(AK25&gt;0,AL25=0),100%,IF(AND(AK25=0,AL25&gt;0),0,IF(AND(AK25=0,AL25=0),"***",0))))</f>
        <v>***</v>
      </c>
      <c r="AN25" s="73"/>
      <c r="AO25" s="73">
        <f>+IFERROR(VLOOKUP($A25,'Goals &amp; Budget 2026'!$A$2:$EJ$49,73,FALSE),0)</f>
        <v>0</v>
      </c>
      <c r="AP25" s="85" t="str">
        <f t="shared" ref="AP25:AP47" si="29">IF(AND(AN25&gt;0,AO25&gt;0),AN25/AO25,IF(AND(AN25&gt;0,AO25=0),100%,IF(AND(AN25=0,AO25&gt;0),0,IF(AND(AN25=0,AO25=0),"***",0))))</f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51">
        <f t="shared" si="15"/>
        <v>0</v>
      </c>
      <c r="E26" s="54">
        <f t="shared" si="16"/>
        <v>0</v>
      </c>
      <c r="F26" s="232" t="str">
        <f t="shared" si="17"/>
        <v>***</v>
      </c>
      <c r="G26" s="54"/>
      <c r="H26" s="54">
        <f>+IFERROR(VLOOKUP($A26,'Goals &amp; Budget 2026'!$A$2:$EJ$49,62,FALSE),0)</f>
        <v>0</v>
      </c>
      <c r="I26" s="65" t="str">
        <f t="shared" si="18"/>
        <v>***</v>
      </c>
      <c r="J26" s="54"/>
      <c r="K26" s="54">
        <f>+IFERROR(VLOOKUP($A26,'Goals &amp; Budget 2026'!$A$2:$EJ$49,63,FALSE),0)</f>
        <v>0</v>
      </c>
      <c r="L26" s="65" t="str">
        <f t="shared" si="19"/>
        <v>***</v>
      </c>
      <c r="M26" s="54"/>
      <c r="N26" s="54">
        <f>+IFERROR(VLOOKUP($A26,'Goals &amp; Budget 2026'!$A$2:$EJ$49,64,FALSE),0)</f>
        <v>0</v>
      </c>
      <c r="O26" s="232" t="str">
        <f t="shared" si="20"/>
        <v>***</v>
      </c>
      <c r="P26" s="54"/>
      <c r="Q26" s="54">
        <f>+IFERROR(VLOOKUP($A26,'Goals &amp; Budget 2026'!$A$2:$EJ$49,65,FALSE),0)</f>
        <v>0</v>
      </c>
      <c r="R26" s="65" t="str">
        <f t="shared" si="21"/>
        <v>***</v>
      </c>
      <c r="S26" s="54"/>
      <c r="T26" s="54">
        <f>+IFERROR(VLOOKUP($A26,'Goals &amp; Budget 2026'!$A$2:$EJ$49,66,FALSE),0)</f>
        <v>0</v>
      </c>
      <c r="U26" s="65" t="str">
        <f t="shared" si="22"/>
        <v>***</v>
      </c>
      <c r="V26" s="54"/>
      <c r="W26" s="54">
        <f>+IFERROR(VLOOKUP($A26,'Goals &amp; Budget 2026'!$A$2:$EJ$49,67,FALSE),0)</f>
        <v>0</v>
      </c>
      <c r="X26" s="232" t="str">
        <f t="shared" si="23"/>
        <v>***</v>
      </c>
      <c r="Y26" s="54"/>
      <c r="Z26" s="54">
        <f>+IFERROR(VLOOKUP($A26,'Goals &amp; Budget 2026'!$A$2:$EJ$49,68,FALSE),0)</f>
        <v>0</v>
      </c>
      <c r="AA26" s="65" t="str">
        <f t="shared" si="24"/>
        <v>***</v>
      </c>
      <c r="AB26" s="54"/>
      <c r="AC26" s="54">
        <f>+IFERROR(VLOOKUP($A26,'Goals &amp; Budget 2026'!$A$2:$EJ$49,69,FALSE),0)</f>
        <v>0</v>
      </c>
      <c r="AD26" s="65" t="str">
        <f t="shared" si="25"/>
        <v>***</v>
      </c>
      <c r="AE26" s="54"/>
      <c r="AF26" s="54">
        <f>+IFERROR(VLOOKUP($A26,'Goals &amp; Budget 2026'!$A$2:$EJ$49,70,FALSE),0)</f>
        <v>0</v>
      </c>
      <c r="AG26" s="232" t="str">
        <f t="shared" si="26"/>
        <v>***</v>
      </c>
      <c r="AH26" s="54"/>
      <c r="AI26" s="54">
        <f>+IFERROR(VLOOKUP($A26,'Goals &amp; Budget 2026'!$A$2:$EJ$49,71,FALSE),0)</f>
        <v>0</v>
      </c>
      <c r="AJ26" s="65" t="str">
        <f t="shared" si="27"/>
        <v>***</v>
      </c>
      <c r="AK26" s="54"/>
      <c r="AL26" s="54">
        <f>+IFERROR(VLOOKUP($A26,'Goals &amp; Budget 2026'!$A$2:$EJ$49,72,FALSE),0)</f>
        <v>0</v>
      </c>
      <c r="AM26" s="65" t="str">
        <f t="shared" si="28"/>
        <v>***</v>
      </c>
      <c r="AN26" s="54"/>
      <c r="AO26" s="54">
        <f>+IFERROR(VLOOKUP($A26,'Goals &amp; Budget 2026'!$A$2:$EJ$49,73,FALSE),0)</f>
        <v>0</v>
      </c>
      <c r="AP26" s="66" t="str">
        <f t="shared" si="29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51">
        <f t="shared" si="15"/>
        <v>0</v>
      </c>
      <c r="E27" s="54">
        <f t="shared" si="16"/>
        <v>0</v>
      </c>
      <c r="F27" s="232" t="str">
        <f t="shared" si="17"/>
        <v>***</v>
      </c>
      <c r="G27" s="54"/>
      <c r="H27" s="54">
        <f>+IFERROR(VLOOKUP($A27,'Goals &amp; Budget 2026'!$A$2:$EJ$49,62,FALSE),0)</f>
        <v>0</v>
      </c>
      <c r="I27" s="65" t="str">
        <f t="shared" si="18"/>
        <v>***</v>
      </c>
      <c r="J27" s="54"/>
      <c r="K27" s="54">
        <f>+IFERROR(VLOOKUP($A27,'Goals &amp; Budget 2026'!$A$2:$EJ$49,63,FALSE),0)</f>
        <v>0</v>
      </c>
      <c r="L27" s="65" t="str">
        <f t="shared" si="19"/>
        <v>***</v>
      </c>
      <c r="M27" s="54"/>
      <c r="N27" s="54">
        <f>+IFERROR(VLOOKUP($A27,'Goals &amp; Budget 2026'!$A$2:$EJ$49,64,FALSE),0)</f>
        <v>0</v>
      </c>
      <c r="O27" s="232" t="str">
        <f t="shared" si="20"/>
        <v>***</v>
      </c>
      <c r="P27" s="54"/>
      <c r="Q27" s="54">
        <f>+IFERROR(VLOOKUP($A27,'Goals &amp; Budget 2026'!$A$2:$EJ$49,65,FALSE),0)</f>
        <v>0</v>
      </c>
      <c r="R27" s="65" t="str">
        <f t="shared" si="21"/>
        <v>***</v>
      </c>
      <c r="S27" s="54"/>
      <c r="T27" s="54">
        <f>+IFERROR(VLOOKUP($A27,'Goals &amp; Budget 2026'!$A$2:$EJ$49,66,FALSE),0)</f>
        <v>0</v>
      </c>
      <c r="U27" s="65" t="str">
        <f t="shared" si="22"/>
        <v>***</v>
      </c>
      <c r="V27" s="54"/>
      <c r="W27" s="54">
        <f>+IFERROR(VLOOKUP($A27,'Goals &amp; Budget 2026'!$A$2:$EJ$49,67,FALSE),0)</f>
        <v>0</v>
      </c>
      <c r="X27" s="232" t="str">
        <f t="shared" si="23"/>
        <v>***</v>
      </c>
      <c r="Y27" s="54"/>
      <c r="Z27" s="54">
        <f>+IFERROR(VLOOKUP($A27,'Goals &amp; Budget 2026'!$A$2:$EJ$49,68,FALSE),0)</f>
        <v>0</v>
      </c>
      <c r="AA27" s="65" t="str">
        <f t="shared" si="24"/>
        <v>***</v>
      </c>
      <c r="AB27" s="54"/>
      <c r="AC27" s="54">
        <f>+IFERROR(VLOOKUP($A27,'Goals &amp; Budget 2026'!$A$2:$EJ$49,69,FALSE),0)</f>
        <v>0</v>
      </c>
      <c r="AD27" s="65" t="str">
        <f t="shared" si="25"/>
        <v>***</v>
      </c>
      <c r="AE27" s="54"/>
      <c r="AF27" s="54">
        <f>+IFERROR(VLOOKUP($A27,'Goals &amp; Budget 2026'!$A$2:$EJ$49,70,FALSE),0)</f>
        <v>0</v>
      </c>
      <c r="AG27" s="232" t="str">
        <f t="shared" si="26"/>
        <v>***</v>
      </c>
      <c r="AH27" s="54"/>
      <c r="AI27" s="54">
        <f>+IFERROR(VLOOKUP($A27,'Goals &amp; Budget 2026'!$A$2:$EJ$49,71,FALSE),0)</f>
        <v>0</v>
      </c>
      <c r="AJ27" s="65" t="str">
        <f t="shared" si="27"/>
        <v>***</v>
      </c>
      <c r="AK27" s="54"/>
      <c r="AL27" s="54">
        <f>+IFERROR(VLOOKUP($A27,'Goals &amp; Budget 2026'!$A$2:$EJ$49,72,FALSE),0)</f>
        <v>0</v>
      </c>
      <c r="AM27" s="65" t="str">
        <f t="shared" si="28"/>
        <v>***</v>
      </c>
      <c r="AN27" s="54"/>
      <c r="AO27" s="54">
        <f>+IFERROR(VLOOKUP($A27,'Goals &amp; Budget 2026'!$A$2:$EJ$49,73,FALSE),0)</f>
        <v>0</v>
      </c>
      <c r="AP27" s="66" t="str">
        <f t="shared" si="29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51">
        <f t="shared" ref="D28:D47" si="30">+G28</f>
        <v>0</v>
      </c>
      <c r="E28" s="54">
        <f t="shared" ref="E28:E47" si="31">+H28</f>
        <v>0</v>
      </c>
      <c r="F28" s="232" t="str">
        <f t="shared" ref="F28:F47" si="32">IF(AND(D28&gt;0,E28&gt;0),D28/E28,IF(AND(D28&gt;0,E28=0),100%,IF(AND(D28=0,E28&gt;0),0,IF(AND(D28=0,E28=0),"***",0))))</f>
        <v>***</v>
      </c>
      <c r="G28" s="54"/>
      <c r="H28" s="54">
        <f>+IFERROR(VLOOKUP($A28,'Goals &amp; Budget 2026'!$A$2:$EJ$49,62,FALSE),0)</f>
        <v>0</v>
      </c>
      <c r="I28" s="65" t="str">
        <f t="shared" ref="I28:I47" si="33">IF(AND(G28&gt;0,H28&gt;0),G28/H28,IF(AND(G28&gt;0,H28=0),100%,IF(AND(G28=0,H28&gt;0),0,IF(AND(G28=0,H28=0),"***",0))))</f>
        <v>***</v>
      </c>
      <c r="J28" s="54"/>
      <c r="K28" s="54">
        <f>+IFERROR(VLOOKUP($A28,'Goals &amp; Budget 2026'!$A$2:$EJ$49,63,FALSE),0)</f>
        <v>0</v>
      </c>
      <c r="L28" s="65" t="str">
        <f t="shared" ref="L28:L47" si="34">IF(AND(J28&gt;0,K28&gt;0),J28/K28,IF(AND(J28&gt;0,K28=0),100%,IF(AND(J28=0,K28&gt;0),0,IF(AND(J28=0,K28=0),"***",0))))</f>
        <v>***</v>
      </c>
      <c r="M28" s="54"/>
      <c r="N28" s="54">
        <f>+IFERROR(VLOOKUP($A28,'Goals &amp; Budget 2026'!$A$2:$EJ$49,64,FALSE),0)</f>
        <v>0</v>
      </c>
      <c r="O28" s="232" t="str">
        <f t="shared" ref="O28:O47" si="35">IF(AND(M28&gt;0,N28&gt;0),M28/N28,IF(AND(M28&gt;0,N28=0),100%,IF(AND(M28=0,N28&gt;0),0,IF(AND(M28=0,N28=0),"***",0))))</f>
        <v>***</v>
      </c>
      <c r="P28" s="54"/>
      <c r="Q28" s="54">
        <f>+IFERROR(VLOOKUP($A28,'Goals &amp; Budget 2026'!$A$2:$EJ$49,65,FALSE),0)</f>
        <v>0</v>
      </c>
      <c r="R28" s="65" t="str">
        <f t="shared" ref="R28:R47" si="36">IF(AND(P28&gt;0,Q28&gt;0),P28/Q28,IF(AND(P28&gt;0,Q28=0),100%,IF(AND(P28=0,Q28&gt;0),0,IF(AND(P28=0,Q28=0),"***",0))))</f>
        <v>***</v>
      </c>
      <c r="S28" s="54"/>
      <c r="T28" s="54">
        <f>+IFERROR(VLOOKUP($A28,'Goals &amp; Budget 2026'!$A$2:$EJ$49,66,FALSE),0)</f>
        <v>0</v>
      </c>
      <c r="U28" s="65" t="str">
        <f t="shared" ref="U28:U47" si="37">IF(AND(S28&gt;0,T28&gt;0),S28/T28,IF(AND(S28&gt;0,T28=0),100%,IF(AND(S28=0,T28&gt;0),0,IF(AND(S28=0,T28=0),"***",0))))</f>
        <v>***</v>
      </c>
      <c r="V28" s="54"/>
      <c r="W28" s="54">
        <f>+IFERROR(VLOOKUP($A28,'Goals &amp; Budget 2026'!$A$2:$EJ$49,67,FALSE),0)</f>
        <v>0</v>
      </c>
      <c r="X28" s="232" t="str">
        <f t="shared" ref="X28:X47" si="38">IF(AND(V28&gt;0,W28&gt;0),V28/W28,IF(AND(V28&gt;0,W28=0),100%,IF(AND(V28=0,W28&gt;0),0,IF(AND(V28=0,W28=0),"***",0))))</f>
        <v>***</v>
      </c>
      <c r="Y28" s="54"/>
      <c r="Z28" s="54">
        <f>+IFERROR(VLOOKUP($A28,'Goals &amp; Budget 2026'!$A$2:$EJ$49,68,FALSE),0)</f>
        <v>0</v>
      </c>
      <c r="AA28" s="65" t="str">
        <f t="shared" ref="AA28:AA47" si="39">IF(AND(Y28&gt;0,Z28&gt;0),Y28/Z28,IF(AND(Y28&gt;0,Z28=0),100%,IF(AND(Y28=0,Z28&gt;0),0,IF(AND(Y28=0,Z28=0),"***",0))))</f>
        <v>***</v>
      </c>
      <c r="AB28" s="54"/>
      <c r="AC28" s="54">
        <f>+IFERROR(VLOOKUP($A28,'Goals &amp; Budget 2026'!$A$2:$EJ$49,69,FALSE),0)</f>
        <v>0</v>
      </c>
      <c r="AD28" s="65" t="str">
        <f t="shared" ref="AD28:AD47" si="40">IF(AND(AB28&gt;0,AC28&gt;0),AB28/AC28,IF(AND(AB28&gt;0,AC28=0),100%,IF(AND(AB28=0,AC28&gt;0),0,IF(AND(AB28=0,AC28=0),"***",0))))</f>
        <v>***</v>
      </c>
      <c r="AE28" s="54"/>
      <c r="AF28" s="54">
        <f>+IFERROR(VLOOKUP($A28,'Goals &amp; Budget 2026'!$A$2:$EJ$49,70,FALSE),0)</f>
        <v>0</v>
      </c>
      <c r="AG28" s="232" t="str">
        <f t="shared" ref="AG28:AG47" si="41">IF(AND(AE28&gt;0,AF28&gt;0),AE28/AF28,IF(AND(AE28&gt;0,AF28=0),100%,IF(AND(AE28=0,AF28&gt;0),0,IF(AND(AE28=0,AF28=0),"***",0))))</f>
        <v>***</v>
      </c>
      <c r="AH28" s="54"/>
      <c r="AI28" s="54">
        <f>+IFERROR(VLOOKUP($A28,'Goals &amp; Budget 2026'!$A$2:$EJ$49,71,FALSE),0)</f>
        <v>0</v>
      </c>
      <c r="AJ28" s="65" t="str">
        <f t="shared" ref="AJ28:AJ47" si="42">IF(AND(AH28&gt;0,AI28&gt;0),AH28/AI28,IF(AND(AH28&gt;0,AI28=0),100%,IF(AND(AH28=0,AI28&gt;0),0,IF(AND(AH28=0,AI28=0),"***",0))))</f>
        <v>***</v>
      </c>
      <c r="AK28" s="54"/>
      <c r="AL28" s="54">
        <f>+IFERROR(VLOOKUP($A28,'Goals &amp; Budget 2026'!$A$2:$EJ$49,72,FALSE),0)</f>
        <v>0</v>
      </c>
      <c r="AM28" s="65" t="str">
        <f t="shared" ref="AM28:AM47" si="43">IF(AND(AK28&gt;0,AL28&gt;0),AK28/AL28,IF(AND(AK28&gt;0,AL28=0),100%,IF(AND(AK28=0,AL28&gt;0),0,IF(AND(AK28=0,AL28=0),"***",0))))</f>
        <v>***</v>
      </c>
      <c r="AN28" s="54"/>
      <c r="AO28" s="54">
        <f>+IFERROR(VLOOKUP($A28,'Goals &amp; Budget 2026'!$A$2:$EJ$49,73,FALSE),0)</f>
        <v>0</v>
      </c>
      <c r="AP28" s="66" t="str">
        <f t="shared" ref="AP28:AP47" si="44">IF(AND(AN28&gt;0,AO28&gt;0),AN28/AO28,IF(AND(AN28&gt;0,AO28=0),100%,IF(AND(AN28=0,AO28&gt;0),0,IF(AND(AN28=0,AO28=0),"***",0))))</f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51">
        <f t="shared" si="30"/>
        <v>0</v>
      </c>
      <c r="E29" s="54">
        <f t="shared" si="31"/>
        <v>0</v>
      </c>
      <c r="F29" s="232" t="str">
        <f t="shared" si="32"/>
        <v>***</v>
      </c>
      <c r="G29" s="54"/>
      <c r="H29" s="54">
        <f>+IFERROR(VLOOKUP($A29,'Goals &amp; Budget 2026'!$A$2:$EJ$49,62,FALSE),0)</f>
        <v>0</v>
      </c>
      <c r="I29" s="65" t="str">
        <f t="shared" si="33"/>
        <v>***</v>
      </c>
      <c r="J29" s="54"/>
      <c r="K29" s="54">
        <f>+IFERROR(VLOOKUP($A29,'Goals &amp; Budget 2026'!$A$2:$EJ$49,63,FALSE),0)</f>
        <v>0</v>
      </c>
      <c r="L29" s="65" t="str">
        <f t="shared" si="34"/>
        <v>***</v>
      </c>
      <c r="M29" s="54"/>
      <c r="N29" s="54">
        <f>+IFERROR(VLOOKUP($A29,'Goals &amp; Budget 2026'!$A$2:$EJ$49,64,FALSE),0)</f>
        <v>0</v>
      </c>
      <c r="O29" s="232" t="str">
        <f t="shared" si="35"/>
        <v>***</v>
      </c>
      <c r="P29" s="54"/>
      <c r="Q29" s="54">
        <f>+IFERROR(VLOOKUP($A29,'Goals &amp; Budget 2026'!$A$2:$EJ$49,65,FALSE),0)</f>
        <v>0</v>
      </c>
      <c r="R29" s="65" t="str">
        <f t="shared" si="36"/>
        <v>***</v>
      </c>
      <c r="S29" s="54"/>
      <c r="T29" s="54">
        <f>+IFERROR(VLOOKUP($A29,'Goals &amp; Budget 2026'!$A$2:$EJ$49,66,FALSE),0)</f>
        <v>0</v>
      </c>
      <c r="U29" s="65" t="str">
        <f t="shared" si="37"/>
        <v>***</v>
      </c>
      <c r="V29" s="54"/>
      <c r="W29" s="54">
        <f>+IFERROR(VLOOKUP($A29,'Goals &amp; Budget 2026'!$A$2:$EJ$49,67,FALSE),0)</f>
        <v>0</v>
      </c>
      <c r="X29" s="232" t="str">
        <f t="shared" si="38"/>
        <v>***</v>
      </c>
      <c r="Y29" s="54"/>
      <c r="Z29" s="54">
        <f>+IFERROR(VLOOKUP($A29,'Goals &amp; Budget 2026'!$A$2:$EJ$49,68,FALSE),0)</f>
        <v>0</v>
      </c>
      <c r="AA29" s="65" t="str">
        <f t="shared" si="39"/>
        <v>***</v>
      </c>
      <c r="AB29" s="54"/>
      <c r="AC29" s="54">
        <f>+IFERROR(VLOOKUP($A29,'Goals &amp; Budget 2026'!$A$2:$EJ$49,69,FALSE),0)</f>
        <v>0</v>
      </c>
      <c r="AD29" s="65" t="str">
        <f t="shared" si="40"/>
        <v>***</v>
      </c>
      <c r="AE29" s="54"/>
      <c r="AF29" s="54">
        <f>+IFERROR(VLOOKUP($A29,'Goals &amp; Budget 2026'!$A$2:$EJ$49,70,FALSE),0)</f>
        <v>0</v>
      </c>
      <c r="AG29" s="232" t="str">
        <f t="shared" si="41"/>
        <v>***</v>
      </c>
      <c r="AH29" s="54"/>
      <c r="AI29" s="54">
        <f>+IFERROR(VLOOKUP($A29,'Goals &amp; Budget 2026'!$A$2:$EJ$49,71,FALSE),0)</f>
        <v>0</v>
      </c>
      <c r="AJ29" s="65" t="str">
        <f t="shared" si="42"/>
        <v>***</v>
      </c>
      <c r="AK29" s="54"/>
      <c r="AL29" s="54">
        <f>+IFERROR(VLOOKUP($A29,'Goals &amp; Budget 2026'!$A$2:$EJ$49,72,FALSE),0)</f>
        <v>0</v>
      </c>
      <c r="AM29" s="65" t="str">
        <f t="shared" si="43"/>
        <v>***</v>
      </c>
      <c r="AN29" s="54"/>
      <c r="AO29" s="54">
        <f>+IFERROR(VLOOKUP($A29,'Goals &amp; Budget 2026'!$A$2:$EJ$49,73,FALSE),0)</f>
        <v>0</v>
      </c>
      <c r="AP29" s="66" t="str">
        <f t="shared" si="44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51">
        <f t="shared" si="30"/>
        <v>0</v>
      </c>
      <c r="E30" s="54">
        <f t="shared" si="31"/>
        <v>0</v>
      </c>
      <c r="F30" s="232" t="str">
        <f t="shared" si="32"/>
        <v>***</v>
      </c>
      <c r="G30" s="54"/>
      <c r="H30" s="54">
        <f>+IFERROR(VLOOKUP($A30,'Goals &amp; Budget 2026'!$A$2:$EJ$49,62,FALSE),0)</f>
        <v>0</v>
      </c>
      <c r="I30" s="65" t="str">
        <f t="shared" si="33"/>
        <v>***</v>
      </c>
      <c r="J30" s="54"/>
      <c r="K30" s="54">
        <f>+IFERROR(VLOOKUP($A30,'Goals &amp; Budget 2026'!$A$2:$EJ$49,63,FALSE),0)</f>
        <v>0</v>
      </c>
      <c r="L30" s="65" t="str">
        <f t="shared" si="34"/>
        <v>***</v>
      </c>
      <c r="M30" s="54"/>
      <c r="N30" s="54">
        <f>+IFERROR(VLOOKUP($A30,'Goals &amp; Budget 2026'!$A$2:$EJ$49,64,FALSE),0)</f>
        <v>0</v>
      </c>
      <c r="O30" s="232" t="str">
        <f t="shared" si="35"/>
        <v>***</v>
      </c>
      <c r="P30" s="54"/>
      <c r="Q30" s="54">
        <f>+IFERROR(VLOOKUP($A30,'Goals &amp; Budget 2026'!$A$2:$EJ$49,65,FALSE),0)</f>
        <v>0</v>
      </c>
      <c r="R30" s="65" t="str">
        <f t="shared" si="36"/>
        <v>***</v>
      </c>
      <c r="S30" s="54"/>
      <c r="T30" s="54">
        <f>+IFERROR(VLOOKUP($A30,'Goals &amp; Budget 2026'!$A$2:$EJ$49,66,FALSE),0)</f>
        <v>0</v>
      </c>
      <c r="U30" s="65" t="str">
        <f t="shared" si="37"/>
        <v>***</v>
      </c>
      <c r="V30" s="54"/>
      <c r="W30" s="54">
        <f>+IFERROR(VLOOKUP($A30,'Goals &amp; Budget 2026'!$A$2:$EJ$49,67,FALSE),0)</f>
        <v>0</v>
      </c>
      <c r="X30" s="232" t="str">
        <f t="shared" si="38"/>
        <v>***</v>
      </c>
      <c r="Y30" s="54"/>
      <c r="Z30" s="54">
        <f>+IFERROR(VLOOKUP($A30,'Goals &amp; Budget 2026'!$A$2:$EJ$49,68,FALSE),0)</f>
        <v>0</v>
      </c>
      <c r="AA30" s="65" t="str">
        <f t="shared" si="39"/>
        <v>***</v>
      </c>
      <c r="AB30" s="54"/>
      <c r="AC30" s="54">
        <f>+IFERROR(VLOOKUP($A30,'Goals &amp; Budget 2026'!$A$2:$EJ$49,69,FALSE),0)</f>
        <v>0</v>
      </c>
      <c r="AD30" s="65" t="str">
        <f t="shared" si="40"/>
        <v>***</v>
      </c>
      <c r="AE30" s="54"/>
      <c r="AF30" s="54">
        <f>+IFERROR(VLOOKUP($A30,'Goals &amp; Budget 2026'!$A$2:$EJ$49,70,FALSE),0)</f>
        <v>0</v>
      </c>
      <c r="AG30" s="232" t="str">
        <f t="shared" si="41"/>
        <v>***</v>
      </c>
      <c r="AH30" s="54"/>
      <c r="AI30" s="54">
        <f>+IFERROR(VLOOKUP($A30,'Goals &amp; Budget 2026'!$A$2:$EJ$49,71,FALSE),0)</f>
        <v>0</v>
      </c>
      <c r="AJ30" s="65" t="str">
        <f t="shared" si="42"/>
        <v>***</v>
      </c>
      <c r="AK30" s="54"/>
      <c r="AL30" s="54">
        <f>+IFERROR(VLOOKUP($A30,'Goals &amp; Budget 2026'!$A$2:$EJ$49,72,FALSE),0)</f>
        <v>0</v>
      </c>
      <c r="AM30" s="65" t="str">
        <f t="shared" si="43"/>
        <v>***</v>
      </c>
      <c r="AN30" s="54"/>
      <c r="AO30" s="54">
        <f>+IFERROR(VLOOKUP($A30,'Goals &amp; Budget 2026'!$A$2:$EJ$49,73,FALSE),0)</f>
        <v>0</v>
      </c>
      <c r="AP30" s="66" t="str">
        <f t="shared" si="44"/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51">
        <f t="shared" si="30"/>
        <v>0</v>
      </c>
      <c r="E31" s="54">
        <f t="shared" si="31"/>
        <v>0</v>
      </c>
      <c r="F31" s="232" t="str">
        <f t="shared" si="32"/>
        <v>***</v>
      </c>
      <c r="G31" s="54"/>
      <c r="H31" s="54">
        <f>+IFERROR(VLOOKUP($A31,'Goals &amp; Budget 2026'!$A$2:$EJ$49,62,FALSE),0)</f>
        <v>0</v>
      </c>
      <c r="I31" s="65" t="str">
        <f t="shared" si="33"/>
        <v>***</v>
      </c>
      <c r="J31" s="54"/>
      <c r="K31" s="54">
        <f>+IFERROR(VLOOKUP($A31,'Goals &amp; Budget 2026'!$A$2:$EJ$49,63,FALSE),0)</f>
        <v>0</v>
      </c>
      <c r="L31" s="65" t="str">
        <f t="shared" si="34"/>
        <v>***</v>
      </c>
      <c r="M31" s="54"/>
      <c r="N31" s="54">
        <f>+IFERROR(VLOOKUP($A31,'Goals &amp; Budget 2026'!$A$2:$EJ$49,64,FALSE),0)</f>
        <v>0</v>
      </c>
      <c r="O31" s="232" t="str">
        <f t="shared" si="35"/>
        <v>***</v>
      </c>
      <c r="P31" s="54"/>
      <c r="Q31" s="54">
        <f>+IFERROR(VLOOKUP($A31,'Goals &amp; Budget 2026'!$A$2:$EJ$49,65,FALSE),0)</f>
        <v>0</v>
      </c>
      <c r="R31" s="65" t="str">
        <f t="shared" si="36"/>
        <v>***</v>
      </c>
      <c r="S31" s="54"/>
      <c r="T31" s="54">
        <f>+IFERROR(VLOOKUP($A31,'Goals &amp; Budget 2026'!$A$2:$EJ$49,66,FALSE),0)</f>
        <v>0</v>
      </c>
      <c r="U31" s="65" t="str">
        <f t="shared" si="37"/>
        <v>***</v>
      </c>
      <c r="V31" s="54"/>
      <c r="W31" s="54">
        <f>+IFERROR(VLOOKUP($A31,'Goals &amp; Budget 2026'!$A$2:$EJ$49,67,FALSE),0)</f>
        <v>0</v>
      </c>
      <c r="X31" s="232" t="str">
        <f t="shared" si="38"/>
        <v>***</v>
      </c>
      <c r="Y31" s="54"/>
      <c r="Z31" s="54">
        <f>+IFERROR(VLOOKUP($A31,'Goals &amp; Budget 2026'!$A$2:$EJ$49,68,FALSE),0)</f>
        <v>0</v>
      </c>
      <c r="AA31" s="65" t="str">
        <f t="shared" si="39"/>
        <v>***</v>
      </c>
      <c r="AB31" s="54"/>
      <c r="AC31" s="54">
        <f>+IFERROR(VLOOKUP($A31,'Goals &amp; Budget 2026'!$A$2:$EJ$49,69,FALSE),0)</f>
        <v>0</v>
      </c>
      <c r="AD31" s="65" t="str">
        <f t="shared" si="40"/>
        <v>***</v>
      </c>
      <c r="AE31" s="54"/>
      <c r="AF31" s="54">
        <f>+IFERROR(VLOOKUP($A31,'Goals &amp; Budget 2026'!$A$2:$EJ$49,70,FALSE),0)</f>
        <v>0</v>
      </c>
      <c r="AG31" s="232" t="str">
        <f t="shared" si="41"/>
        <v>***</v>
      </c>
      <c r="AH31" s="54"/>
      <c r="AI31" s="54">
        <f>+IFERROR(VLOOKUP($A31,'Goals &amp; Budget 2026'!$A$2:$EJ$49,71,FALSE),0)</f>
        <v>0</v>
      </c>
      <c r="AJ31" s="65" t="str">
        <f t="shared" si="42"/>
        <v>***</v>
      </c>
      <c r="AK31" s="54"/>
      <c r="AL31" s="54">
        <f>+IFERROR(VLOOKUP($A31,'Goals &amp; Budget 2026'!$A$2:$EJ$49,72,FALSE),0)</f>
        <v>0</v>
      </c>
      <c r="AM31" s="65" t="str">
        <f t="shared" si="43"/>
        <v>***</v>
      </c>
      <c r="AN31" s="54"/>
      <c r="AO31" s="54">
        <f>+IFERROR(VLOOKUP($A31,'Goals &amp; Budget 2026'!$A$2:$EJ$49,73,FALSE),0)</f>
        <v>0</v>
      </c>
      <c r="AP31" s="66" t="str">
        <f t="shared" si="44"/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51">
        <f t="shared" si="30"/>
        <v>0</v>
      </c>
      <c r="E32" s="54">
        <f t="shared" si="31"/>
        <v>0</v>
      </c>
      <c r="F32" s="232" t="str">
        <f t="shared" si="32"/>
        <v>***</v>
      </c>
      <c r="G32" s="54"/>
      <c r="H32" s="54">
        <f>+IFERROR(VLOOKUP($A32,'Goals &amp; Budget 2026'!$A$2:$EJ$49,62,FALSE),0)</f>
        <v>0</v>
      </c>
      <c r="I32" s="65" t="str">
        <f t="shared" si="33"/>
        <v>***</v>
      </c>
      <c r="J32" s="54"/>
      <c r="K32" s="54">
        <f>+IFERROR(VLOOKUP($A32,'Goals &amp; Budget 2026'!$A$2:$EJ$49,63,FALSE),0)</f>
        <v>0</v>
      </c>
      <c r="L32" s="65" t="str">
        <f t="shared" si="34"/>
        <v>***</v>
      </c>
      <c r="M32" s="54"/>
      <c r="N32" s="54">
        <f>+IFERROR(VLOOKUP($A32,'Goals &amp; Budget 2026'!$A$2:$EJ$49,64,FALSE),0)</f>
        <v>0</v>
      </c>
      <c r="O32" s="232" t="str">
        <f t="shared" si="35"/>
        <v>***</v>
      </c>
      <c r="P32" s="54"/>
      <c r="Q32" s="54">
        <f>+IFERROR(VLOOKUP($A32,'Goals &amp; Budget 2026'!$A$2:$EJ$49,65,FALSE),0)</f>
        <v>0</v>
      </c>
      <c r="R32" s="65" t="str">
        <f t="shared" si="36"/>
        <v>***</v>
      </c>
      <c r="S32" s="54"/>
      <c r="T32" s="54">
        <f>+IFERROR(VLOOKUP($A32,'Goals &amp; Budget 2026'!$A$2:$EJ$49,66,FALSE),0)</f>
        <v>0</v>
      </c>
      <c r="U32" s="65" t="str">
        <f t="shared" si="37"/>
        <v>***</v>
      </c>
      <c r="V32" s="54"/>
      <c r="W32" s="54">
        <f>+IFERROR(VLOOKUP($A32,'Goals &amp; Budget 2026'!$A$2:$EJ$49,67,FALSE),0)</f>
        <v>0</v>
      </c>
      <c r="X32" s="232" t="str">
        <f t="shared" si="38"/>
        <v>***</v>
      </c>
      <c r="Y32" s="54"/>
      <c r="Z32" s="54">
        <f>+IFERROR(VLOOKUP($A32,'Goals &amp; Budget 2026'!$A$2:$EJ$49,68,FALSE),0)</f>
        <v>0</v>
      </c>
      <c r="AA32" s="65" t="str">
        <f t="shared" si="39"/>
        <v>***</v>
      </c>
      <c r="AB32" s="54"/>
      <c r="AC32" s="54">
        <f>+IFERROR(VLOOKUP($A32,'Goals &amp; Budget 2026'!$A$2:$EJ$49,69,FALSE),0)</f>
        <v>0</v>
      </c>
      <c r="AD32" s="65" t="str">
        <f t="shared" si="40"/>
        <v>***</v>
      </c>
      <c r="AE32" s="54"/>
      <c r="AF32" s="54">
        <f>+IFERROR(VLOOKUP($A32,'Goals &amp; Budget 2026'!$A$2:$EJ$49,70,FALSE),0)</f>
        <v>0</v>
      </c>
      <c r="AG32" s="232" t="str">
        <f t="shared" si="41"/>
        <v>***</v>
      </c>
      <c r="AH32" s="54"/>
      <c r="AI32" s="54">
        <f>+IFERROR(VLOOKUP($A32,'Goals &amp; Budget 2026'!$A$2:$EJ$49,71,FALSE),0)</f>
        <v>0</v>
      </c>
      <c r="AJ32" s="65" t="str">
        <f t="shared" si="42"/>
        <v>***</v>
      </c>
      <c r="AK32" s="54"/>
      <c r="AL32" s="54">
        <f>+IFERROR(VLOOKUP($A32,'Goals &amp; Budget 2026'!$A$2:$EJ$49,72,FALSE),0)</f>
        <v>0</v>
      </c>
      <c r="AM32" s="65" t="str">
        <f t="shared" si="43"/>
        <v>***</v>
      </c>
      <c r="AN32" s="54"/>
      <c r="AO32" s="54">
        <f>+IFERROR(VLOOKUP($A32,'Goals &amp; Budget 2026'!$A$2:$EJ$49,73,FALSE),0)</f>
        <v>0</v>
      </c>
      <c r="AP32" s="66" t="str">
        <f t="shared" si="44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51">
        <f t="shared" si="30"/>
        <v>0</v>
      </c>
      <c r="E33" s="54">
        <f t="shared" si="31"/>
        <v>0</v>
      </c>
      <c r="F33" s="232" t="str">
        <f t="shared" si="32"/>
        <v>***</v>
      </c>
      <c r="G33" s="54"/>
      <c r="H33" s="54">
        <f>+IFERROR(VLOOKUP($A33,'Goals &amp; Budget 2026'!$A$2:$EJ$49,62,FALSE),0)</f>
        <v>0</v>
      </c>
      <c r="I33" s="65" t="str">
        <f t="shared" si="33"/>
        <v>***</v>
      </c>
      <c r="J33" s="54"/>
      <c r="K33" s="54">
        <f>+IFERROR(VLOOKUP($A33,'Goals &amp; Budget 2026'!$A$2:$EJ$49,63,FALSE),0)</f>
        <v>0</v>
      </c>
      <c r="L33" s="65" t="str">
        <f t="shared" si="34"/>
        <v>***</v>
      </c>
      <c r="M33" s="54"/>
      <c r="N33" s="54">
        <f>+IFERROR(VLOOKUP($A33,'Goals &amp; Budget 2026'!$A$2:$EJ$49,64,FALSE),0)</f>
        <v>0</v>
      </c>
      <c r="O33" s="232" t="str">
        <f t="shared" si="35"/>
        <v>***</v>
      </c>
      <c r="P33" s="54"/>
      <c r="Q33" s="54">
        <f>+IFERROR(VLOOKUP($A33,'Goals &amp; Budget 2026'!$A$2:$EJ$49,65,FALSE),0)</f>
        <v>0</v>
      </c>
      <c r="R33" s="65" t="str">
        <f t="shared" si="36"/>
        <v>***</v>
      </c>
      <c r="S33" s="54"/>
      <c r="T33" s="54">
        <f>+IFERROR(VLOOKUP($A33,'Goals &amp; Budget 2026'!$A$2:$EJ$49,66,FALSE),0)</f>
        <v>0</v>
      </c>
      <c r="U33" s="65" t="str">
        <f t="shared" si="37"/>
        <v>***</v>
      </c>
      <c r="V33" s="54"/>
      <c r="W33" s="54">
        <f>+IFERROR(VLOOKUP($A33,'Goals &amp; Budget 2026'!$A$2:$EJ$49,67,FALSE),0)</f>
        <v>0</v>
      </c>
      <c r="X33" s="232" t="str">
        <f t="shared" si="38"/>
        <v>***</v>
      </c>
      <c r="Y33" s="54"/>
      <c r="Z33" s="54">
        <f>+IFERROR(VLOOKUP($A33,'Goals &amp; Budget 2026'!$A$2:$EJ$49,68,FALSE),0)</f>
        <v>0</v>
      </c>
      <c r="AA33" s="65" t="str">
        <f t="shared" si="39"/>
        <v>***</v>
      </c>
      <c r="AB33" s="54"/>
      <c r="AC33" s="54">
        <f>+IFERROR(VLOOKUP($A33,'Goals &amp; Budget 2026'!$A$2:$EJ$49,69,FALSE),0)</f>
        <v>0</v>
      </c>
      <c r="AD33" s="65" t="str">
        <f t="shared" si="40"/>
        <v>***</v>
      </c>
      <c r="AE33" s="54"/>
      <c r="AF33" s="54">
        <f>+IFERROR(VLOOKUP($A33,'Goals &amp; Budget 2026'!$A$2:$EJ$49,70,FALSE),0)</f>
        <v>0</v>
      </c>
      <c r="AG33" s="232" t="str">
        <f t="shared" si="41"/>
        <v>***</v>
      </c>
      <c r="AH33" s="54"/>
      <c r="AI33" s="54">
        <f>+IFERROR(VLOOKUP($A33,'Goals &amp; Budget 2026'!$A$2:$EJ$49,71,FALSE),0)</f>
        <v>0</v>
      </c>
      <c r="AJ33" s="65" t="str">
        <f t="shared" si="42"/>
        <v>***</v>
      </c>
      <c r="AK33" s="54"/>
      <c r="AL33" s="54">
        <f>+IFERROR(VLOOKUP($A33,'Goals &amp; Budget 2026'!$A$2:$EJ$49,72,FALSE),0)</f>
        <v>0</v>
      </c>
      <c r="AM33" s="65" t="str">
        <f t="shared" si="43"/>
        <v>***</v>
      </c>
      <c r="AN33" s="54"/>
      <c r="AO33" s="54">
        <f>+IFERROR(VLOOKUP($A33,'Goals &amp; Budget 2026'!$A$2:$EJ$49,73,FALSE),0)</f>
        <v>0</v>
      </c>
      <c r="AP33" s="66" t="str">
        <f t="shared" si="44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51">
        <f t="shared" si="30"/>
        <v>0</v>
      </c>
      <c r="E34" s="54">
        <f t="shared" si="31"/>
        <v>0</v>
      </c>
      <c r="F34" s="232" t="str">
        <f t="shared" si="32"/>
        <v>***</v>
      </c>
      <c r="G34" s="54"/>
      <c r="H34" s="54">
        <f>+IFERROR(VLOOKUP($A34,'Goals &amp; Budget 2026'!$A$2:$EJ$49,62,FALSE),0)</f>
        <v>0</v>
      </c>
      <c r="I34" s="65" t="str">
        <f t="shared" si="33"/>
        <v>***</v>
      </c>
      <c r="J34" s="54"/>
      <c r="K34" s="54">
        <f>+IFERROR(VLOOKUP($A34,'Goals &amp; Budget 2026'!$A$2:$EJ$49,63,FALSE),0)</f>
        <v>0</v>
      </c>
      <c r="L34" s="65" t="str">
        <f t="shared" si="34"/>
        <v>***</v>
      </c>
      <c r="M34" s="54"/>
      <c r="N34" s="54">
        <f>+IFERROR(VLOOKUP($A34,'Goals &amp; Budget 2026'!$A$2:$EJ$49,64,FALSE),0)</f>
        <v>0</v>
      </c>
      <c r="O34" s="232" t="str">
        <f t="shared" si="35"/>
        <v>***</v>
      </c>
      <c r="P34" s="54"/>
      <c r="Q34" s="54">
        <f>+IFERROR(VLOOKUP($A34,'Goals &amp; Budget 2026'!$A$2:$EJ$49,65,FALSE),0)</f>
        <v>0</v>
      </c>
      <c r="R34" s="65" t="str">
        <f t="shared" si="36"/>
        <v>***</v>
      </c>
      <c r="S34" s="54"/>
      <c r="T34" s="54">
        <f>+IFERROR(VLOOKUP($A34,'Goals &amp; Budget 2026'!$A$2:$EJ$49,66,FALSE),0)</f>
        <v>0</v>
      </c>
      <c r="U34" s="65" t="str">
        <f t="shared" si="37"/>
        <v>***</v>
      </c>
      <c r="V34" s="54"/>
      <c r="W34" s="54">
        <f>+IFERROR(VLOOKUP($A34,'Goals &amp; Budget 2026'!$A$2:$EJ$49,67,FALSE),0)</f>
        <v>0</v>
      </c>
      <c r="X34" s="232" t="str">
        <f t="shared" si="38"/>
        <v>***</v>
      </c>
      <c r="Y34" s="54"/>
      <c r="Z34" s="54">
        <f>+IFERROR(VLOOKUP($A34,'Goals &amp; Budget 2026'!$A$2:$EJ$49,68,FALSE),0)</f>
        <v>0</v>
      </c>
      <c r="AA34" s="65" t="str">
        <f t="shared" si="39"/>
        <v>***</v>
      </c>
      <c r="AB34" s="54"/>
      <c r="AC34" s="54">
        <f>+IFERROR(VLOOKUP($A34,'Goals &amp; Budget 2026'!$A$2:$EJ$49,69,FALSE),0)</f>
        <v>0</v>
      </c>
      <c r="AD34" s="65" t="str">
        <f t="shared" si="40"/>
        <v>***</v>
      </c>
      <c r="AE34" s="54"/>
      <c r="AF34" s="54">
        <f>+IFERROR(VLOOKUP($A34,'Goals &amp; Budget 2026'!$A$2:$EJ$49,70,FALSE),0)</f>
        <v>0</v>
      </c>
      <c r="AG34" s="232" t="str">
        <f t="shared" si="41"/>
        <v>***</v>
      </c>
      <c r="AH34" s="54"/>
      <c r="AI34" s="54">
        <f>+IFERROR(VLOOKUP($A34,'Goals &amp; Budget 2026'!$A$2:$EJ$49,71,FALSE),0)</f>
        <v>0</v>
      </c>
      <c r="AJ34" s="65" t="str">
        <f t="shared" si="42"/>
        <v>***</v>
      </c>
      <c r="AK34" s="54"/>
      <c r="AL34" s="54">
        <f>+IFERROR(VLOOKUP($A34,'Goals &amp; Budget 2026'!$A$2:$EJ$49,72,FALSE),0)</f>
        <v>0</v>
      </c>
      <c r="AM34" s="65" t="str">
        <f t="shared" si="43"/>
        <v>***</v>
      </c>
      <c r="AN34" s="54"/>
      <c r="AO34" s="54">
        <f>+IFERROR(VLOOKUP($A34,'Goals &amp; Budget 2026'!$A$2:$EJ$49,73,FALSE),0)</f>
        <v>0</v>
      </c>
      <c r="AP34" s="66" t="str">
        <f t="shared" si="44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51">
        <f t="shared" si="30"/>
        <v>0</v>
      </c>
      <c r="E35" s="54">
        <f t="shared" si="31"/>
        <v>0</v>
      </c>
      <c r="F35" s="232" t="str">
        <f t="shared" si="32"/>
        <v>***</v>
      </c>
      <c r="G35" s="54"/>
      <c r="H35" s="54">
        <f>+IFERROR(VLOOKUP($A35,'Goals &amp; Budget 2026'!$A$2:$EJ$49,62,FALSE),0)</f>
        <v>0</v>
      </c>
      <c r="I35" s="65" t="str">
        <f t="shared" si="33"/>
        <v>***</v>
      </c>
      <c r="J35" s="54"/>
      <c r="K35" s="54">
        <f>+IFERROR(VLOOKUP($A35,'Goals &amp; Budget 2026'!$A$2:$EJ$49,63,FALSE),0)</f>
        <v>0</v>
      </c>
      <c r="L35" s="65" t="str">
        <f t="shared" si="34"/>
        <v>***</v>
      </c>
      <c r="M35" s="54"/>
      <c r="N35" s="54">
        <f>+IFERROR(VLOOKUP($A35,'Goals &amp; Budget 2026'!$A$2:$EJ$49,64,FALSE),0)</f>
        <v>0</v>
      </c>
      <c r="O35" s="232" t="str">
        <f t="shared" si="35"/>
        <v>***</v>
      </c>
      <c r="P35" s="54"/>
      <c r="Q35" s="54">
        <f>+IFERROR(VLOOKUP($A35,'Goals &amp; Budget 2026'!$A$2:$EJ$49,65,FALSE),0)</f>
        <v>0</v>
      </c>
      <c r="R35" s="65" t="str">
        <f t="shared" si="36"/>
        <v>***</v>
      </c>
      <c r="S35" s="54"/>
      <c r="T35" s="54">
        <f>+IFERROR(VLOOKUP($A35,'Goals &amp; Budget 2026'!$A$2:$EJ$49,66,FALSE),0)</f>
        <v>0</v>
      </c>
      <c r="U35" s="65" t="str">
        <f t="shared" si="37"/>
        <v>***</v>
      </c>
      <c r="V35" s="54"/>
      <c r="W35" s="54">
        <f>+IFERROR(VLOOKUP($A35,'Goals &amp; Budget 2026'!$A$2:$EJ$49,67,FALSE),0)</f>
        <v>0</v>
      </c>
      <c r="X35" s="232" t="str">
        <f t="shared" si="38"/>
        <v>***</v>
      </c>
      <c r="Y35" s="54"/>
      <c r="Z35" s="54">
        <f>+IFERROR(VLOOKUP($A35,'Goals &amp; Budget 2026'!$A$2:$EJ$49,68,FALSE),0)</f>
        <v>0</v>
      </c>
      <c r="AA35" s="65" t="str">
        <f t="shared" si="39"/>
        <v>***</v>
      </c>
      <c r="AB35" s="54"/>
      <c r="AC35" s="54">
        <f>+IFERROR(VLOOKUP($A35,'Goals &amp; Budget 2026'!$A$2:$EJ$49,69,FALSE),0)</f>
        <v>0</v>
      </c>
      <c r="AD35" s="65" t="str">
        <f t="shared" si="40"/>
        <v>***</v>
      </c>
      <c r="AE35" s="54"/>
      <c r="AF35" s="54">
        <f>+IFERROR(VLOOKUP($A35,'Goals &amp; Budget 2026'!$A$2:$EJ$49,70,FALSE),0)</f>
        <v>0</v>
      </c>
      <c r="AG35" s="232" t="str">
        <f t="shared" si="41"/>
        <v>***</v>
      </c>
      <c r="AH35" s="54"/>
      <c r="AI35" s="54">
        <f>+IFERROR(VLOOKUP($A35,'Goals &amp; Budget 2026'!$A$2:$EJ$49,71,FALSE),0)</f>
        <v>0</v>
      </c>
      <c r="AJ35" s="65" t="str">
        <f t="shared" si="42"/>
        <v>***</v>
      </c>
      <c r="AK35" s="54"/>
      <c r="AL35" s="54">
        <f>+IFERROR(VLOOKUP($A35,'Goals &amp; Budget 2026'!$A$2:$EJ$49,72,FALSE),0)</f>
        <v>0</v>
      </c>
      <c r="AM35" s="65" t="str">
        <f t="shared" si="43"/>
        <v>***</v>
      </c>
      <c r="AN35" s="54"/>
      <c r="AO35" s="54">
        <f>+IFERROR(VLOOKUP($A35,'Goals &amp; Budget 2026'!$A$2:$EJ$49,73,FALSE),0)</f>
        <v>0</v>
      </c>
      <c r="AP35" s="66" t="str">
        <f t="shared" si="44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51">
        <f t="shared" si="30"/>
        <v>0</v>
      </c>
      <c r="E36" s="54">
        <f t="shared" si="31"/>
        <v>0</v>
      </c>
      <c r="F36" s="232" t="str">
        <f t="shared" si="32"/>
        <v>***</v>
      </c>
      <c r="G36" s="54"/>
      <c r="H36" s="54">
        <f>+IFERROR(VLOOKUP($A36,'Goals &amp; Budget 2026'!$A$2:$EJ$49,62,FALSE),0)</f>
        <v>0</v>
      </c>
      <c r="I36" s="65" t="str">
        <f t="shared" si="33"/>
        <v>***</v>
      </c>
      <c r="J36" s="54"/>
      <c r="K36" s="54">
        <f>+IFERROR(VLOOKUP($A36,'Goals &amp; Budget 2026'!$A$2:$EJ$49,63,FALSE),0)</f>
        <v>0</v>
      </c>
      <c r="L36" s="65" t="str">
        <f t="shared" si="34"/>
        <v>***</v>
      </c>
      <c r="M36" s="54"/>
      <c r="N36" s="54">
        <f>+IFERROR(VLOOKUP($A36,'Goals &amp; Budget 2026'!$A$2:$EJ$49,64,FALSE),0)</f>
        <v>0</v>
      </c>
      <c r="O36" s="232" t="str">
        <f t="shared" si="35"/>
        <v>***</v>
      </c>
      <c r="P36" s="54"/>
      <c r="Q36" s="54">
        <f>+IFERROR(VLOOKUP($A36,'Goals &amp; Budget 2026'!$A$2:$EJ$49,65,FALSE),0)</f>
        <v>0</v>
      </c>
      <c r="R36" s="65" t="str">
        <f t="shared" si="36"/>
        <v>***</v>
      </c>
      <c r="S36" s="54"/>
      <c r="T36" s="54">
        <f>+IFERROR(VLOOKUP($A36,'Goals &amp; Budget 2026'!$A$2:$EJ$49,66,FALSE),0)</f>
        <v>0</v>
      </c>
      <c r="U36" s="65" t="str">
        <f t="shared" si="37"/>
        <v>***</v>
      </c>
      <c r="V36" s="54"/>
      <c r="W36" s="54">
        <f>+IFERROR(VLOOKUP($A36,'Goals &amp; Budget 2026'!$A$2:$EJ$49,67,FALSE),0)</f>
        <v>0</v>
      </c>
      <c r="X36" s="232" t="str">
        <f t="shared" si="38"/>
        <v>***</v>
      </c>
      <c r="Y36" s="54"/>
      <c r="Z36" s="54">
        <f>+IFERROR(VLOOKUP($A36,'Goals &amp; Budget 2026'!$A$2:$EJ$49,68,FALSE),0)</f>
        <v>0</v>
      </c>
      <c r="AA36" s="65" t="str">
        <f t="shared" si="39"/>
        <v>***</v>
      </c>
      <c r="AB36" s="54"/>
      <c r="AC36" s="54">
        <f>+IFERROR(VLOOKUP($A36,'Goals &amp; Budget 2026'!$A$2:$EJ$49,69,FALSE),0)</f>
        <v>0</v>
      </c>
      <c r="AD36" s="65" t="str">
        <f t="shared" si="40"/>
        <v>***</v>
      </c>
      <c r="AE36" s="54"/>
      <c r="AF36" s="54">
        <f>+IFERROR(VLOOKUP($A36,'Goals &amp; Budget 2026'!$A$2:$EJ$49,70,FALSE),0)</f>
        <v>0</v>
      </c>
      <c r="AG36" s="232" t="str">
        <f t="shared" si="41"/>
        <v>***</v>
      </c>
      <c r="AH36" s="54"/>
      <c r="AI36" s="54">
        <f>+IFERROR(VLOOKUP($A36,'Goals &amp; Budget 2026'!$A$2:$EJ$49,71,FALSE),0)</f>
        <v>0</v>
      </c>
      <c r="AJ36" s="65" t="str">
        <f t="shared" si="42"/>
        <v>***</v>
      </c>
      <c r="AK36" s="54"/>
      <c r="AL36" s="54">
        <f>+IFERROR(VLOOKUP($A36,'Goals &amp; Budget 2026'!$A$2:$EJ$49,72,FALSE),0)</f>
        <v>0</v>
      </c>
      <c r="AM36" s="65" t="str">
        <f t="shared" si="43"/>
        <v>***</v>
      </c>
      <c r="AN36" s="54"/>
      <c r="AO36" s="54">
        <f>+IFERROR(VLOOKUP($A36,'Goals &amp; Budget 2026'!$A$2:$EJ$49,73,FALSE),0)</f>
        <v>0</v>
      </c>
      <c r="AP36" s="66" t="str">
        <f t="shared" si="44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51">
        <f t="shared" si="30"/>
        <v>0</v>
      </c>
      <c r="E37" s="54">
        <f t="shared" si="31"/>
        <v>0</v>
      </c>
      <c r="F37" s="232" t="str">
        <f t="shared" si="32"/>
        <v>***</v>
      </c>
      <c r="G37" s="54"/>
      <c r="H37" s="54">
        <f>+IFERROR(VLOOKUP($A37,'Goals &amp; Budget 2026'!$A$2:$EJ$49,62,FALSE),0)</f>
        <v>0</v>
      </c>
      <c r="I37" s="65" t="str">
        <f t="shared" si="33"/>
        <v>***</v>
      </c>
      <c r="J37" s="54"/>
      <c r="K37" s="54">
        <f>+IFERROR(VLOOKUP($A37,'Goals &amp; Budget 2026'!$A$2:$EJ$49,63,FALSE),0)</f>
        <v>0</v>
      </c>
      <c r="L37" s="65" t="str">
        <f t="shared" si="34"/>
        <v>***</v>
      </c>
      <c r="M37" s="54"/>
      <c r="N37" s="54">
        <f>+IFERROR(VLOOKUP($A37,'Goals &amp; Budget 2026'!$A$2:$EJ$49,64,FALSE),0)</f>
        <v>0</v>
      </c>
      <c r="O37" s="232" t="str">
        <f t="shared" si="35"/>
        <v>***</v>
      </c>
      <c r="P37" s="54"/>
      <c r="Q37" s="54">
        <f>+IFERROR(VLOOKUP($A37,'Goals &amp; Budget 2026'!$A$2:$EJ$49,65,FALSE),0)</f>
        <v>0</v>
      </c>
      <c r="R37" s="65" t="str">
        <f t="shared" si="36"/>
        <v>***</v>
      </c>
      <c r="S37" s="54"/>
      <c r="T37" s="54">
        <f>+IFERROR(VLOOKUP($A37,'Goals &amp; Budget 2026'!$A$2:$EJ$49,66,FALSE),0)</f>
        <v>0</v>
      </c>
      <c r="U37" s="65" t="str">
        <f t="shared" si="37"/>
        <v>***</v>
      </c>
      <c r="V37" s="54"/>
      <c r="W37" s="54">
        <f>+IFERROR(VLOOKUP($A37,'Goals &amp; Budget 2026'!$A$2:$EJ$49,67,FALSE),0)</f>
        <v>0</v>
      </c>
      <c r="X37" s="232" t="str">
        <f t="shared" si="38"/>
        <v>***</v>
      </c>
      <c r="Y37" s="54"/>
      <c r="Z37" s="54">
        <f>+IFERROR(VLOOKUP($A37,'Goals &amp; Budget 2026'!$A$2:$EJ$49,68,FALSE),0)</f>
        <v>0</v>
      </c>
      <c r="AA37" s="65" t="str">
        <f t="shared" si="39"/>
        <v>***</v>
      </c>
      <c r="AB37" s="54"/>
      <c r="AC37" s="54">
        <f>+IFERROR(VLOOKUP($A37,'Goals &amp; Budget 2026'!$A$2:$EJ$49,69,FALSE),0)</f>
        <v>0</v>
      </c>
      <c r="AD37" s="65" t="str">
        <f t="shared" si="40"/>
        <v>***</v>
      </c>
      <c r="AE37" s="54"/>
      <c r="AF37" s="54">
        <f>+IFERROR(VLOOKUP($A37,'Goals &amp; Budget 2026'!$A$2:$EJ$49,70,FALSE),0)</f>
        <v>0</v>
      </c>
      <c r="AG37" s="232" t="str">
        <f t="shared" si="41"/>
        <v>***</v>
      </c>
      <c r="AH37" s="54"/>
      <c r="AI37" s="54">
        <f>+IFERROR(VLOOKUP($A37,'Goals &amp; Budget 2026'!$A$2:$EJ$49,71,FALSE),0)</f>
        <v>0</v>
      </c>
      <c r="AJ37" s="65" t="str">
        <f t="shared" si="42"/>
        <v>***</v>
      </c>
      <c r="AK37" s="54"/>
      <c r="AL37" s="54">
        <f>+IFERROR(VLOOKUP($A37,'Goals &amp; Budget 2026'!$A$2:$EJ$49,72,FALSE),0)</f>
        <v>0</v>
      </c>
      <c r="AM37" s="65" t="str">
        <f t="shared" si="43"/>
        <v>***</v>
      </c>
      <c r="AN37" s="54"/>
      <c r="AO37" s="54">
        <f>+IFERROR(VLOOKUP($A37,'Goals &amp; Budget 2026'!$A$2:$EJ$49,73,FALSE),0)</f>
        <v>0</v>
      </c>
      <c r="AP37" s="66" t="str">
        <f t="shared" si="44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51">
        <f t="shared" si="30"/>
        <v>0</v>
      </c>
      <c r="E38" s="54">
        <f t="shared" si="31"/>
        <v>0</v>
      </c>
      <c r="F38" s="232" t="str">
        <f t="shared" si="32"/>
        <v>***</v>
      </c>
      <c r="G38" s="54"/>
      <c r="H38" s="54">
        <f>+IFERROR(VLOOKUP($A38,'Goals &amp; Budget 2026'!$A$2:$EJ$49,62,FALSE),0)</f>
        <v>0</v>
      </c>
      <c r="I38" s="65" t="str">
        <f t="shared" si="33"/>
        <v>***</v>
      </c>
      <c r="J38" s="54"/>
      <c r="K38" s="54">
        <f>+IFERROR(VLOOKUP($A38,'Goals &amp; Budget 2026'!$A$2:$EJ$49,63,FALSE),0)</f>
        <v>0</v>
      </c>
      <c r="L38" s="65" t="str">
        <f t="shared" si="34"/>
        <v>***</v>
      </c>
      <c r="M38" s="54"/>
      <c r="N38" s="54">
        <f>+IFERROR(VLOOKUP($A38,'Goals &amp; Budget 2026'!$A$2:$EJ$49,64,FALSE),0)</f>
        <v>0</v>
      </c>
      <c r="O38" s="232" t="str">
        <f t="shared" si="35"/>
        <v>***</v>
      </c>
      <c r="P38" s="54"/>
      <c r="Q38" s="54">
        <f>+IFERROR(VLOOKUP($A38,'Goals &amp; Budget 2026'!$A$2:$EJ$49,65,FALSE),0)</f>
        <v>0</v>
      </c>
      <c r="R38" s="65" t="str">
        <f t="shared" si="36"/>
        <v>***</v>
      </c>
      <c r="S38" s="54"/>
      <c r="T38" s="54">
        <f>+IFERROR(VLOOKUP($A38,'Goals &amp; Budget 2026'!$A$2:$EJ$49,66,FALSE),0)</f>
        <v>0</v>
      </c>
      <c r="U38" s="65" t="str">
        <f t="shared" si="37"/>
        <v>***</v>
      </c>
      <c r="V38" s="54"/>
      <c r="W38" s="54">
        <f>+IFERROR(VLOOKUP($A38,'Goals &amp; Budget 2026'!$A$2:$EJ$49,67,FALSE),0)</f>
        <v>0</v>
      </c>
      <c r="X38" s="232" t="str">
        <f t="shared" si="38"/>
        <v>***</v>
      </c>
      <c r="Y38" s="54"/>
      <c r="Z38" s="54">
        <f>+IFERROR(VLOOKUP($A38,'Goals &amp; Budget 2026'!$A$2:$EJ$49,68,FALSE),0)</f>
        <v>0</v>
      </c>
      <c r="AA38" s="65" t="str">
        <f t="shared" si="39"/>
        <v>***</v>
      </c>
      <c r="AB38" s="54"/>
      <c r="AC38" s="54">
        <f>+IFERROR(VLOOKUP($A38,'Goals &amp; Budget 2026'!$A$2:$EJ$49,69,FALSE),0)</f>
        <v>0</v>
      </c>
      <c r="AD38" s="65" t="str">
        <f t="shared" si="40"/>
        <v>***</v>
      </c>
      <c r="AE38" s="54"/>
      <c r="AF38" s="54">
        <f>+IFERROR(VLOOKUP($A38,'Goals &amp; Budget 2026'!$A$2:$EJ$49,70,FALSE),0)</f>
        <v>0</v>
      </c>
      <c r="AG38" s="232" t="str">
        <f t="shared" si="41"/>
        <v>***</v>
      </c>
      <c r="AH38" s="54"/>
      <c r="AI38" s="54">
        <f>+IFERROR(VLOOKUP($A38,'Goals &amp; Budget 2026'!$A$2:$EJ$49,71,FALSE),0)</f>
        <v>0</v>
      </c>
      <c r="AJ38" s="65" t="str">
        <f t="shared" si="42"/>
        <v>***</v>
      </c>
      <c r="AK38" s="54"/>
      <c r="AL38" s="54">
        <f>+IFERROR(VLOOKUP($A38,'Goals &amp; Budget 2026'!$A$2:$EJ$49,72,FALSE),0)</f>
        <v>0</v>
      </c>
      <c r="AM38" s="65" t="str">
        <f t="shared" si="43"/>
        <v>***</v>
      </c>
      <c r="AN38" s="54"/>
      <c r="AO38" s="54">
        <f>+IFERROR(VLOOKUP($A38,'Goals &amp; Budget 2026'!$A$2:$EJ$49,73,FALSE),0)</f>
        <v>0</v>
      </c>
      <c r="AP38" s="66" t="str">
        <f t="shared" si="44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51">
        <f t="shared" si="30"/>
        <v>0</v>
      </c>
      <c r="E39" s="54">
        <f t="shared" si="31"/>
        <v>0</v>
      </c>
      <c r="F39" s="232" t="str">
        <f t="shared" si="32"/>
        <v>***</v>
      </c>
      <c r="G39" s="54"/>
      <c r="H39" s="54">
        <f>+IFERROR(VLOOKUP($A39,'Goals &amp; Budget 2026'!$A$2:$EJ$49,62,FALSE),0)</f>
        <v>0</v>
      </c>
      <c r="I39" s="65" t="str">
        <f t="shared" si="33"/>
        <v>***</v>
      </c>
      <c r="J39" s="54"/>
      <c r="K39" s="54">
        <f>+IFERROR(VLOOKUP($A39,'Goals &amp; Budget 2026'!$A$2:$EJ$49,63,FALSE),0)</f>
        <v>0</v>
      </c>
      <c r="L39" s="65" t="str">
        <f t="shared" si="34"/>
        <v>***</v>
      </c>
      <c r="M39" s="54"/>
      <c r="N39" s="54">
        <f>+IFERROR(VLOOKUP($A39,'Goals &amp; Budget 2026'!$A$2:$EJ$49,64,FALSE),0)</f>
        <v>0</v>
      </c>
      <c r="O39" s="232" t="str">
        <f t="shared" si="35"/>
        <v>***</v>
      </c>
      <c r="P39" s="54"/>
      <c r="Q39" s="54">
        <f>+IFERROR(VLOOKUP($A39,'Goals &amp; Budget 2026'!$A$2:$EJ$49,65,FALSE),0)</f>
        <v>0</v>
      </c>
      <c r="R39" s="65" t="str">
        <f t="shared" si="36"/>
        <v>***</v>
      </c>
      <c r="S39" s="54"/>
      <c r="T39" s="54">
        <f>+IFERROR(VLOOKUP($A39,'Goals &amp; Budget 2026'!$A$2:$EJ$49,66,FALSE),0)</f>
        <v>0</v>
      </c>
      <c r="U39" s="65" t="str">
        <f t="shared" si="37"/>
        <v>***</v>
      </c>
      <c r="V39" s="54"/>
      <c r="W39" s="54">
        <f>+IFERROR(VLOOKUP($A39,'Goals &amp; Budget 2026'!$A$2:$EJ$49,67,FALSE),0)</f>
        <v>0</v>
      </c>
      <c r="X39" s="232" t="str">
        <f t="shared" si="38"/>
        <v>***</v>
      </c>
      <c r="Y39" s="54"/>
      <c r="Z39" s="54">
        <f>+IFERROR(VLOOKUP($A39,'Goals &amp; Budget 2026'!$A$2:$EJ$49,68,FALSE),0)</f>
        <v>0</v>
      </c>
      <c r="AA39" s="65" t="str">
        <f t="shared" si="39"/>
        <v>***</v>
      </c>
      <c r="AB39" s="54"/>
      <c r="AC39" s="54">
        <f>+IFERROR(VLOOKUP($A39,'Goals &amp; Budget 2026'!$A$2:$EJ$49,69,FALSE),0)</f>
        <v>0</v>
      </c>
      <c r="AD39" s="65" t="str">
        <f t="shared" si="40"/>
        <v>***</v>
      </c>
      <c r="AE39" s="54"/>
      <c r="AF39" s="54">
        <f>+IFERROR(VLOOKUP($A39,'Goals &amp; Budget 2026'!$A$2:$EJ$49,70,FALSE),0)</f>
        <v>0</v>
      </c>
      <c r="AG39" s="232" t="str">
        <f t="shared" si="41"/>
        <v>***</v>
      </c>
      <c r="AH39" s="54"/>
      <c r="AI39" s="54">
        <f>+IFERROR(VLOOKUP($A39,'Goals &amp; Budget 2026'!$A$2:$EJ$49,71,FALSE),0)</f>
        <v>0</v>
      </c>
      <c r="AJ39" s="65" t="str">
        <f t="shared" si="42"/>
        <v>***</v>
      </c>
      <c r="AK39" s="54"/>
      <c r="AL39" s="54">
        <f>+IFERROR(VLOOKUP($A39,'Goals &amp; Budget 2026'!$A$2:$EJ$49,72,FALSE),0)</f>
        <v>0</v>
      </c>
      <c r="AM39" s="65" t="str">
        <f t="shared" si="43"/>
        <v>***</v>
      </c>
      <c r="AN39" s="54"/>
      <c r="AO39" s="54">
        <f>+IFERROR(VLOOKUP($A39,'Goals &amp; Budget 2026'!$A$2:$EJ$49,73,FALSE),0)</f>
        <v>0</v>
      </c>
      <c r="AP39" s="66" t="str">
        <f t="shared" si="44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51">
        <f t="shared" si="30"/>
        <v>0</v>
      </c>
      <c r="E40" s="54">
        <f t="shared" si="31"/>
        <v>0</v>
      </c>
      <c r="F40" s="232" t="str">
        <f t="shared" si="32"/>
        <v>***</v>
      </c>
      <c r="G40" s="54"/>
      <c r="H40" s="54">
        <f>+IFERROR(VLOOKUP($A40,'Goals &amp; Budget 2026'!$A$2:$EJ$49,62,FALSE),0)</f>
        <v>0</v>
      </c>
      <c r="I40" s="65" t="str">
        <f t="shared" si="33"/>
        <v>***</v>
      </c>
      <c r="J40" s="54"/>
      <c r="K40" s="54">
        <f>+IFERROR(VLOOKUP($A40,'Goals &amp; Budget 2026'!$A$2:$EJ$49,63,FALSE),0)</f>
        <v>0</v>
      </c>
      <c r="L40" s="65" t="str">
        <f t="shared" si="34"/>
        <v>***</v>
      </c>
      <c r="M40" s="54"/>
      <c r="N40" s="54">
        <f>+IFERROR(VLOOKUP($A40,'Goals &amp; Budget 2026'!$A$2:$EJ$49,64,FALSE),0)</f>
        <v>0</v>
      </c>
      <c r="O40" s="232" t="str">
        <f t="shared" si="35"/>
        <v>***</v>
      </c>
      <c r="P40" s="54"/>
      <c r="Q40" s="54">
        <f>+IFERROR(VLOOKUP($A40,'Goals &amp; Budget 2026'!$A$2:$EJ$49,65,FALSE),0)</f>
        <v>0</v>
      </c>
      <c r="R40" s="65" t="str">
        <f t="shared" si="36"/>
        <v>***</v>
      </c>
      <c r="S40" s="54"/>
      <c r="T40" s="54">
        <f>+IFERROR(VLOOKUP($A40,'Goals &amp; Budget 2026'!$A$2:$EJ$49,66,FALSE),0)</f>
        <v>0</v>
      </c>
      <c r="U40" s="65" t="str">
        <f t="shared" si="37"/>
        <v>***</v>
      </c>
      <c r="V40" s="54"/>
      <c r="W40" s="54">
        <f>+IFERROR(VLOOKUP($A40,'Goals &amp; Budget 2026'!$A$2:$EJ$49,67,FALSE),0)</f>
        <v>0</v>
      </c>
      <c r="X40" s="232" t="str">
        <f t="shared" si="38"/>
        <v>***</v>
      </c>
      <c r="Y40" s="54"/>
      <c r="Z40" s="54">
        <f>+IFERROR(VLOOKUP($A40,'Goals &amp; Budget 2026'!$A$2:$EJ$49,68,FALSE),0)</f>
        <v>0</v>
      </c>
      <c r="AA40" s="65" t="str">
        <f t="shared" si="39"/>
        <v>***</v>
      </c>
      <c r="AB40" s="54"/>
      <c r="AC40" s="54">
        <f>+IFERROR(VLOOKUP($A40,'Goals &amp; Budget 2026'!$A$2:$EJ$49,69,FALSE),0)</f>
        <v>0</v>
      </c>
      <c r="AD40" s="65" t="str">
        <f t="shared" si="40"/>
        <v>***</v>
      </c>
      <c r="AE40" s="54"/>
      <c r="AF40" s="54">
        <f>+IFERROR(VLOOKUP($A40,'Goals &amp; Budget 2026'!$A$2:$EJ$49,70,FALSE),0)</f>
        <v>0</v>
      </c>
      <c r="AG40" s="232" t="str">
        <f t="shared" si="41"/>
        <v>***</v>
      </c>
      <c r="AH40" s="54"/>
      <c r="AI40" s="54">
        <f>+IFERROR(VLOOKUP($A40,'Goals &amp; Budget 2026'!$A$2:$EJ$49,71,FALSE),0)</f>
        <v>0</v>
      </c>
      <c r="AJ40" s="65" t="str">
        <f t="shared" si="42"/>
        <v>***</v>
      </c>
      <c r="AK40" s="54"/>
      <c r="AL40" s="54">
        <f>+IFERROR(VLOOKUP($A40,'Goals &amp; Budget 2026'!$A$2:$EJ$49,72,FALSE),0)</f>
        <v>0</v>
      </c>
      <c r="AM40" s="65" t="str">
        <f t="shared" si="43"/>
        <v>***</v>
      </c>
      <c r="AN40" s="54"/>
      <c r="AO40" s="54">
        <f>+IFERROR(VLOOKUP($A40,'Goals &amp; Budget 2026'!$A$2:$EJ$49,73,FALSE),0)</f>
        <v>0</v>
      </c>
      <c r="AP40" s="66" t="str">
        <f t="shared" si="44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1">
        <f t="shared" si="30"/>
        <v>0</v>
      </c>
      <c r="E41" s="54">
        <f t="shared" si="31"/>
        <v>0</v>
      </c>
      <c r="F41" s="232" t="str">
        <f t="shared" si="32"/>
        <v>***</v>
      </c>
      <c r="G41" s="54"/>
      <c r="H41" s="54">
        <f>+IFERROR(VLOOKUP($A41,'Goals &amp; Budget 2026'!$A$2:$EJ$49,62,FALSE),0)</f>
        <v>0</v>
      </c>
      <c r="I41" s="65" t="str">
        <f t="shared" si="33"/>
        <v>***</v>
      </c>
      <c r="J41" s="54"/>
      <c r="K41" s="54">
        <f>+IFERROR(VLOOKUP($A41,'Goals &amp; Budget 2026'!$A$2:$EJ$49,63,FALSE),0)</f>
        <v>0</v>
      </c>
      <c r="L41" s="65" t="str">
        <f t="shared" si="34"/>
        <v>***</v>
      </c>
      <c r="M41" s="54"/>
      <c r="N41" s="54">
        <f>+IFERROR(VLOOKUP($A41,'Goals &amp; Budget 2026'!$A$2:$EJ$49,64,FALSE),0)</f>
        <v>0</v>
      </c>
      <c r="O41" s="232" t="str">
        <f t="shared" si="35"/>
        <v>***</v>
      </c>
      <c r="P41" s="54"/>
      <c r="Q41" s="54">
        <f>+IFERROR(VLOOKUP($A41,'Goals &amp; Budget 2026'!$A$2:$EJ$49,65,FALSE),0)</f>
        <v>0</v>
      </c>
      <c r="R41" s="65" t="str">
        <f t="shared" si="36"/>
        <v>***</v>
      </c>
      <c r="S41" s="54"/>
      <c r="T41" s="54">
        <f>+IFERROR(VLOOKUP($A41,'Goals &amp; Budget 2026'!$A$2:$EJ$49,66,FALSE),0)</f>
        <v>0</v>
      </c>
      <c r="U41" s="65" t="str">
        <f t="shared" si="37"/>
        <v>***</v>
      </c>
      <c r="V41" s="54"/>
      <c r="W41" s="54">
        <f>+IFERROR(VLOOKUP($A41,'Goals &amp; Budget 2026'!$A$2:$EJ$49,67,FALSE),0)</f>
        <v>0</v>
      </c>
      <c r="X41" s="232" t="str">
        <f t="shared" si="38"/>
        <v>***</v>
      </c>
      <c r="Y41" s="54"/>
      <c r="Z41" s="54">
        <f>+IFERROR(VLOOKUP($A41,'Goals &amp; Budget 2026'!$A$2:$EJ$49,68,FALSE),0)</f>
        <v>0</v>
      </c>
      <c r="AA41" s="65" t="str">
        <f t="shared" si="39"/>
        <v>***</v>
      </c>
      <c r="AB41" s="54"/>
      <c r="AC41" s="54">
        <f>+IFERROR(VLOOKUP($A41,'Goals &amp; Budget 2026'!$A$2:$EJ$49,69,FALSE),0)</f>
        <v>0</v>
      </c>
      <c r="AD41" s="65" t="str">
        <f t="shared" si="40"/>
        <v>***</v>
      </c>
      <c r="AE41" s="54"/>
      <c r="AF41" s="54">
        <f>+IFERROR(VLOOKUP($A41,'Goals &amp; Budget 2026'!$A$2:$EJ$49,70,FALSE),0)</f>
        <v>0</v>
      </c>
      <c r="AG41" s="232" t="str">
        <f t="shared" si="41"/>
        <v>***</v>
      </c>
      <c r="AH41" s="54"/>
      <c r="AI41" s="54">
        <f>+IFERROR(VLOOKUP($A41,'Goals &amp; Budget 2026'!$A$2:$EJ$49,71,FALSE),0)</f>
        <v>0</v>
      </c>
      <c r="AJ41" s="65" t="str">
        <f t="shared" si="42"/>
        <v>***</v>
      </c>
      <c r="AK41" s="54"/>
      <c r="AL41" s="54">
        <f>+IFERROR(VLOOKUP($A41,'Goals &amp; Budget 2026'!$A$2:$EJ$49,72,FALSE),0)</f>
        <v>0</v>
      </c>
      <c r="AM41" s="65" t="str">
        <f t="shared" si="43"/>
        <v>***</v>
      </c>
      <c r="AN41" s="54"/>
      <c r="AO41" s="54">
        <f>+IFERROR(VLOOKUP($A41,'Goals &amp; Budget 2026'!$A$2:$EJ$49,73,FALSE),0)</f>
        <v>0</v>
      </c>
      <c r="AP41" s="66" t="str">
        <f t="shared" si="44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1">
        <f t="shared" si="30"/>
        <v>0</v>
      </c>
      <c r="E42" s="54">
        <f t="shared" si="31"/>
        <v>0</v>
      </c>
      <c r="F42" s="232" t="str">
        <f t="shared" si="32"/>
        <v>***</v>
      </c>
      <c r="G42" s="54"/>
      <c r="H42" s="54">
        <f>+IFERROR(VLOOKUP($A42,'Goals &amp; Budget 2026'!$A$2:$EJ$49,62,FALSE),0)</f>
        <v>0</v>
      </c>
      <c r="I42" s="65" t="str">
        <f t="shared" si="33"/>
        <v>***</v>
      </c>
      <c r="J42" s="54"/>
      <c r="K42" s="54">
        <f>+IFERROR(VLOOKUP($A42,'Goals &amp; Budget 2026'!$A$2:$EJ$49,63,FALSE),0)</f>
        <v>0</v>
      </c>
      <c r="L42" s="65" t="str">
        <f t="shared" si="34"/>
        <v>***</v>
      </c>
      <c r="M42" s="54"/>
      <c r="N42" s="54">
        <f>+IFERROR(VLOOKUP($A42,'Goals &amp; Budget 2026'!$A$2:$EJ$49,64,FALSE),0)</f>
        <v>0</v>
      </c>
      <c r="O42" s="232" t="str">
        <f t="shared" si="35"/>
        <v>***</v>
      </c>
      <c r="P42" s="54"/>
      <c r="Q42" s="54">
        <f>+IFERROR(VLOOKUP($A42,'Goals &amp; Budget 2026'!$A$2:$EJ$49,65,FALSE),0)</f>
        <v>0</v>
      </c>
      <c r="R42" s="65" t="str">
        <f t="shared" si="36"/>
        <v>***</v>
      </c>
      <c r="S42" s="54"/>
      <c r="T42" s="54">
        <f>+IFERROR(VLOOKUP($A42,'Goals &amp; Budget 2026'!$A$2:$EJ$49,66,FALSE),0)</f>
        <v>0</v>
      </c>
      <c r="U42" s="65" t="str">
        <f t="shared" si="37"/>
        <v>***</v>
      </c>
      <c r="V42" s="54"/>
      <c r="W42" s="54">
        <f>+IFERROR(VLOOKUP($A42,'Goals &amp; Budget 2026'!$A$2:$EJ$49,67,FALSE),0)</f>
        <v>0</v>
      </c>
      <c r="X42" s="232" t="str">
        <f t="shared" si="38"/>
        <v>***</v>
      </c>
      <c r="Y42" s="54"/>
      <c r="Z42" s="54">
        <f>+IFERROR(VLOOKUP($A42,'Goals &amp; Budget 2026'!$A$2:$EJ$49,68,FALSE),0)</f>
        <v>0</v>
      </c>
      <c r="AA42" s="65" t="str">
        <f t="shared" si="39"/>
        <v>***</v>
      </c>
      <c r="AB42" s="54"/>
      <c r="AC42" s="54">
        <f>+IFERROR(VLOOKUP($A42,'Goals &amp; Budget 2026'!$A$2:$EJ$49,69,FALSE),0)</f>
        <v>0</v>
      </c>
      <c r="AD42" s="65" t="str">
        <f t="shared" si="40"/>
        <v>***</v>
      </c>
      <c r="AE42" s="54"/>
      <c r="AF42" s="54">
        <f>+IFERROR(VLOOKUP($A42,'Goals &amp; Budget 2026'!$A$2:$EJ$49,70,FALSE),0)</f>
        <v>0</v>
      </c>
      <c r="AG42" s="232" t="str">
        <f t="shared" si="41"/>
        <v>***</v>
      </c>
      <c r="AH42" s="54"/>
      <c r="AI42" s="54">
        <f>+IFERROR(VLOOKUP($A42,'Goals &amp; Budget 2026'!$A$2:$EJ$49,71,FALSE),0)</f>
        <v>0</v>
      </c>
      <c r="AJ42" s="65" t="str">
        <f t="shared" si="42"/>
        <v>***</v>
      </c>
      <c r="AK42" s="54"/>
      <c r="AL42" s="54">
        <f>+IFERROR(VLOOKUP($A42,'Goals &amp; Budget 2026'!$A$2:$EJ$49,72,FALSE),0)</f>
        <v>0</v>
      </c>
      <c r="AM42" s="65" t="str">
        <f t="shared" si="43"/>
        <v>***</v>
      </c>
      <c r="AN42" s="54"/>
      <c r="AO42" s="54">
        <f>+IFERROR(VLOOKUP($A42,'Goals &amp; Budget 2026'!$A$2:$EJ$49,73,FALSE),0)</f>
        <v>0</v>
      </c>
      <c r="AP42" s="66" t="str">
        <f t="shared" si="44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51">
        <f t="shared" si="30"/>
        <v>0</v>
      </c>
      <c r="E43" s="54">
        <f t="shared" si="31"/>
        <v>0</v>
      </c>
      <c r="F43" s="232" t="str">
        <f t="shared" si="32"/>
        <v>***</v>
      </c>
      <c r="G43" s="54"/>
      <c r="H43" s="54">
        <f>+IFERROR(VLOOKUP($A43,'Goals &amp; Budget 2026'!$A$2:$EJ$49,62,FALSE),0)</f>
        <v>0</v>
      </c>
      <c r="I43" s="65" t="str">
        <f t="shared" si="33"/>
        <v>***</v>
      </c>
      <c r="J43" s="54"/>
      <c r="K43" s="54">
        <f>+IFERROR(VLOOKUP($A43,'Goals &amp; Budget 2026'!$A$2:$EJ$49,63,FALSE),0)</f>
        <v>0</v>
      </c>
      <c r="L43" s="65" t="str">
        <f t="shared" si="34"/>
        <v>***</v>
      </c>
      <c r="M43" s="54"/>
      <c r="N43" s="54">
        <f>+IFERROR(VLOOKUP($A43,'Goals &amp; Budget 2026'!$A$2:$EJ$49,64,FALSE),0)</f>
        <v>0</v>
      </c>
      <c r="O43" s="232" t="str">
        <f t="shared" si="35"/>
        <v>***</v>
      </c>
      <c r="P43" s="54"/>
      <c r="Q43" s="54">
        <f>+IFERROR(VLOOKUP($A43,'Goals &amp; Budget 2026'!$A$2:$EJ$49,65,FALSE),0)</f>
        <v>0</v>
      </c>
      <c r="R43" s="65" t="str">
        <f t="shared" si="36"/>
        <v>***</v>
      </c>
      <c r="S43" s="54"/>
      <c r="T43" s="54">
        <f>+IFERROR(VLOOKUP($A43,'Goals &amp; Budget 2026'!$A$2:$EJ$49,66,FALSE),0)</f>
        <v>0</v>
      </c>
      <c r="U43" s="65" t="str">
        <f t="shared" si="37"/>
        <v>***</v>
      </c>
      <c r="V43" s="54"/>
      <c r="W43" s="54">
        <f>+IFERROR(VLOOKUP($A43,'Goals &amp; Budget 2026'!$A$2:$EJ$49,67,FALSE),0)</f>
        <v>0</v>
      </c>
      <c r="X43" s="232" t="str">
        <f t="shared" si="38"/>
        <v>***</v>
      </c>
      <c r="Y43" s="54"/>
      <c r="Z43" s="54">
        <f>+IFERROR(VLOOKUP($A43,'Goals &amp; Budget 2026'!$A$2:$EJ$49,68,FALSE),0)</f>
        <v>0</v>
      </c>
      <c r="AA43" s="65" t="str">
        <f t="shared" si="39"/>
        <v>***</v>
      </c>
      <c r="AB43" s="54"/>
      <c r="AC43" s="54">
        <f>+IFERROR(VLOOKUP($A43,'Goals &amp; Budget 2026'!$A$2:$EJ$49,69,FALSE),0)</f>
        <v>0</v>
      </c>
      <c r="AD43" s="65" t="str">
        <f t="shared" si="40"/>
        <v>***</v>
      </c>
      <c r="AE43" s="54"/>
      <c r="AF43" s="54">
        <f>+IFERROR(VLOOKUP($A43,'Goals &amp; Budget 2026'!$A$2:$EJ$49,70,FALSE),0)</f>
        <v>0</v>
      </c>
      <c r="AG43" s="232" t="str">
        <f t="shared" si="41"/>
        <v>***</v>
      </c>
      <c r="AH43" s="54"/>
      <c r="AI43" s="54">
        <f>+IFERROR(VLOOKUP($A43,'Goals &amp; Budget 2026'!$A$2:$EJ$49,71,FALSE),0)</f>
        <v>0</v>
      </c>
      <c r="AJ43" s="65" t="str">
        <f t="shared" si="42"/>
        <v>***</v>
      </c>
      <c r="AK43" s="54"/>
      <c r="AL43" s="54">
        <f>+IFERROR(VLOOKUP($A43,'Goals &amp; Budget 2026'!$A$2:$EJ$49,72,FALSE),0)</f>
        <v>0</v>
      </c>
      <c r="AM43" s="65" t="str">
        <f t="shared" si="43"/>
        <v>***</v>
      </c>
      <c r="AN43" s="54"/>
      <c r="AO43" s="54">
        <f>+IFERROR(VLOOKUP($A43,'Goals &amp; Budget 2026'!$A$2:$EJ$49,73,FALSE),0)</f>
        <v>0</v>
      </c>
      <c r="AP43" s="66" t="str">
        <f t="shared" si="44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30"/>
        <v>0</v>
      </c>
      <c r="E44" s="54">
        <f t="shared" si="31"/>
        <v>0</v>
      </c>
      <c r="F44" s="232" t="str">
        <f t="shared" si="32"/>
        <v>***</v>
      </c>
      <c r="G44" s="54"/>
      <c r="H44" s="54">
        <f>+IFERROR(VLOOKUP($A44,'Goals &amp; Budget 2026'!$A$2:$EJ$49,62,FALSE),0)</f>
        <v>0</v>
      </c>
      <c r="I44" s="65" t="str">
        <f t="shared" si="33"/>
        <v>***</v>
      </c>
      <c r="J44" s="54"/>
      <c r="K44" s="54">
        <f>+IFERROR(VLOOKUP($A44,'Goals &amp; Budget 2026'!$A$2:$EJ$49,63,FALSE),0)</f>
        <v>0</v>
      </c>
      <c r="L44" s="65" t="str">
        <f t="shared" si="34"/>
        <v>***</v>
      </c>
      <c r="M44" s="54"/>
      <c r="N44" s="54">
        <f>+IFERROR(VLOOKUP($A44,'Goals &amp; Budget 2026'!$A$2:$EJ$49,64,FALSE),0)</f>
        <v>0</v>
      </c>
      <c r="O44" s="232" t="str">
        <f t="shared" si="35"/>
        <v>***</v>
      </c>
      <c r="P44" s="54"/>
      <c r="Q44" s="54">
        <f>+IFERROR(VLOOKUP($A44,'Goals &amp; Budget 2026'!$A$2:$EJ$49,65,FALSE),0)</f>
        <v>0</v>
      </c>
      <c r="R44" s="65" t="str">
        <f t="shared" si="36"/>
        <v>***</v>
      </c>
      <c r="S44" s="54"/>
      <c r="T44" s="54">
        <f>+IFERROR(VLOOKUP($A44,'Goals &amp; Budget 2026'!$A$2:$EJ$49,66,FALSE),0)</f>
        <v>0</v>
      </c>
      <c r="U44" s="65" t="str">
        <f t="shared" si="37"/>
        <v>***</v>
      </c>
      <c r="V44" s="54"/>
      <c r="W44" s="54">
        <f>+IFERROR(VLOOKUP($A44,'Goals &amp; Budget 2026'!$A$2:$EJ$49,67,FALSE),0)</f>
        <v>0</v>
      </c>
      <c r="X44" s="232" t="str">
        <f t="shared" si="38"/>
        <v>***</v>
      </c>
      <c r="Y44" s="54"/>
      <c r="Z44" s="54">
        <f>+IFERROR(VLOOKUP($A44,'Goals &amp; Budget 2026'!$A$2:$EJ$49,68,FALSE),0)</f>
        <v>0</v>
      </c>
      <c r="AA44" s="65" t="str">
        <f t="shared" si="39"/>
        <v>***</v>
      </c>
      <c r="AB44" s="54"/>
      <c r="AC44" s="54">
        <f>+IFERROR(VLOOKUP($A44,'Goals &amp; Budget 2026'!$A$2:$EJ$49,69,FALSE),0)</f>
        <v>0</v>
      </c>
      <c r="AD44" s="65" t="str">
        <f t="shared" si="40"/>
        <v>***</v>
      </c>
      <c r="AE44" s="54"/>
      <c r="AF44" s="54">
        <f>+IFERROR(VLOOKUP($A44,'Goals &amp; Budget 2026'!$A$2:$EJ$49,70,FALSE),0)</f>
        <v>0</v>
      </c>
      <c r="AG44" s="232" t="str">
        <f t="shared" si="41"/>
        <v>***</v>
      </c>
      <c r="AH44" s="54"/>
      <c r="AI44" s="54">
        <f>+IFERROR(VLOOKUP($A44,'Goals &amp; Budget 2026'!$A$2:$EJ$49,71,FALSE),0)</f>
        <v>0</v>
      </c>
      <c r="AJ44" s="65" t="str">
        <f t="shared" si="42"/>
        <v>***</v>
      </c>
      <c r="AK44" s="54"/>
      <c r="AL44" s="54">
        <f>+IFERROR(VLOOKUP($A44,'Goals &amp; Budget 2026'!$A$2:$EJ$49,72,FALSE),0)</f>
        <v>0</v>
      </c>
      <c r="AM44" s="65" t="str">
        <f t="shared" si="43"/>
        <v>***</v>
      </c>
      <c r="AN44" s="54"/>
      <c r="AO44" s="54">
        <f>+IFERROR(VLOOKUP($A44,'Goals &amp; Budget 2026'!$A$2:$EJ$49,73,FALSE),0)</f>
        <v>0</v>
      </c>
      <c r="AP44" s="66" t="str">
        <f t="shared" si="44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30"/>
        <v>0</v>
      </c>
      <c r="E45" s="54">
        <f t="shared" si="31"/>
        <v>0</v>
      </c>
      <c r="F45" s="232" t="str">
        <f t="shared" si="32"/>
        <v>***</v>
      </c>
      <c r="G45" s="54"/>
      <c r="H45" s="54">
        <f>+IFERROR(VLOOKUP($A45,'Goals &amp; Budget 2026'!$A$2:$EJ$49,62,FALSE),0)</f>
        <v>0</v>
      </c>
      <c r="I45" s="65" t="str">
        <f t="shared" si="33"/>
        <v>***</v>
      </c>
      <c r="J45" s="54"/>
      <c r="K45" s="54">
        <f>+IFERROR(VLOOKUP($A45,'Goals &amp; Budget 2026'!$A$2:$EJ$49,63,FALSE),0)</f>
        <v>0</v>
      </c>
      <c r="L45" s="65" t="str">
        <f t="shared" si="34"/>
        <v>***</v>
      </c>
      <c r="M45" s="54"/>
      <c r="N45" s="54">
        <f>+IFERROR(VLOOKUP($A45,'Goals &amp; Budget 2026'!$A$2:$EJ$49,64,FALSE),0)</f>
        <v>0</v>
      </c>
      <c r="O45" s="232" t="str">
        <f t="shared" si="35"/>
        <v>***</v>
      </c>
      <c r="P45" s="54"/>
      <c r="Q45" s="54">
        <f>+IFERROR(VLOOKUP($A45,'Goals &amp; Budget 2026'!$A$2:$EJ$49,65,FALSE),0)</f>
        <v>0</v>
      </c>
      <c r="R45" s="65" t="str">
        <f t="shared" si="36"/>
        <v>***</v>
      </c>
      <c r="S45" s="54"/>
      <c r="T45" s="54">
        <f>+IFERROR(VLOOKUP($A45,'Goals &amp; Budget 2026'!$A$2:$EJ$49,66,FALSE),0)</f>
        <v>0</v>
      </c>
      <c r="U45" s="65" t="str">
        <f t="shared" si="37"/>
        <v>***</v>
      </c>
      <c r="V45" s="54"/>
      <c r="W45" s="54">
        <f>+IFERROR(VLOOKUP($A45,'Goals &amp; Budget 2026'!$A$2:$EJ$49,67,FALSE),0)</f>
        <v>0</v>
      </c>
      <c r="X45" s="232" t="str">
        <f t="shared" si="38"/>
        <v>***</v>
      </c>
      <c r="Y45" s="54"/>
      <c r="Z45" s="54">
        <f>+IFERROR(VLOOKUP($A45,'Goals &amp; Budget 2026'!$A$2:$EJ$49,68,FALSE),0)</f>
        <v>0</v>
      </c>
      <c r="AA45" s="65" t="str">
        <f t="shared" si="39"/>
        <v>***</v>
      </c>
      <c r="AB45" s="54"/>
      <c r="AC45" s="54">
        <f>+IFERROR(VLOOKUP($A45,'Goals &amp; Budget 2026'!$A$2:$EJ$49,69,FALSE),0)</f>
        <v>0</v>
      </c>
      <c r="AD45" s="65" t="str">
        <f t="shared" si="40"/>
        <v>***</v>
      </c>
      <c r="AE45" s="54"/>
      <c r="AF45" s="54">
        <f>+IFERROR(VLOOKUP($A45,'Goals &amp; Budget 2026'!$A$2:$EJ$49,70,FALSE),0)</f>
        <v>0</v>
      </c>
      <c r="AG45" s="232" t="str">
        <f t="shared" si="41"/>
        <v>***</v>
      </c>
      <c r="AH45" s="54"/>
      <c r="AI45" s="54">
        <f>+IFERROR(VLOOKUP($A45,'Goals &amp; Budget 2026'!$A$2:$EJ$49,71,FALSE),0)</f>
        <v>0</v>
      </c>
      <c r="AJ45" s="65" t="str">
        <f t="shared" si="42"/>
        <v>***</v>
      </c>
      <c r="AK45" s="54"/>
      <c r="AL45" s="54">
        <f>+IFERROR(VLOOKUP($A45,'Goals &amp; Budget 2026'!$A$2:$EJ$49,72,FALSE),0)</f>
        <v>0</v>
      </c>
      <c r="AM45" s="65" t="str">
        <f t="shared" si="43"/>
        <v>***</v>
      </c>
      <c r="AN45" s="54"/>
      <c r="AO45" s="54">
        <f>+IFERROR(VLOOKUP($A45,'Goals &amp; Budget 2026'!$A$2:$EJ$49,73,FALSE),0)</f>
        <v>0</v>
      </c>
      <c r="AP45" s="66" t="str">
        <f t="shared" si="44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1">
        <f t="shared" si="30"/>
        <v>0</v>
      </c>
      <c r="E46" s="54">
        <f t="shared" si="31"/>
        <v>0</v>
      </c>
      <c r="F46" s="232" t="str">
        <f t="shared" si="32"/>
        <v>***</v>
      </c>
      <c r="G46" s="54"/>
      <c r="H46" s="54">
        <f>+IFERROR(VLOOKUP($A46,'Goals &amp; Budget 2026'!$A$2:$EJ$49,62,FALSE),0)</f>
        <v>0</v>
      </c>
      <c r="I46" s="65" t="str">
        <f t="shared" si="33"/>
        <v>***</v>
      </c>
      <c r="J46" s="54"/>
      <c r="K46" s="54">
        <f>+IFERROR(VLOOKUP($A46,'Goals &amp; Budget 2026'!$A$2:$EJ$49,63,FALSE),0)</f>
        <v>0</v>
      </c>
      <c r="L46" s="65" t="str">
        <f t="shared" si="34"/>
        <v>***</v>
      </c>
      <c r="M46" s="54"/>
      <c r="N46" s="54">
        <f>+IFERROR(VLOOKUP($A46,'Goals &amp; Budget 2026'!$A$2:$EJ$49,64,FALSE),0)</f>
        <v>0</v>
      </c>
      <c r="O46" s="232" t="str">
        <f t="shared" si="35"/>
        <v>***</v>
      </c>
      <c r="P46" s="54"/>
      <c r="Q46" s="54">
        <f>+IFERROR(VLOOKUP($A46,'Goals &amp; Budget 2026'!$A$2:$EJ$49,65,FALSE),0)</f>
        <v>0</v>
      </c>
      <c r="R46" s="65" t="str">
        <f t="shared" si="36"/>
        <v>***</v>
      </c>
      <c r="S46" s="54"/>
      <c r="T46" s="54">
        <f>+IFERROR(VLOOKUP($A46,'Goals &amp; Budget 2026'!$A$2:$EJ$49,66,FALSE),0)</f>
        <v>0</v>
      </c>
      <c r="U46" s="65" t="str">
        <f t="shared" si="37"/>
        <v>***</v>
      </c>
      <c r="V46" s="54"/>
      <c r="W46" s="54">
        <f>+IFERROR(VLOOKUP($A46,'Goals &amp; Budget 2026'!$A$2:$EJ$49,67,FALSE),0)</f>
        <v>0</v>
      </c>
      <c r="X46" s="232" t="str">
        <f t="shared" si="38"/>
        <v>***</v>
      </c>
      <c r="Y46" s="54"/>
      <c r="Z46" s="54">
        <f>+IFERROR(VLOOKUP($A46,'Goals &amp; Budget 2026'!$A$2:$EJ$49,68,FALSE),0)</f>
        <v>0</v>
      </c>
      <c r="AA46" s="65" t="str">
        <f t="shared" si="39"/>
        <v>***</v>
      </c>
      <c r="AB46" s="54"/>
      <c r="AC46" s="54">
        <f>+IFERROR(VLOOKUP($A46,'Goals &amp; Budget 2026'!$A$2:$EJ$49,69,FALSE),0)</f>
        <v>0</v>
      </c>
      <c r="AD46" s="65" t="str">
        <f t="shared" si="40"/>
        <v>***</v>
      </c>
      <c r="AE46" s="54"/>
      <c r="AF46" s="54">
        <f>+IFERROR(VLOOKUP($A46,'Goals &amp; Budget 2026'!$A$2:$EJ$49,70,FALSE),0)</f>
        <v>0</v>
      </c>
      <c r="AG46" s="232" t="str">
        <f t="shared" si="41"/>
        <v>***</v>
      </c>
      <c r="AH46" s="54"/>
      <c r="AI46" s="54">
        <f>+IFERROR(VLOOKUP($A46,'Goals &amp; Budget 2026'!$A$2:$EJ$49,71,FALSE),0)</f>
        <v>0</v>
      </c>
      <c r="AJ46" s="65" t="str">
        <f t="shared" si="42"/>
        <v>***</v>
      </c>
      <c r="AK46" s="54"/>
      <c r="AL46" s="54">
        <f>+IFERROR(VLOOKUP($A46,'Goals &amp; Budget 2026'!$A$2:$EJ$49,72,FALSE),0)</f>
        <v>0</v>
      </c>
      <c r="AM46" s="65" t="str">
        <f t="shared" si="43"/>
        <v>***</v>
      </c>
      <c r="AN46" s="54"/>
      <c r="AO46" s="54">
        <f>+IFERROR(VLOOKUP($A46,'Goals &amp; Budget 2026'!$A$2:$EJ$49,73,FALSE),0)</f>
        <v>0</v>
      </c>
      <c r="AP46" s="66" t="str">
        <f t="shared" si="44"/>
        <v>***</v>
      </c>
    </row>
    <row r="47" spans="1:42" ht="20.100000000000001" customHeight="1" thickBot="1" x14ac:dyDescent="0.3">
      <c r="A47" s="51" t="s">
        <v>106</v>
      </c>
      <c r="B47" s="52">
        <v>1</v>
      </c>
      <c r="C47" s="53">
        <v>378</v>
      </c>
      <c r="D47" s="51">
        <f t="shared" si="30"/>
        <v>0</v>
      </c>
      <c r="E47" s="54">
        <f t="shared" si="31"/>
        <v>0</v>
      </c>
      <c r="F47" s="232" t="str">
        <f t="shared" si="32"/>
        <v>***</v>
      </c>
      <c r="G47" s="54"/>
      <c r="H47" s="54">
        <f>+IFERROR(VLOOKUP($A47,'Goals &amp; Budget 2026'!$A$2:$EJ$49,62,FALSE),0)</f>
        <v>0</v>
      </c>
      <c r="I47" s="65" t="str">
        <f t="shared" si="33"/>
        <v>***</v>
      </c>
      <c r="J47" s="54"/>
      <c r="K47" s="54">
        <f>+IFERROR(VLOOKUP($A47,'Goals &amp; Budget 2026'!$A$2:$EJ$49,63,FALSE),0)</f>
        <v>0</v>
      </c>
      <c r="L47" s="65" t="str">
        <f t="shared" si="34"/>
        <v>***</v>
      </c>
      <c r="M47" s="54"/>
      <c r="N47" s="54">
        <f>+IFERROR(VLOOKUP($A47,'Goals &amp; Budget 2026'!$A$2:$EJ$49,64,FALSE),0)</f>
        <v>0</v>
      </c>
      <c r="O47" s="232" t="str">
        <f t="shared" si="35"/>
        <v>***</v>
      </c>
      <c r="P47" s="54"/>
      <c r="Q47" s="54">
        <f>+IFERROR(VLOOKUP($A47,'Goals &amp; Budget 2026'!$A$2:$EJ$49,65,FALSE),0)</f>
        <v>0</v>
      </c>
      <c r="R47" s="65" t="str">
        <f t="shared" si="36"/>
        <v>***</v>
      </c>
      <c r="S47" s="54"/>
      <c r="T47" s="54">
        <f>+IFERROR(VLOOKUP($A47,'Goals &amp; Budget 2026'!$A$2:$EJ$49,66,FALSE),0)</f>
        <v>0</v>
      </c>
      <c r="U47" s="65" t="str">
        <f t="shared" si="37"/>
        <v>***</v>
      </c>
      <c r="V47" s="54"/>
      <c r="W47" s="54">
        <f>+IFERROR(VLOOKUP($A47,'Goals &amp; Budget 2026'!$A$2:$EJ$49,67,FALSE),0)</f>
        <v>0</v>
      </c>
      <c r="X47" s="232" t="str">
        <f t="shared" si="38"/>
        <v>***</v>
      </c>
      <c r="Y47" s="54"/>
      <c r="Z47" s="54">
        <f>+IFERROR(VLOOKUP($A47,'Goals &amp; Budget 2026'!$A$2:$EJ$49,68,FALSE),0)</f>
        <v>0</v>
      </c>
      <c r="AA47" s="65" t="str">
        <f t="shared" si="39"/>
        <v>***</v>
      </c>
      <c r="AB47" s="54"/>
      <c r="AC47" s="54">
        <f>+IFERROR(VLOOKUP($A47,'Goals &amp; Budget 2026'!$A$2:$EJ$49,69,FALSE),0)</f>
        <v>0</v>
      </c>
      <c r="AD47" s="65" t="str">
        <f t="shared" si="40"/>
        <v>***</v>
      </c>
      <c r="AE47" s="54"/>
      <c r="AF47" s="54">
        <f>+IFERROR(VLOOKUP($A47,'Goals &amp; Budget 2026'!$A$2:$EJ$49,70,FALSE),0)</f>
        <v>0</v>
      </c>
      <c r="AG47" s="232" t="str">
        <f t="shared" si="41"/>
        <v>***</v>
      </c>
      <c r="AH47" s="54"/>
      <c r="AI47" s="54">
        <f>+IFERROR(VLOOKUP($A47,'Goals &amp; Budget 2026'!$A$2:$EJ$49,71,FALSE),0)</f>
        <v>0</v>
      </c>
      <c r="AJ47" s="65" t="str">
        <f t="shared" si="42"/>
        <v>***</v>
      </c>
      <c r="AK47" s="54"/>
      <c r="AL47" s="54">
        <f>+IFERROR(VLOOKUP($A47,'Goals &amp; Budget 2026'!$A$2:$EJ$49,72,FALSE),0)</f>
        <v>0</v>
      </c>
      <c r="AM47" s="65" t="str">
        <f t="shared" si="43"/>
        <v>***</v>
      </c>
      <c r="AN47" s="54"/>
      <c r="AO47" s="54">
        <f>+IFERROR(VLOOKUP($A47,'Goals &amp; Budget 2026'!$A$2:$EJ$49,73,FALSE),0)</f>
        <v>0</v>
      </c>
      <c r="AP47" s="66" t="str">
        <f t="shared" si="44"/>
        <v>***</v>
      </c>
    </row>
    <row r="48" spans="1:42" ht="20.100000000000001" customHeight="1" x14ac:dyDescent="0.25">
      <c r="A48" s="172" t="s">
        <v>12</v>
      </c>
      <c r="B48" s="173"/>
      <c r="C48" s="236"/>
      <c r="D48" s="125">
        <f>+SUM(D3:D47)</f>
        <v>0</v>
      </c>
      <c r="E48" s="126">
        <f>+SUM(E3:E47)</f>
        <v>0</v>
      </c>
      <c r="F48" s="237" t="str">
        <f t="shared" ref="F48" si="45">IF(AND(D48&gt;0,E48&gt;0),D48/E48,IF(AND(D48&gt;0,E48=0),100%,IF(AND(D48=0,E48&gt;0),0,IF(AND(D48=0,E48=0),"***",0))))</f>
        <v>***</v>
      </c>
      <c r="G48" s="126">
        <f>+SUM(G3:G47)</f>
        <v>0</v>
      </c>
      <c r="H48" s="126">
        <f>+SUM(H3:H47)</f>
        <v>0</v>
      </c>
      <c r="I48" s="238" t="str">
        <f t="shared" ref="I48:I49" si="46">IF(AND(G48&gt;0,H48&gt;0),G48/H48,IF(AND(G48&gt;0,H48=0),100%,IF(AND(G48=0,H48&gt;0),0,IF(AND(G48=0,H48=0),"***",0))))</f>
        <v>***</v>
      </c>
      <c r="J48" s="126">
        <f>+SUM(J3:J47)</f>
        <v>0</v>
      </c>
      <c r="K48" s="126">
        <f>+SUM(K3:K47)</f>
        <v>0</v>
      </c>
      <c r="L48" s="238" t="str">
        <f t="shared" ref="L48:L49" si="47">IF(AND(J48&gt;0,K48&gt;0),J48/K48,IF(AND(J48&gt;0,K48=0),100%,IF(AND(J48=0,K48&gt;0),0,IF(AND(J48=0,K48=0),"***",0))))</f>
        <v>***</v>
      </c>
      <c r="M48" s="126">
        <f>+SUM(M3:M47)</f>
        <v>0</v>
      </c>
      <c r="N48" s="126">
        <f>+SUM(N3:N47)</f>
        <v>0</v>
      </c>
      <c r="O48" s="237" t="str">
        <f t="shared" ref="O48:O49" si="48">IF(AND(M48&gt;0,N48&gt;0),M48/N48,IF(AND(M48&gt;0,N48=0),100%,IF(AND(M48=0,N48&gt;0),0,IF(AND(M48=0,N48=0),"***",0))))</f>
        <v>***</v>
      </c>
      <c r="P48" s="126">
        <f>+SUM(P3:P47)</f>
        <v>0</v>
      </c>
      <c r="Q48" s="126">
        <f>+SUM(Q3:Q47)</f>
        <v>0</v>
      </c>
      <c r="R48" s="238" t="str">
        <f t="shared" ref="R48:R49" si="49">IF(AND(P48&gt;0,Q48&gt;0),P48/Q48,IF(AND(P48&gt;0,Q48=0),100%,IF(AND(P48=0,Q48&gt;0),0,IF(AND(P48=0,Q48=0),"***",0))))</f>
        <v>***</v>
      </c>
      <c r="S48" s="126">
        <f>+SUM(S3:S47)</f>
        <v>0</v>
      </c>
      <c r="T48" s="126">
        <f>+SUM(T3:T47)</f>
        <v>0</v>
      </c>
      <c r="U48" s="238" t="str">
        <f t="shared" ref="U48:U49" si="50">IF(AND(S48&gt;0,T48&gt;0),S48/T48,IF(AND(S48&gt;0,T48=0),100%,IF(AND(S48=0,T48&gt;0),0,IF(AND(S48=0,T48=0),"***",0))))</f>
        <v>***</v>
      </c>
      <c r="V48" s="126">
        <f>+SUM(V3:V47)</f>
        <v>0</v>
      </c>
      <c r="W48" s="126">
        <f>+SUM(W3:W47)</f>
        <v>0</v>
      </c>
      <c r="X48" s="237" t="str">
        <f t="shared" ref="X48:X49" si="51">IF(AND(V48&gt;0,W48&gt;0),V48/W48,IF(AND(V48&gt;0,W48=0),100%,IF(AND(V48=0,W48&gt;0),0,IF(AND(V48=0,W48=0),"***",0))))</f>
        <v>***</v>
      </c>
      <c r="Y48" s="126">
        <f>+SUM(Y3:Y47)</f>
        <v>0</v>
      </c>
      <c r="Z48" s="126">
        <f>+SUM(Z3:Z47)</f>
        <v>0</v>
      </c>
      <c r="AA48" s="238" t="str">
        <f t="shared" ref="AA48:AA49" si="52">IF(AND(Y48&gt;0,Z48&gt;0),Y48/Z48,IF(AND(Y48&gt;0,Z48=0),100%,IF(AND(Y48=0,Z48&gt;0),0,IF(AND(Y48=0,Z48=0),"***",0))))</f>
        <v>***</v>
      </c>
      <c r="AB48" s="126">
        <f>+SUM(AB3:AB47)</f>
        <v>0</v>
      </c>
      <c r="AC48" s="126">
        <f>+SUM(AC3:AC47)</f>
        <v>0</v>
      </c>
      <c r="AD48" s="238" t="str">
        <f t="shared" ref="AD48:AD49" si="53">IF(AND(AB48&gt;0,AC48&gt;0),AB48/AC48,IF(AND(AB48&gt;0,AC48=0),100%,IF(AND(AB48=0,AC48&gt;0),0,IF(AND(AB48=0,AC48=0),"***",0))))</f>
        <v>***</v>
      </c>
      <c r="AE48" s="126">
        <f>+SUM(AE3:AE47)</f>
        <v>0</v>
      </c>
      <c r="AF48" s="126">
        <f>+SUM(AF3:AF47)</f>
        <v>0</v>
      </c>
      <c r="AG48" s="237" t="str">
        <f t="shared" ref="AG48:AG49" si="54">IF(AND(AE48&gt;0,AF48&gt;0),AE48/AF48,IF(AND(AE48&gt;0,AF48=0),100%,IF(AND(AE48=0,AF48&gt;0),0,IF(AND(AE48=0,AF48=0),"***",0))))</f>
        <v>***</v>
      </c>
      <c r="AH48" s="126">
        <f>+SUM(AH3:AH47)</f>
        <v>0</v>
      </c>
      <c r="AI48" s="126">
        <f>+SUM(AI3:AI47)</f>
        <v>0</v>
      </c>
      <c r="AJ48" s="238" t="str">
        <f t="shared" ref="AJ48:AJ49" si="55">IF(AND(AH48&gt;0,AI48&gt;0),AH48/AI48,IF(AND(AH48&gt;0,AI48=0),100%,IF(AND(AH48=0,AI48&gt;0),0,IF(AND(AH48=0,AI48=0),"***",0))))</f>
        <v>***</v>
      </c>
      <c r="AK48" s="126">
        <f>+SUM(AK3:AK47)</f>
        <v>0</v>
      </c>
      <c r="AL48" s="126">
        <f>+SUM(AL3:AL47)</f>
        <v>0</v>
      </c>
      <c r="AM48" s="238" t="str">
        <f t="shared" ref="AM48:AM49" si="56">IF(AND(AK48&gt;0,AL48&gt;0),AK48/AL48,IF(AND(AK48&gt;0,AL48=0),100%,IF(AND(AK48=0,AL48&gt;0),0,IF(AND(AK48=0,AL48=0),"***",0))))</f>
        <v>***</v>
      </c>
      <c r="AN48" s="126">
        <f>+SUM(AN3:AN47)</f>
        <v>0</v>
      </c>
      <c r="AO48" s="126">
        <f>+SUM(AO3:AO47)</f>
        <v>0</v>
      </c>
      <c r="AP48" s="239" t="str">
        <f t="shared" ref="AP48:AP49" si="57">IF(AND(AN48&gt;0,AO48&gt;0),AN48/AO48,IF(AND(AN48&gt;0,AO48=0),100%,IF(AND(AN48=0,AO48&gt;0),0,IF(AND(AN48=0,AO48=0),"***",0))))</f>
        <v>***</v>
      </c>
    </row>
    <row r="49" spans="1:42" ht="20.100000000000001" customHeight="1" thickBot="1" x14ac:dyDescent="0.3">
      <c r="A49" s="240" t="s">
        <v>23</v>
      </c>
      <c r="B49" s="241"/>
      <c r="C49" s="242"/>
      <c r="D49" s="139">
        <f>+SUMPRODUCT(D3:D47,$B$3:$B$47)</f>
        <v>0</v>
      </c>
      <c r="E49" s="140">
        <f>+SUMPRODUCT(E3:E47,$B$3:$B$47)</f>
        <v>0</v>
      </c>
      <c r="F49" s="243" t="str">
        <f>IF(AND(D49&gt;0,E49&gt;0),D49/E49,IF(AND(D49&gt;0,E49=0),100%,IF(AND(D49=0,E49&gt;0),0,IF(AND(D49=0,E49=0),"***",0))))</f>
        <v>***</v>
      </c>
      <c r="G49" s="140">
        <f>+SUMPRODUCT(G3:G47,$B$3:$B$47)</f>
        <v>0</v>
      </c>
      <c r="H49" s="140">
        <f>+SUMPRODUCT(H3:H47,$B$3:$B$47)</f>
        <v>0</v>
      </c>
      <c r="I49" s="244" t="str">
        <f t="shared" si="46"/>
        <v>***</v>
      </c>
      <c r="J49" s="140">
        <f>+SUMPRODUCT(J3:J47,$B$3:$B$47)</f>
        <v>0</v>
      </c>
      <c r="K49" s="140">
        <f>+SUMPRODUCT(K3:K47,$B$3:$B$47)</f>
        <v>0</v>
      </c>
      <c r="L49" s="244" t="str">
        <f t="shared" si="47"/>
        <v>***</v>
      </c>
      <c r="M49" s="140">
        <f>+SUMPRODUCT(M3:M47,$B$3:$B$47)</f>
        <v>0</v>
      </c>
      <c r="N49" s="140">
        <f>+SUMPRODUCT(N3:N47,$B$3:$B$47)</f>
        <v>0</v>
      </c>
      <c r="O49" s="243" t="str">
        <f t="shared" si="48"/>
        <v>***</v>
      </c>
      <c r="P49" s="140">
        <f>+SUMPRODUCT(P3:P47,$B$3:$B$47)</f>
        <v>0</v>
      </c>
      <c r="Q49" s="140">
        <f>+SUMPRODUCT(Q3:Q47,$B$3:$B$47)</f>
        <v>0</v>
      </c>
      <c r="R49" s="244" t="str">
        <f t="shared" si="49"/>
        <v>***</v>
      </c>
      <c r="S49" s="140">
        <f>+SUMPRODUCT(S3:S47,$B$3:$B$47)</f>
        <v>0</v>
      </c>
      <c r="T49" s="140">
        <f>+SUMPRODUCT(T3:T47,$B$3:$B$47)</f>
        <v>0</v>
      </c>
      <c r="U49" s="244" t="str">
        <f t="shared" si="50"/>
        <v>***</v>
      </c>
      <c r="V49" s="140">
        <f>+SUMPRODUCT(V3:V47,$B$3:$B$47)</f>
        <v>0</v>
      </c>
      <c r="W49" s="140">
        <f>+SUMPRODUCT(W3:W47,$B$3:$B$47)</f>
        <v>0</v>
      </c>
      <c r="X49" s="243" t="str">
        <f t="shared" si="51"/>
        <v>***</v>
      </c>
      <c r="Y49" s="140">
        <f>+SUMPRODUCT(Y3:Y47,$B$3:$B$47)</f>
        <v>0</v>
      </c>
      <c r="Z49" s="140">
        <f>+SUMPRODUCT(Z3:Z47,$B$3:$B$47)</f>
        <v>0</v>
      </c>
      <c r="AA49" s="244" t="str">
        <f t="shared" si="52"/>
        <v>***</v>
      </c>
      <c r="AB49" s="140">
        <f>+SUMPRODUCT(AB3:AB47,$B$3:$B$47)</f>
        <v>0</v>
      </c>
      <c r="AC49" s="140">
        <f>+SUMPRODUCT(AC3:AC47,$B$3:$B$47)</f>
        <v>0</v>
      </c>
      <c r="AD49" s="244" t="str">
        <f t="shared" si="53"/>
        <v>***</v>
      </c>
      <c r="AE49" s="140">
        <f>+SUMPRODUCT(AE3:AE47,$B$3:$B$47)</f>
        <v>0</v>
      </c>
      <c r="AF49" s="140">
        <f>+SUMPRODUCT(AF3:AF47,$B$3:$B$47)</f>
        <v>0</v>
      </c>
      <c r="AG49" s="243" t="str">
        <f t="shared" si="54"/>
        <v>***</v>
      </c>
      <c r="AH49" s="140">
        <f>+SUMPRODUCT(AH3:AH47,$B$3:$B$47)</f>
        <v>0</v>
      </c>
      <c r="AI49" s="140">
        <f>+SUMPRODUCT(AI3:AI47,$B$3:$B$47)</f>
        <v>0</v>
      </c>
      <c r="AJ49" s="244" t="str">
        <f t="shared" si="55"/>
        <v>***</v>
      </c>
      <c r="AK49" s="140">
        <f>+SUMPRODUCT(AK3:AK47,$B$3:$B$47)</f>
        <v>0</v>
      </c>
      <c r="AL49" s="140">
        <f>+SUMPRODUCT(AL3:AL47,$B$3:$B$47)</f>
        <v>0</v>
      </c>
      <c r="AM49" s="244" t="str">
        <f t="shared" si="56"/>
        <v>***</v>
      </c>
      <c r="AN49" s="140">
        <f>+SUMPRODUCT(AN3:AN47,$B$3:$B$47)</f>
        <v>0</v>
      </c>
      <c r="AO49" s="140">
        <f>+SUMPRODUCT(AO3:AO47,$B$3:$B$47)</f>
        <v>0</v>
      </c>
      <c r="AP49" s="245" t="str">
        <f t="shared" si="57"/>
        <v>***</v>
      </c>
    </row>
  </sheetData>
  <mergeCells count="16">
    <mergeCell ref="AK1:AM1"/>
    <mergeCell ref="AN1:AP1"/>
    <mergeCell ref="A48:C48"/>
    <mergeCell ref="A49:C49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conditionalFormatting sqref="F3:F49 I3:I49 L3:L49 O3:O49 R3:R49 U3:U49 X3:X49 AA3:AA49 AD3:AD49 AG3:AG49 AJ3:AJ49 AM3:AM49 AP3:AP49">
    <cfRule type="cellIs" priority="1" operator="equal">
      <formula>"***"</formula>
    </cfRule>
    <cfRule type="cellIs" dxfId="13" priority="2" operator="lessThan">
      <formula>1</formula>
    </cfRule>
    <cfRule type="cellIs" dxfId="12" priority="3" operator="greaterThanOr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1EB3-9647-4DFB-A8A2-F75904F7E2BB}">
  <sheetPr>
    <tabColor theme="8" tint="0.59999389629810485"/>
  </sheetPr>
  <dimension ref="A1:AP49"/>
  <sheetViews>
    <sheetView showGridLines="0" zoomScale="85" zoomScaleNormal="85" workbookViewId="0">
      <pane xSplit="6" ySplit="2" topLeftCell="P3" activePane="bottomRight" state="frozen"/>
      <selection pane="topRight" activeCell="G1" sqref="G1"/>
      <selection pane="bottomLeft" activeCell="A3" sqref="A3"/>
      <selection pane="bottomRight" activeCell="A3" sqref="A1:AP49"/>
    </sheetView>
  </sheetViews>
  <sheetFormatPr defaultRowHeight="20.100000000000001" customHeight="1" x14ac:dyDescent="0.25"/>
  <cols>
    <col min="1" max="1" width="15.85546875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+'Dashboard - Overview &amp; Project'!H2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35">
        <f>+G3</f>
        <v>0</v>
      </c>
      <c r="E3" s="38">
        <f>+H3</f>
        <v>0</v>
      </c>
      <c r="F3" s="230" t="str">
        <f>IF(AND(D3&gt;0,E3&gt;0),D3/E3,IF(AND(D3&gt;0,E3=0),100%,IF(AND(D3=0,E3&gt;0),0,IF(AND(D3=0,E3=0),"***",0))))</f>
        <v>***</v>
      </c>
      <c r="G3" s="38"/>
      <c r="H3" s="38">
        <f>+IFERROR(VLOOKUP($A3,'Goals &amp; Budget 2026'!$A$2:$EJ$49,77,FALSE),0)</f>
        <v>0</v>
      </c>
      <c r="I3" s="49" t="str">
        <f>IF(AND(G3&gt;0,H3&gt;0),G3/H3,IF(AND(G3&gt;0,H3=0),100%,IF(AND(G3=0,H3&gt;0),0,IF(AND(G3=0,H3=0),"***",0))))</f>
        <v>***</v>
      </c>
      <c r="J3" s="38"/>
      <c r="K3" s="38">
        <f>+IFERROR(VLOOKUP($A3,'Goals &amp; Budget 2026'!$A$2:$EJ$49,78,FALSE),0)</f>
        <v>0</v>
      </c>
      <c r="L3" s="49" t="str">
        <f>IF(AND(J3&gt;0,K3&gt;0),J3/K3,IF(AND(J3&gt;0,K3=0),100%,IF(AND(J3=0,K3&gt;0),0,IF(AND(J3=0,K3=0),"***",0))))</f>
        <v>***</v>
      </c>
      <c r="M3" s="38"/>
      <c r="N3" s="38">
        <f>+IFERROR(VLOOKUP($A3,'Goals &amp; Budget 2026'!$A$2:$EJ$49,79,FALSE),0)</f>
        <v>30</v>
      </c>
      <c r="O3" s="230">
        <f>IF(AND(M3&gt;0,N3&gt;0),M3/N3,IF(AND(M3&gt;0,N3=0),100%,IF(AND(M3=0,N3&gt;0),0,IF(AND(M3=0,N3=0),"***",0))))</f>
        <v>0</v>
      </c>
      <c r="P3" s="38"/>
      <c r="Q3" s="38">
        <f>+IFERROR(VLOOKUP($A3,'Goals &amp; Budget 2026'!$A$2:$EJ$49,80,FALSE),0)</f>
        <v>0</v>
      </c>
      <c r="R3" s="49" t="str">
        <f>IF(AND(P3&gt;0,Q3&gt;0),P3/Q3,IF(AND(P3&gt;0,Q3=0),100%,IF(AND(P3=0,Q3&gt;0),0,IF(AND(P3=0,Q3=0),"***",0))))</f>
        <v>***</v>
      </c>
      <c r="S3" s="38"/>
      <c r="T3" s="38">
        <f>+IFERROR(VLOOKUP($A3,'Goals &amp; Budget 2026'!$A$2:$EJ$49,81,FALSE),0)</f>
        <v>0</v>
      </c>
      <c r="U3" s="49" t="str">
        <f>IF(AND(S3&gt;0,T3&gt;0),S3/T3,IF(AND(S3&gt;0,T3=0),100%,IF(AND(S3=0,T3&gt;0),0,IF(AND(S3=0,T3=0),"***",0))))</f>
        <v>***</v>
      </c>
      <c r="V3" s="38"/>
      <c r="W3" s="38">
        <f>+IFERROR(VLOOKUP($A3,'Goals &amp; Budget 2026'!$A$2:$EJ$49,82,FALSE),0)</f>
        <v>0</v>
      </c>
      <c r="X3" s="230" t="str">
        <f>IF(AND(V3&gt;0,W3&gt;0),V3/W3,IF(AND(V3&gt;0,W3=0),100%,IF(AND(V3=0,W3&gt;0),0,IF(AND(V3=0,W3=0),"***",0))))</f>
        <v>***</v>
      </c>
      <c r="Y3" s="38"/>
      <c r="Z3" s="38">
        <f>+IFERROR(VLOOKUP($A3,'Goals &amp; Budget 2026'!$A$2:$EJ$49,83,FALSE),0)</f>
        <v>0</v>
      </c>
      <c r="AA3" s="49" t="str">
        <f>IF(AND(Y3&gt;0,Z3&gt;0),Y3/Z3,IF(AND(Y3&gt;0,Z3=0),100%,IF(AND(Y3=0,Z3&gt;0),0,IF(AND(Y3=0,Z3=0),"***",0))))</f>
        <v>***</v>
      </c>
      <c r="AB3" s="38"/>
      <c r="AC3" s="38">
        <f>+IFERROR(VLOOKUP($A3,'Goals &amp; Budget 2026'!$A$2:$EJ$49,84,FALSE),0)</f>
        <v>0</v>
      </c>
      <c r="AD3" s="49" t="str">
        <f>IF(AND(AB3&gt;0,AC3&gt;0),AB3/AC3,IF(AND(AB3&gt;0,AC3=0),100%,IF(AND(AB3=0,AC3&gt;0),0,IF(AND(AB3=0,AC3=0),"***",0))))</f>
        <v>***</v>
      </c>
      <c r="AE3" s="38"/>
      <c r="AF3" s="38">
        <f>+IFERROR(VLOOKUP($A3,'Goals &amp; Budget 2026'!$A$2:$EJ$49,85,FALSE),0)</f>
        <v>0</v>
      </c>
      <c r="AG3" s="230" t="str">
        <f>IF(AND(AE3&gt;0,AF3&gt;0),AE3/AF3,IF(AND(AE3&gt;0,AF3=0),100%,IF(AND(AE3=0,AF3&gt;0),0,IF(AND(AE3=0,AF3=0),"***",0))))</f>
        <v>***</v>
      </c>
      <c r="AH3" s="38"/>
      <c r="AI3" s="38">
        <f>+IFERROR(VLOOKUP($A3,'Goals &amp; Budget 2026'!$A$2:$EJ$49,86,FALSE),0)</f>
        <v>0</v>
      </c>
      <c r="AJ3" s="49" t="str">
        <f>IF(AND(AH3&gt;0,AI3&gt;0),AH3/AI3,IF(AND(AH3&gt;0,AI3=0),100%,IF(AND(AH3=0,AI3&gt;0),0,IF(AND(AH3=0,AI3=0),"***",0))))</f>
        <v>***</v>
      </c>
      <c r="AK3" s="38"/>
      <c r="AL3" s="38">
        <f>+IFERROR(VLOOKUP($A3,'Goals &amp; Budget 2026'!$A$2:$EJ$49,87,FALSE),0)</f>
        <v>0</v>
      </c>
      <c r="AM3" s="49" t="str">
        <f>IF(AND(AK3&gt;0,AL3&gt;0),AK3/AL3,IF(AND(AK3&gt;0,AL3=0),100%,IF(AND(AK3=0,AL3&gt;0),0,IF(AND(AK3=0,AL3=0),"***",0))))</f>
        <v>***</v>
      </c>
      <c r="AN3" s="38"/>
      <c r="AO3" s="38">
        <f>+IFERROR(VLOOKUP($A3,'Goals &amp; Budget 2026'!$A$2:$EJ$49,88,FALSE),0)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0">
        <f t="shared" ref="D4:D33" si="0">+G4</f>
        <v>0</v>
      </c>
      <c r="E4" s="73">
        <f t="shared" ref="E4:E33" si="1">+H4</f>
        <v>0</v>
      </c>
      <c r="F4" s="231" t="str">
        <f t="shared" ref="F4:F33" si="2">IF(AND(D4&gt;0,E4&gt;0),D4/E4,IF(AND(D4&gt;0,E4=0),100%,IF(AND(D4=0,E4&gt;0),0,IF(AND(D4=0,E4=0),"***",0))))</f>
        <v>***</v>
      </c>
      <c r="G4" s="73"/>
      <c r="H4" s="73">
        <f>+IFERROR(VLOOKUP($A4,'Goals &amp; Budget 2026'!$A$2:$EJ$49,77,FALSE),0)</f>
        <v>0</v>
      </c>
      <c r="I4" s="84" t="str">
        <f t="shared" ref="I4:I33" si="3">IF(AND(G4&gt;0,H4&gt;0),G4/H4,IF(AND(G4&gt;0,H4=0),100%,IF(AND(G4=0,H4&gt;0),0,IF(AND(G4=0,H4=0),"***",0))))</f>
        <v>***</v>
      </c>
      <c r="J4" s="73"/>
      <c r="K4" s="73">
        <f>+IFERROR(VLOOKUP($A4,'Goals &amp; Budget 2026'!$A$2:$EJ$49,78,FALSE),0)</f>
        <v>0</v>
      </c>
      <c r="L4" s="84" t="str">
        <f t="shared" ref="L4:L33" si="4">IF(AND(J4&gt;0,K4&gt;0),J4/K4,IF(AND(J4&gt;0,K4=0),100%,IF(AND(J4=0,K4&gt;0),0,IF(AND(J4=0,K4=0),"***",0))))</f>
        <v>***</v>
      </c>
      <c r="M4" s="73"/>
      <c r="N4" s="73">
        <f>+IFERROR(VLOOKUP($A4,'Goals &amp; Budget 2026'!$A$2:$EJ$49,79,FALSE),0)</f>
        <v>0</v>
      </c>
      <c r="O4" s="231" t="str">
        <f t="shared" ref="O4:O33" si="5">IF(AND(M4&gt;0,N4&gt;0),M4/N4,IF(AND(M4&gt;0,N4=0),100%,IF(AND(M4=0,N4&gt;0),0,IF(AND(M4=0,N4=0),"***",0))))</f>
        <v>***</v>
      </c>
      <c r="P4" s="73"/>
      <c r="Q4" s="73">
        <f>+IFERROR(VLOOKUP($A4,'Goals &amp; Budget 2026'!$A$2:$EJ$49,80,FALSE),0)</f>
        <v>0</v>
      </c>
      <c r="R4" s="84" t="str">
        <f t="shared" ref="R4:R33" si="6">IF(AND(P4&gt;0,Q4&gt;0),P4/Q4,IF(AND(P4&gt;0,Q4=0),100%,IF(AND(P4=0,Q4&gt;0),0,IF(AND(P4=0,Q4=0),"***",0))))</f>
        <v>***</v>
      </c>
      <c r="S4" s="73"/>
      <c r="T4" s="73">
        <f>+IFERROR(VLOOKUP($A4,'Goals &amp; Budget 2026'!$A$2:$EJ$49,81,FALSE),0)</f>
        <v>0</v>
      </c>
      <c r="U4" s="84" t="str">
        <f t="shared" ref="U4:U33" si="7">IF(AND(S4&gt;0,T4&gt;0),S4/T4,IF(AND(S4&gt;0,T4=0),100%,IF(AND(S4=0,T4&gt;0),0,IF(AND(S4=0,T4=0),"***",0))))</f>
        <v>***</v>
      </c>
      <c r="V4" s="73"/>
      <c r="W4" s="73">
        <f>+IFERROR(VLOOKUP($A4,'Goals &amp; Budget 2026'!$A$2:$EJ$49,82,FALSE),0)</f>
        <v>0</v>
      </c>
      <c r="X4" s="231" t="str">
        <f t="shared" ref="X4:X33" si="8">IF(AND(V4&gt;0,W4&gt;0),V4/W4,IF(AND(V4&gt;0,W4=0),100%,IF(AND(V4=0,W4&gt;0),0,IF(AND(V4=0,W4=0),"***",0))))</f>
        <v>***</v>
      </c>
      <c r="Y4" s="73"/>
      <c r="Z4" s="73">
        <f>+IFERROR(VLOOKUP($A4,'Goals &amp; Budget 2026'!$A$2:$EJ$49,83,FALSE),0)</f>
        <v>0</v>
      </c>
      <c r="AA4" s="84" t="str">
        <f t="shared" ref="AA4:AA33" si="9">IF(AND(Y4&gt;0,Z4&gt;0),Y4/Z4,IF(AND(Y4&gt;0,Z4=0),100%,IF(AND(Y4=0,Z4&gt;0),0,IF(AND(Y4=0,Z4=0),"***",0))))</f>
        <v>***</v>
      </c>
      <c r="AB4" s="73"/>
      <c r="AC4" s="73">
        <f>+IFERROR(VLOOKUP($A4,'Goals &amp; Budget 2026'!$A$2:$EJ$49,84,FALSE),0)</f>
        <v>0</v>
      </c>
      <c r="AD4" s="84" t="str">
        <f t="shared" ref="AD4:AD33" si="10">IF(AND(AB4&gt;0,AC4&gt;0),AB4/AC4,IF(AND(AB4&gt;0,AC4=0),100%,IF(AND(AB4=0,AC4&gt;0),0,IF(AND(AB4=0,AC4=0),"***",0))))</f>
        <v>***</v>
      </c>
      <c r="AE4" s="73"/>
      <c r="AF4" s="73">
        <f>+IFERROR(VLOOKUP($A4,'Goals &amp; Budget 2026'!$A$2:$EJ$49,85,FALSE),0)</f>
        <v>0</v>
      </c>
      <c r="AG4" s="231" t="str">
        <f t="shared" ref="AG4:AG33" si="11">IF(AND(AE4&gt;0,AF4&gt;0),AE4/AF4,IF(AND(AE4&gt;0,AF4=0),100%,IF(AND(AE4=0,AF4&gt;0),0,IF(AND(AE4=0,AF4=0),"***",0))))</f>
        <v>***</v>
      </c>
      <c r="AH4" s="73"/>
      <c r="AI4" s="73">
        <f>+IFERROR(VLOOKUP($A4,'Goals &amp; Budget 2026'!$A$2:$EJ$49,86,FALSE),0)</f>
        <v>0</v>
      </c>
      <c r="AJ4" s="84" t="str">
        <f t="shared" ref="AJ4:AJ33" si="12">IF(AND(AH4&gt;0,AI4&gt;0),AH4/AI4,IF(AND(AH4&gt;0,AI4=0),100%,IF(AND(AH4=0,AI4&gt;0),0,IF(AND(AH4=0,AI4=0),"***",0))))</f>
        <v>***</v>
      </c>
      <c r="AK4" s="73"/>
      <c r="AL4" s="73">
        <f>+IFERROR(VLOOKUP($A4,'Goals &amp; Budget 2026'!$A$2:$EJ$49,87,FALSE),0)</f>
        <v>0</v>
      </c>
      <c r="AM4" s="84" t="str">
        <f t="shared" ref="AM4:AM33" si="13">IF(AND(AK4&gt;0,AL4&gt;0),AK4/AL4,IF(AND(AK4&gt;0,AL4=0),100%,IF(AND(AK4=0,AL4&gt;0),0,IF(AND(AK4=0,AL4=0),"***",0))))</f>
        <v>***</v>
      </c>
      <c r="AN4" s="73"/>
      <c r="AO4" s="73">
        <f>+IFERROR(VLOOKUP($A4,'Goals &amp; Budget 2026'!$A$2:$EJ$49,88,FALSE),0)</f>
        <v>0</v>
      </c>
      <c r="AP4" s="85" t="str">
        <f t="shared" ref="AP4:AP33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0">
        <f t="shared" si="0"/>
        <v>0</v>
      </c>
      <c r="E5" s="73">
        <f t="shared" si="1"/>
        <v>0</v>
      </c>
      <c r="F5" s="231" t="str">
        <f t="shared" si="2"/>
        <v>***</v>
      </c>
      <c r="G5" s="73"/>
      <c r="H5" s="73">
        <f>+IFERROR(VLOOKUP($A5,'Goals &amp; Budget 2026'!$A$2:$EJ$49,77,FALSE),0)</f>
        <v>0</v>
      </c>
      <c r="I5" s="84" t="str">
        <f t="shared" si="3"/>
        <v>***</v>
      </c>
      <c r="J5" s="73"/>
      <c r="K5" s="73">
        <f>+IFERROR(VLOOKUP($A5,'Goals &amp; Budget 2026'!$A$2:$EJ$49,78,FALSE),0)</f>
        <v>0</v>
      </c>
      <c r="L5" s="84" t="str">
        <f t="shared" si="4"/>
        <v>***</v>
      </c>
      <c r="M5" s="73"/>
      <c r="N5" s="73">
        <f>+IFERROR(VLOOKUP($A5,'Goals &amp; Budget 2026'!$A$2:$EJ$49,79,FALSE),0)</f>
        <v>0</v>
      </c>
      <c r="O5" s="231" t="str">
        <f t="shared" si="5"/>
        <v>***</v>
      </c>
      <c r="P5" s="73"/>
      <c r="Q5" s="73">
        <f>+IFERROR(VLOOKUP($A5,'Goals &amp; Budget 2026'!$A$2:$EJ$49,80,FALSE),0)</f>
        <v>0</v>
      </c>
      <c r="R5" s="84" t="str">
        <f t="shared" si="6"/>
        <v>***</v>
      </c>
      <c r="S5" s="73"/>
      <c r="T5" s="73">
        <f>+IFERROR(VLOOKUP($A5,'Goals &amp; Budget 2026'!$A$2:$EJ$49,81,FALSE),0)</f>
        <v>0</v>
      </c>
      <c r="U5" s="84" t="str">
        <f t="shared" si="7"/>
        <v>***</v>
      </c>
      <c r="V5" s="73"/>
      <c r="W5" s="73">
        <f>+IFERROR(VLOOKUP($A5,'Goals &amp; Budget 2026'!$A$2:$EJ$49,82,FALSE),0)</f>
        <v>0</v>
      </c>
      <c r="X5" s="231" t="str">
        <f t="shared" si="8"/>
        <v>***</v>
      </c>
      <c r="Y5" s="73"/>
      <c r="Z5" s="73">
        <f>+IFERROR(VLOOKUP($A5,'Goals &amp; Budget 2026'!$A$2:$EJ$49,83,FALSE),0)</f>
        <v>0</v>
      </c>
      <c r="AA5" s="84" t="str">
        <f t="shared" si="9"/>
        <v>***</v>
      </c>
      <c r="AB5" s="73"/>
      <c r="AC5" s="73">
        <f>+IFERROR(VLOOKUP($A5,'Goals &amp; Budget 2026'!$A$2:$EJ$49,84,FALSE),0)</f>
        <v>0</v>
      </c>
      <c r="AD5" s="84" t="str">
        <f t="shared" si="10"/>
        <v>***</v>
      </c>
      <c r="AE5" s="73"/>
      <c r="AF5" s="73">
        <f>+IFERROR(VLOOKUP($A5,'Goals &amp; Budget 2026'!$A$2:$EJ$49,85,FALSE),0)</f>
        <v>0</v>
      </c>
      <c r="AG5" s="231" t="str">
        <f t="shared" si="11"/>
        <v>***</v>
      </c>
      <c r="AH5" s="73"/>
      <c r="AI5" s="73">
        <f>+IFERROR(VLOOKUP($A5,'Goals &amp; Budget 2026'!$A$2:$EJ$49,86,FALSE),0)</f>
        <v>0</v>
      </c>
      <c r="AJ5" s="84" t="str">
        <f t="shared" si="12"/>
        <v>***</v>
      </c>
      <c r="AK5" s="73"/>
      <c r="AL5" s="73">
        <f>+IFERROR(VLOOKUP($A5,'Goals &amp; Budget 2026'!$A$2:$EJ$49,87,FALSE),0)</f>
        <v>0</v>
      </c>
      <c r="AM5" s="84" t="str">
        <f t="shared" si="13"/>
        <v>***</v>
      </c>
      <c r="AN5" s="73"/>
      <c r="AO5" s="73">
        <f>+IFERROR(VLOOKUP($A5,'Goals &amp; Budget 2026'!$A$2:$EJ$49,88,FALSE),0)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0">
        <f t="shared" si="0"/>
        <v>0</v>
      </c>
      <c r="E6" s="73">
        <f t="shared" si="1"/>
        <v>0</v>
      </c>
      <c r="F6" s="231" t="str">
        <f t="shared" si="2"/>
        <v>***</v>
      </c>
      <c r="G6" s="73"/>
      <c r="H6" s="73">
        <f>+IFERROR(VLOOKUP($A6,'Goals &amp; Budget 2026'!$A$2:$EJ$49,77,FALSE),0)</f>
        <v>0</v>
      </c>
      <c r="I6" s="84" t="str">
        <f t="shared" si="3"/>
        <v>***</v>
      </c>
      <c r="J6" s="73"/>
      <c r="K6" s="73">
        <f>+IFERROR(VLOOKUP($A6,'Goals &amp; Budget 2026'!$A$2:$EJ$49,78,FALSE),0)</f>
        <v>0</v>
      </c>
      <c r="L6" s="84" t="str">
        <f t="shared" si="4"/>
        <v>***</v>
      </c>
      <c r="M6" s="73"/>
      <c r="N6" s="73">
        <f>+IFERROR(VLOOKUP($A6,'Goals &amp; Budget 2026'!$A$2:$EJ$49,79,FALSE),0)</f>
        <v>0</v>
      </c>
      <c r="O6" s="231" t="str">
        <f t="shared" si="5"/>
        <v>***</v>
      </c>
      <c r="P6" s="73"/>
      <c r="Q6" s="73">
        <f>+IFERROR(VLOOKUP($A6,'Goals &amp; Budget 2026'!$A$2:$EJ$49,80,FALSE),0)</f>
        <v>0</v>
      </c>
      <c r="R6" s="84" t="str">
        <f t="shared" si="6"/>
        <v>***</v>
      </c>
      <c r="S6" s="73"/>
      <c r="T6" s="73">
        <f>+IFERROR(VLOOKUP($A6,'Goals &amp; Budget 2026'!$A$2:$EJ$49,81,FALSE),0)</f>
        <v>0</v>
      </c>
      <c r="U6" s="84" t="str">
        <f t="shared" si="7"/>
        <v>***</v>
      </c>
      <c r="V6" s="73"/>
      <c r="W6" s="73">
        <f>+IFERROR(VLOOKUP($A6,'Goals &amp; Budget 2026'!$A$2:$EJ$49,82,FALSE),0)</f>
        <v>0</v>
      </c>
      <c r="X6" s="231" t="str">
        <f t="shared" si="8"/>
        <v>***</v>
      </c>
      <c r="Y6" s="73"/>
      <c r="Z6" s="73">
        <f>+IFERROR(VLOOKUP($A6,'Goals &amp; Budget 2026'!$A$2:$EJ$49,83,FALSE),0)</f>
        <v>0</v>
      </c>
      <c r="AA6" s="84" t="str">
        <f t="shared" si="9"/>
        <v>***</v>
      </c>
      <c r="AB6" s="73"/>
      <c r="AC6" s="73">
        <f>+IFERROR(VLOOKUP($A6,'Goals &amp; Budget 2026'!$A$2:$EJ$49,84,FALSE),0)</f>
        <v>0</v>
      </c>
      <c r="AD6" s="84" t="str">
        <f t="shared" si="10"/>
        <v>***</v>
      </c>
      <c r="AE6" s="73"/>
      <c r="AF6" s="73">
        <f>+IFERROR(VLOOKUP($A6,'Goals &amp; Budget 2026'!$A$2:$EJ$49,85,FALSE),0)</f>
        <v>0</v>
      </c>
      <c r="AG6" s="231" t="str">
        <f t="shared" si="11"/>
        <v>***</v>
      </c>
      <c r="AH6" s="73"/>
      <c r="AI6" s="73">
        <f>+IFERROR(VLOOKUP($A6,'Goals &amp; Budget 2026'!$A$2:$EJ$49,86,FALSE),0)</f>
        <v>0</v>
      </c>
      <c r="AJ6" s="84" t="str">
        <f t="shared" si="12"/>
        <v>***</v>
      </c>
      <c r="AK6" s="73"/>
      <c r="AL6" s="73">
        <f>+IFERROR(VLOOKUP($A6,'Goals &amp; Budget 2026'!$A$2:$EJ$49,87,FALSE),0)</f>
        <v>0</v>
      </c>
      <c r="AM6" s="84" t="str">
        <f t="shared" si="13"/>
        <v>***</v>
      </c>
      <c r="AN6" s="73"/>
      <c r="AO6" s="73">
        <f>+IFERROR(VLOOKUP($A6,'Goals &amp; Budget 2026'!$A$2:$EJ$49,88,FALSE),0)</f>
        <v>0</v>
      </c>
      <c r="AP6" s="85" t="str">
        <f t="shared" si="14"/>
        <v>***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0">
        <f t="shared" si="0"/>
        <v>0</v>
      </c>
      <c r="E7" s="73">
        <f t="shared" si="1"/>
        <v>0</v>
      </c>
      <c r="F7" s="231" t="str">
        <f t="shared" si="2"/>
        <v>***</v>
      </c>
      <c r="G7" s="73"/>
      <c r="H7" s="73">
        <f>+IFERROR(VLOOKUP($A7,'Goals &amp; Budget 2026'!$A$2:$EJ$49,77,FALSE),0)</f>
        <v>0</v>
      </c>
      <c r="I7" s="84" t="str">
        <f t="shared" si="3"/>
        <v>***</v>
      </c>
      <c r="J7" s="73"/>
      <c r="K7" s="73">
        <f>+IFERROR(VLOOKUP($A7,'Goals &amp; Budget 2026'!$A$2:$EJ$49,78,FALSE),0)</f>
        <v>0</v>
      </c>
      <c r="L7" s="84" t="str">
        <f t="shared" si="4"/>
        <v>***</v>
      </c>
      <c r="M7" s="73"/>
      <c r="N7" s="73">
        <f>+IFERROR(VLOOKUP($A7,'Goals &amp; Budget 2026'!$A$2:$EJ$49,79,FALSE),0)</f>
        <v>0</v>
      </c>
      <c r="O7" s="231" t="str">
        <f t="shared" si="5"/>
        <v>***</v>
      </c>
      <c r="P7" s="73"/>
      <c r="Q7" s="73">
        <f>+IFERROR(VLOOKUP($A7,'Goals &amp; Budget 2026'!$A$2:$EJ$49,80,FALSE),0)</f>
        <v>0</v>
      </c>
      <c r="R7" s="84" t="str">
        <f t="shared" si="6"/>
        <v>***</v>
      </c>
      <c r="S7" s="73"/>
      <c r="T7" s="73">
        <f>+IFERROR(VLOOKUP($A7,'Goals &amp; Budget 2026'!$A$2:$EJ$49,81,FALSE),0)</f>
        <v>0</v>
      </c>
      <c r="U7" s="84" t="str">
        <f t="shared" si="7"/>
        <v>***</v>
      </c>
      <c r="V7" s="73"/>
      <c r="W7" s="73">
        <f>+IFERROR(VLOOKUP($A7,'Goals &amp; Budget 2026'!$A$2:$EJ$49,82,FALSE),0)</f>
        <v>0</v>
      </c>
      <c r="X7" s="231" t="str">
        <f t="shared" si="8"/>
        <v>***</v>
      </c>
      <c r="Y7" s="73"/>
      <c r="Z7" s="73">
        <f>+IFERROR(VLOOKUP($A7,'Goals &amp; Budget 2026'!$A$2:$EJ$49,83,FALSE),0)</f>
        <v>0</v>
      </c>
      <c r="AA7" s="84" t="str">
        <f t="shared" si="9"/>
        <v>***</v>
      </c>
      <c r="AB7" s="73"/>
      <c r="AC7" s="73">
        <f>+IFERROR(VLOOKUP($A7,'Goals &amp; Budget 2026'!$A$2:$EJ$49,84,FALSE),0)</f>
        <v>0</v>
      </c>
      <c r="AD7" s="84" t="str">
        <f t="shared" si="10"/>
        <v>***</v>
      </c>
      <c r="AE7" s="73"/>
      <c r="AF7" s="73">
        <f>+IFERROR(VLOOKUP($A7,'Goals &amp; Budget 2026'!$A$2:$EJ$49,85,FALSE),0)</f>
        <v>0</v>
      </c>
      <c r="AG7" s="231" t="str">
        <f t="shared" si="11"/>
        <v>***</v>
      </c>
      <c r="AH7" s="73"/>
      <c r="AI7" s="73">
        <f>+IFERROR(VLOOKUP($A7,'Goals &amp; Budget 2026'!$A$2:$EJ$49,86,FALSE),0)</f>
        <v>0</v>
      </c>
      <c r="AJ7" s="84" t="str">
        <f t="shared" si="12"/>
        <v>***</v>
      </c>
      <c r="AK7" s="73"/>
      <c r="AL7" s="73">
        <f>+IFERROR(VLOOKUP($A7,'Goals &amp; Budget 2026'!$A$2:$EJ$49,87,FALSE),0)</f>
        <v>0</v>
      </c>
      <c r="AM7" s="84" t="str">
        <f t="shared" si="13"/>
        <v>***</v>
      </c>
      <c r="AN7" s="73"/>
      <c r="AO7" s="73">
        <f>+IFERROR(VLOOKUP($A7,'Goals &amp; Budget 2026'!$A$2:$EJ$49,88,FALSE),0)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0">
        <f t="shared" si="0"/>
        <v>0</v>
      </c>
      <c r="E8" s="73">
        <f t="shared" si="1"/>
        <v>0</v>
      </c>
      <c r="F8" s="231" t="str">
        <f t="shared" si="2"/>
        <v>***</v>
      </c>
      <c r="G8" s="73"/>
      <c r="H8" s="73">
        <f>+IFERROR(VLOOKUP($A8,'Goals &amp; Budget 2026'!$A$2:$EJ$49,77,FALSE),0)</f>
        <v>0</v>
      </c>
      <c r="I8" s="84" t="str">
        <f t="shared" si="3"/>
        <v>***</v>
      </c>
      <c r="J8" s="73"/>
      <c r="K8" s="73">
        <f>+IFERROR(VLOOKUP($A8,'Goals &amp; Budget 2026'!$A$2:$EJ$49,78,FALSE),0)</f>
        <v>0</v>
      </c>
      <c r="L8" s="84" t="str">
        <f t="shared" si="4"/>
        <v>***</v>
      </c>
      <c r="M8" s="73"/>
      <c r="N8" s="73">
        <f>+IFERROR(VLOOKUP($A8,'Goals &amp; Budget 2026'!$A$2:$EJ$49,79,FALSE),0)</f>
        <v>0</v>
      </c>
      <c r="O8" s="231" t="str">
        <f t="shared" si="5"/>
        <v>***</v>
      </c>
      <c r="P8" s="73"/>
      <c r="Q8" s="73">
        <f>+IFERROR(VLOOKUP($A8,'Goals &amp; Budget 2026'!$A$2:$EJ$49,80,FALSE),0)</f>
        <v>0</v>
      </c>
      <c r="R8" s="84" t="str">
        <f t="shared" si="6"/>
        <v>***</v>
      </c>
      <c r="S8" s="73"/>
      <c r="T8" s="73">
        <f>+IFERROR(VLOOKUP($A8,'Goals &amp; Budget 2026'!$A$2:$EJ$49,81,FALSE),0)</f>
        <v>0</v>
      </c>
      <c r="U8" s="84" t="str">
        <f t="shared" si="7"/>
        <v>***</v>
      </c>
      <c r="V8" s="73"/>
      <c r="W8" s="73">
        <f>+IFERROR(VLOOKUP($A8,'Goals &amp; Budget 2026'!$A$2:$EJ$49,82,FALSE),0)</f>
        <v>0</v>
      </c>
      <c r="X8" s="231" t="str">
        <f t="shared" si="8"/>
        <v>***</v>
      </c>
      <c r="Y8" s="73"/>
      <c r="Z8" s="73">
        <f>+IFERROR(VLOOKUP($A8,'Goals &amp; Budget 2026'!$A$2:$EJ$49,83,FALSE),0)</f>
        <v>0</v>
      </c>
      <c r="AA8" s="84" t="str">
        <f t="shared" si="9"/>
        <v>***</v>
      </c>
      <c r="AB8" s="73"/>
      <c r="AC8" s="73">
        <f>+IFERROR(VLOOKUP($A8,'Goals &amp; Budget 2026'!$A$2:$EJ$49,84,FALSE),0)</f>
        <v>0</v>
      </c>
      <c r="AD8" s="84" t="str">
        <f t="shared" si="10"/>
        <v>***</v>
      </c>
      <c r="AE8" s="73"/>
      <c r="AF8" s="73">
        <f>+IFERROR(VLOOKUP($A8,'Goals &amp; Budget 2026'!$A$2:$EJ$49,85,FALSE),0)</f>
        <v>0</v>
      </c>
      <c r="AG8" s="231" t="str">
        <f t="shared" si="11"/>
        <v>***</v>
      </c>
      <c r="AH8" s="73"/>
      <c r="AI8" s="73">
        <f>+IFERROR(VLOOKUP($A8,'Goals &amp; Budget 2026'!$A$2:$EJ$49,86,FALSE),0)</f>
        <v>0</v>
      </c>
      <c r="AJ8" s="84" t="str">
        <f t="shared" si="12"/>
        <v>***</v>
      </c>
      <c r="AK8" s="73"/>
      <c r="AL8" s="73">
        <f>+IFERROR(VLOOKUP($A8,'Goals &amp; Budget 2026'!$A$2:$EJ$49,87,FALSE),0)</f>
        <v>0</v>
      </c>
      <c r="AM8" s="84" t="str">
        <f t="shared" si="13"/>
        <v>***</v>
      </c>
      <c r="AN8" s="73"/>
      <c r="AO8" s="73">
        <f>+IFERROR(VLOOKUP($A8,'Goals &amp; Budget 2026'!$A$2:$EJ$49,88,FALSE),0)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0">
        <f t="shared" si="0"/>
        <v>0</v>
      </c>
      <c r="E9" s="73">
        <f t="shared" si="1"/>
        <v>0</v>
      </c>
      <c r="F9" s="231" t="str">
        <f t="shared" si="2"/>
        <v>***</v>
      </c>
      <c r="G9" s="73"/>
      <c r="H9" s="73">
        <f>+IFERROR(VLOOKUP($A9,'Goals &amp; Budget 2026'!$A$2:$EJ$49,77,FALSE),0)</f>
        <v>0</v>
      </c>
      <c r="I9" s="84" t="str">
        <f t="shared" si="3"/>
        <v>***</v>
      </c>
      <c r="J9" s="73"/>
      <c r="K9" s="73">
        <f>+IFERROR(VLOOKUP($A9,'Goals &amp; Budget 2026'!$A$2:$EJ$49,78,FALSE),0)</f>
        <v>0</v>
      </c>
      <c r="L9" s="84" t="str">
        <f t="shared" si="4"/>
        <v>***</v>
      </c>
      <c r="M9" s="73"/>
      <c r="N9" s="73">
        <f>+IFERROR(VLOOKUP($A9,'Goals &amp; Budget 2026'!$A$2:$EJ$49,79,FALSE),0)</f>
        <v>0</v>
      </c>
      <c r="O9" s="231" t="str">
        <f t="shared" si="5"/>
        <v>***</v>
      </c>
      <c r="P9" s="73"/>
      <c r="Q9" s="73">
        <f>+IFERROR(VLOOKUP($A9,'Goals &amp; Budget 2026'!$A$2:$EJ$49,80,FALSE),0)</f>
        <v>0</v>
      </c>
      <c r="R9" s="84" t="str">
        <f t="shared" si="6"/>
        <v>***</v>
      </c>
      <c r="S9" s="73"/>
      <c r="T9" s="73">
        <f>+IFERROR(VLOOKUP($A9,'Goals &amp; Budget 2026'!$A$2:$EJ$49,81,FALSE),0)</f>
        <v>0</v>
      </c>
      <c r="U9" s="84" t="str">
        <f t="shared" si="7"/>
        <v>***</v>
      </c>
      <c r="V9" s="73"/>
      <c r="W9" s="73">
        <f>+IFERROR(VLOOKUP($A9,'Goals &amp; Budget 2026'!$A$2:$EJ$49,82,FALSE),0)</f>
        <v>0</v>
      </c>
      <c r="X9" s="231" t="str">
        <f t="shared" si="8"/>
        <v>***</v>
      </c>
      <c r="Y9" s="73"/>
      <c r="Z9" s="73">
        <f>+IFERROR(VLOOKUP($A9,'Goals &amp; Budget 2026'!$A$2:$EJ$49,83,FALSE),0)</f>
        <v>0</v>
      </c>
      <c r="AA9" s="84" t="str">
        <f t="shared" si="9"/>
        <v>***</v>
      </c>
      <c r="AB9" s="73"/>
      <c r="AC9" s="73">
        <f>+IFERROR(VLOOKUP($A9,'Goals &amp; Budget 2026'!$A$2:$EJ$49,84,FALSE),0)</f>
        <v>0</v>
      </c>
      <c r="AD9" s="84" t="str">
        <f t="shared" si="10"/>
        <v>***</v>
      </c>
      <c r="AE9" s="73"/>
      <c r="AF9" s="73">
        <f>+IFERROR(VLOOKUP($A9,'Goals &amp; Budget 2026'!$A$2:$EJ$49,85,FALSE),0)</f>
        <v>0</v>
      </c>
      <c r="AG9" s="231" t="str">
        <f t="shared" si="11"/>
        <v>***</v>
      </c>
      <c r="AH9" s="73"/>
      <c r="AI9" s="73">
        <f>+IFERROR(VLOOKUP($A9,'Goals &amp; Budget 2026'!$A$2:$EJ$49,86,FALSE),0)</f>
        <v>0</v>
      </c>
      <c r="AJ9" s="84" t="str">
        <f t="shared" si="12"/>
        <v>***</v>
      </c>
      <c r="AK9" s="73"/>
      <c r="AL9" s="73">
        <f>+IFERROR(VLOOKUP($A9,'Goals &amp; Budget 2026'!$A$2:$EJ$49,87,FALSE),0)</f>
        <v>0</v>
      </c>
      <c r="AM9" s="84" t="str">
        <f t="shared" si="13"/>
        <v>***</v>
      </c>
      <c r="AN9" s="73"/>
      <c r="AO9" s="73">
        <f>+IFERROR(VLOOKUP($A9,'Goals &amp; Budget 2026'!$A$2:$EJ$49,88,FALSE),0)</f>
        <v>0</v>
      </c>
      <c r="AP9" s="85" t="str">
        <f t="shared" si="14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0">
        <f t="shared" si="0"/>
        <v>0</v>
      </c>
      <c r="E10" s="73">
        <f t="shared" si="1"/>
        <v>0</v>
      </c>
      <c r="F10" s="231" t="str">
        <f t="shared" si="2"/>
        <v>***</v>
      </c>
      <c r="G10" s="73"/>
      <c r="H10" s="73">
        <f>+IFERROR(VLOOKUP($A10,'Goals &amp; Budget 2026'!$A$2:$EJ$49,77,FALSE),0)</f>
        <v>0</v>
      </c>
      <c r="I10" s="84" t="str">
        <f t="shared" si="3"/>
        <v>***</v>
      </c>
      <c r="J10" s="73"/>
      <c r="K10" s="73">
        <f>+IFERROR(VLOOKUP($A10,'Goals &amp; Budget 2026'!$A$2:$EJ$49,78,FALSE),0)</f>
        <v>0</v>
      </c>
      <c r="L10" s="84" t="str">
        <f t="shared" si="4"/>
        <v>***</v>
      </c>
      <c r="M10" s="73"/>
      <c r="N10" s="73">
        <f>+IFERROR(VLOOKUP($A10,'Goals &amp; Budget 2026'!$A$2:$EJ$49,79,FALSE),0)</f>
        <v>0</v>
      </c>
      <c r="O10" s="231" t="str">
        <f t="shared" si="5"/>
        <v>***</v>
      </c>
      <c r="P10" s="73"/>
      <c r="Q10" s="73">
        <f>+IFERROR(VLOOKUP($A10,'Goals &amp; Budget 2026'!$A$2:$EJ$49,80,FALSE),0)</f>
        <v>0</v>
      </c>
      <c r="R10" s="84" t="str">
        <f t="shared" si="6"/>
        <v>***</v>
      </c>
      <c r="S10" s="73"/>
      <c r="T10" s="73">
        <f>+IFERROR(VLOOKUP($A10,'Goals &amp; Budget 2026'!$A$2:$EJ$49,81,FALSE),0)</f>
        <v>0</v>
      </c>
      <c r="U10" s="84" t="str">
        <f t="shared" si="7"/>
        <v>***</v>
      </c>
      <c r="V10" s="73"/>
      <c r="W10" s="73">
        <f>+IFERROR(VLOOKUP($A10,'Goals &amp; Budget 2026'!$A$2:$EJ$49,82,FALSE),0)</f>
        <v>0</v>
      </c>
      <c r="X10" s="231" t="str">
        <f t="shared" si="8"/>
        <v>***</v>
      </c>
      <c r="Y10" s="73"/>
      <c r="Z10" s="73">
        <f>+IFERROR(VLOOKUP($A10,'Goals &amp; Budget 2026'!$A$2:$EJ$49,83,FALSE),0)</f>
        <v>0</v>
      </c>
      <c r="AA10" s="84" t="str">
        <f t="shared" si="9"/>
        <v>***</v>
      </c>
      <c r="AB10" s="73"/>
      <c r="AC10" s="73">
        <f>+IFERROR(VLOOKUP($A10,'Goals &amp; Budget 2026'!$A$2:$EJ$49,84,FALSE),0)</f>
        <v>0</v>
      </c>
      <c r="AD10" s="84" t="str">
        <f t="shared" si="10"/>
        <v>***</v>
      </c>
      <c r="AE10" s="73"/>
      <c r="AF10" s="73">
        <f>+IFERROR(VLOOKUP($A10,'Goals &amp; Budget 2026'!$A$2:$EJ$49,85,FALSE),0)</f>
        <v>0</v>
      </c>
      <c r="AG10" s="231" t="str">
        <f t="shared" si="11"/>
        <v>***</v>
      </c>
      <c r="AH10" s="73"/>
      <c r="AI10" s="73">
        <f>+IFERROR(VLOOKUP($A10,'Goals &amp; Budget 2026'!$A$2:$EJ$49,86,FALSE),0)</f>
        <v>0</v>
      </c>
      <c r="AJ10" s="84" t="str">
        <f t="shared" si="12"/>
        <v>***</v>
      </c>
      <c r="AK10" s="73"/>
      <c r="AL10" s="73">
        <f>+IFERROR(VLOOKUP($A10,'Goals &amp; Budget 2026'!$A$2:$EJ$49,87,FALSE),0)</f>
        <v>0</v>
      </c>
      <c r="AM10" s="84" t="str">
        <f t="shared" si="13"/>
        <v>***</v>
      </c>
      <c r="AN10" s="73"/>
      <c r="AO10" s="73">
        <f>+IFERROR(VLOOKUP($A10,'Goals &amp; Budget 2026'!$A$2:$EJ$49,88,FALSE),0)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0">
        <f t="shared" si="0"/>
        <v>0</v>
      </c>
      <c r="E11" s="73">
        <f t="shared" si="1"/>
        <v>0</v>
      </c>
      <c r="F11" s="231" t="str">
        <f t="shared" si="2"/>
        <v>***</v>
      </c>
      <c r="G11" s="73"/>
      <c r="H11" s="73">
        <f>+IFERROR(VLOOKUP($A11,'Goals &amp; Budget 2026'!$A$2:$EJ$49,77,FALSE),0)</f>
        <v>0</v>
      </c>
      <c r="I11" s="84" t="str">
        <f t="shared" si="3"/>
        <v>***</v>
      </c>
      <c r="J11" s="73"/>
      <c r="K11" s="73">
        <f>+IFERROR(VLOOKUP($A11,'Goals &amp; Budget 2026'!$A$2:$EJ$49,78,FALSE),0)</f>
        <v>0</v>
      </c>
      <c r="L11" s="84" t="str">
        <f t="shared" si="4"/>
        <v>***</v>
      </c>
      <c r="M11" s="73"/>
      <c r="N11" s="73">
        <f>+IFERROR(VLOOKUP($A11,'Goals &amp; Budget 2026'!$A$2:$EJ$49,79,FALSE),0)</f>
        <v>0</v>
      </c>
      <c r="O11" s="231" t="str">
        <f t="shared" si="5"/>
        <v>***</v>
      </c>
      <c r="P11" s="73"/>
      <c r="Q11" s="73">
        <f>+IFERROR(VLOOKUP($A11,'Goals &amp; Budget 2026'!$A$2:$EJ$49,80,FALSE),0)</f>
        <v>0</v>
      </c>
      <c r="R11" s="84" t="str">
        <f t="shared" si="6"/>
        <v>***</v>
      </c>
      <c r="S11" s="73"/>
      <c r="T11" s="73">
        <f>+IFERROR(VLOOKUP($A11,'Goals &amp; Budget 2026'!$A$2:$EJ$49,81,FALSE),0)</f>
        <v>0</v>
      </c>
      <c r="U11" s="84" t="str">
        <f t="shared" si="7"/>
        <v>***</v>
      </c>
      <c r="V11" s="73"/>
      <c r="W11" s="73">
        <f>+IFERROR(VLOOKUP($A11,'Goals &amp; Budget 2026'!$A$2:$EJ$49,82,FALSE),0)</f>
        <v>0</v>
      </c>
      <c r="X11" s="231" t="str">
        <f t="shared" si="8"/>
        <v>***</v>
      </c>
      <c r="Y11" s="73"/>
      <c r="Z11" s="73">
        <f>+IFERROR(VLOOKUP($A11,'Goals &amp; Budget 2026'!$A$2:$EJ$49,83,FALSE),0)</f>
        <v>0</v>
      </c>
      <c r="AA11" s="84" t="str">
        <f t="shared" si="9"/>
        <v>***</v>
      </c>
      <c r="AB11" s="73"/>
      <c r="AC11" s="73">
        <f>+IFERROR(VLOOKUP($A11,'Goals &amp; Budget 2026'!$A$2:$EJ$49,84,FALSE),0)</f>
        <v>0</v>
      </c>
      <c r="AD11" s="84" t="str">
        <f t="shared" si="10"/>
        <v>***</v>
      </c>
      <c r="AE11" s="73"/>
      <c r="AF11" s="73">
        <f>+IFERROR(VLOOKUP($A11,'Goals &amp; Budget 2026'!$A$2:$EJ$49,85,FALSE),0)</f>
        <v>0</v>
      </c>
      <c r="AG11" s="231" t="str">
        <f t="shared" si="11"/>
        <v>***</v>
      </c>
      <c r="AH11" s="73"/>
      <c r="AI11" s="73">
        <f>+IFERROR(VLOOKUP($A11,'Goals &amp; Budget 2026'!$A$2:$EJ$49,86,FALSE),0)</f>
        <v>0</v>
      </c>
      <c r="AJ11" s="84" t="str">
        <f t="shared" si="12"/>
        <v>***</v>
      </c>
      <c r="AK11" s="73"/>
      <c r="AL11" s="73">
        <f>+IFERROR(VLOOKUP($A11,'Goals &amp; Budget 2026'!$A$2:$EJ$49,87,FALSE),0)</f>
        <v>0</v>
      </c>
      <c r="AM11" s="84" t="str">
        <f t="shared" si="13"/>
        <v>***</v>
      </c>
      <c r="AN11" s="73"/>
      <c r="AO11" s="73">
        <f>+IFERROR(VLOOKUP($A11,'Goals &amp; Budget 2026'!$A$2:$EJ$49,88,FALSE),0)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0">
        <f t="shared" si="0"/>
        <v>0</v>
      </c>
      <c r="E12" s="73">
        <f t="shared" si="1"/>
        <v>0</v>
      </c>
      <c r="F12" s="231" t="str">
        <f t="shared" si="2"/>
        <v>***</v>
      </c>
      <c r="G12" s="73"/>
      <c r="H12" s="73">
        <f>+IFERROR(VLOOKUP($A12,'Goals &amp; Budget 2026'!$A$2:$EJ$49,77,FALSE),0)</f>
        <v>0</v>
      </c>
      <c r="I12" s="84" t="str">
        <f t="shared" si="3"/>
        <v>***</v>
      </c>
      <c r="J12" s="73"/>
      <c r="K12" s="73">
        <f>+IFERROR(VLOOKUP($A12,'Goals &amp; Budget 2026'!$A$2:$EJ$49,78,FALSE),0)</f>
        <v>0</v>
      </c>
      <c r="L12" s="84" t="str">
        <f t="shared" si="4"/>
        <v>***</v>
      </c>
      <c r="M12" s="73"/>
      <c r="N12" s="73">
        <f>+IFERROR(VLOOKUP($A12,'Goals &amp; Budget 2026'!$A$2:$EJ$49,79,FALSE),0)</f>
        <v>0</v>
      </c>
      <c r="O12" s="231" t="str">
        <f t="shared" si="5"/>
        <v>***</v>
      </c>
      <c r="P12" s="73"/>
      <c r="Q12" s="73">
        <f>+IFERROR(VLOOKUP($A12,'Goals &amp; Budget 2026'!$A$2:$EJ$49,80,FALSE),0)</f>
        <v>0</v>
      </c>
      <c r="R12" s="84" t="str">
        <f t="shared" si="6"/>
        <v>***</v>
      </c>
      <c r="S12" s="73"/>
      <c r="T12" s="73">
        <f>+IFERROR(VLOOKUP($A12,'Goals &amp; Budget 2026'!$A$2:$EJ$49,81,FALSE),0)</f>
        <v>0</v>
      </c>
      <c r="U12" s="84" t="str">
        <f t="shared" si="7"/>
        <v>***</v>
      </c>
      <c r="V12" s="73"/>
      <c r="W12" s="73">
        <f>+IFERROR(VLOOKUP($A12,'Goals &amp; Budget 2026'!$A$2:$EJ$49,82,FALSE),0)</f>
        <v>0</v>
      </c>
      <c r="X12" s="231" t="str">
        <f t="shared" si="8"/>
        <v>***</v>
      </c>
      <c r="Y12" s="73"/>
      <c r="Z12" s="73">
        <f>+IFERROR(VLOOKUP($A12,'Goals &amp; Budget 2026'!$A$2:$EJ$49,83,FALSE),0)</f>
        <v>0</v>
      </c>
      <c r="AA12" s="84" t="str">
        <f t="shared" si="9"/>
        <v>***</v>
      </c>
      <c r="AB12" s="73"/>
      <c r="AC12" s="73">
        <f>+IFERROR(VLOOKUP($A12,'Goals &amp; Budget 2026'!$A$2:$EJ$49,84,FALSE),0)</f>
        <v>0</v>
      </c>
      <c r="AD12" s="84" t="str">
        <f t="shared" si="10"/>
        <v>***</v>
      </c>
      <c r="AE12" s="73"/>
      <c r="AF12" s="73">
        <f>+IFERROR(VLOOKUP($A12,'Goals &amp; Budget 2026'!$A$2:$EJ$49,85,FALSE),0)</f>
        <v>0</v>
      </c>
      <c r="AG12" s="231" t="str">
        <f t="shared" si="11"/>
        <v>***</v>
      </c>
      <c r="AH12" s="73"/>
      <c r="AI12" s="73">
        <f>+IFERROR(VLOOKUP($A12,'Goals &amp; Budget 2026'!$A$2:$EJ$49,86,FALSE),0)</f>
        <v>0</v>
      </c>
      <c r="AJ12" s="84" t="str">
        <f t="shared" si="12"/>
        <v>***</v>
      </c>
      <c r="AK12" s="73"/>
      <c r="AL12" s="73">
        <f>+IFERROR(VLOOKUP($A12,'Goals &amp; Budget 2026'!$A$2:$EJ$49,87,FALSE),0)</f>
        <v>0</v>
      </c>
      <c r="AM12" s="84" t="str">
        <f t="shared" si="13"/>
        <v>***</v>
      </c>
      <c r="AN12" s="73"/>
      <c r="AO12" s="73">
        <f>+IFERROR(VLOOKUP($A12,'Goals &amp; Budget 2026'!$A$2:$EJ$49,88,FALSE),0)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0">
        <f t="shared" si="0"/>
        <v>0</v>
      </c>
      <c r="E13" s="73">
        <f t="shared" si="1"/>
        <v>0</v>
      </c>
      <c r="F13" s="231" t="str">
        <f t="shared" si="2"/>
        <v>***</v>
      </c>
      <c r="G13" s="73"/>
      <c r="H13" s="73">
        <f>+IFERROR(VLOOKUP($A13,'Goals &amp; Budget 2026'!$A$2:$EJ$49,77,FALSE),0)</f>
        <v>0</v>
      </c>
      <c r="I13" s="84" t="str">
        <f t="shared" si="3"/>
        <v>***</v>
      </c>
      <c r="J13" s="73"/>
      <c r="K13" s="73">
        <f>+IFERROR(VLOOKUP($A13,'Goals &amp; Budget 2026'!$A$2:$EJ$49,78,FALSE),0)</f>
        <v>0</v>
      </c>
      <c r="L13" s="84" t="str">
        <f t="shared" si="4"/>
        <v>***</v>
      </c>
      <c r="M13" s="73"/>
      <c r="N13" s="73">
        <f>+IFERROR(VLOOKUP($A13,'Goals &amp; Budget 2026'!$A$2:$EJ$49,79,FALSE),0)</f>
        <v>0</v>
      </c>
      <c r="O13" s="231" t="str">
        <f t="shared" si="5"/>
        <v>***</v>
      </c>
      <c r="P13" s="73"/>
      <c r="Q13" s="73">
        <f>+IFERROR(VLOOKUP($A13,'Goals &amp; Budget 2026'!$A$2:$EJ$49,80,FALSE),0)</f>
        <v>0</v>
      </c>
      <c r="R13" s="84" t="str">
        <f t="shared" si="6"/>
        <v>***</v>
      </c>
      <c r="S13" s="73"/>
      <c r="T13" s="73">
        <f>+IFERROR(VLOOKUP($A13,'Goals &amp; Budget 2026'!$A$2:$EJ$49,81,FALSE),0)</f>
        <v>0</v>
      </c>
      <c r="U13" s="84" t="str">
        <f t="shared" si="7"/>
        <v>***</v>
      </c>
      <c r="V13" s="73"/>
      <c r="W13" s="73">
        <f>+IFERROR(VLOOKUP($A13,'Goals &amp; Budget 2026'!$A$2:$EJ$49,82,FALSE),0)</f>
        <v>0</v>
      </c>
      <c r="X13" s="231" t="str">
        <f t="shared" si="8"/>
        <v>***</v>
      </c>
      <c r="Y13" s="73"/>
      <c r="Z13" s="73">
        <f>+IFERROR(VLOOKUP($A13,'Goals &amp; Budget 2026'!$A$2:$EJ$49,83,FALSE),0)</f>
        <v>0</v>
      </c>
      <c r="AA13" s="84" t="str">
        <f t="shared" si="9"/>
        <v>***</v>
      </c>
      <c r="AB13" s="73"/>
      <c r="AC13" s="73">
        <f>+IFERROR(VLOOKUP($A13,'Goals &amp; Budget 2026'!$A$2:$EJ$49,84,FALSE),0)</f>
        <v>0</v>
      </c>
      <c r="AD13" s="84" t="str">
        <f t="shared" si="10"/>
        <v>***</v>
      </c>
      <c r="AE13" s="73"/>
      <c r="AF13" s="73">
        <f>+IFERROR(VLOOKUP($A13,'Goals &amp; Budget 2026'!$A$2:$EJ$49,85,FALSE),0)</f>
        <v>0</v>
      </c>
      <c r="AG13" s="231" t="str">
        <f t="shared" si="11"/>
        <v>***</v>
      </c>
      <c r="AH13" s="73"/>
      <c r="AI13" s="73">
        <f>+IFERROR(VLOOKUP($A13,'Goals &amp; Budget 2026'!$A$2:$EJ$49,86,FALSE),0)</f>
        <v>0</v>
      </c>
      <c r="AJ13" s="84" t="str">
        <f t="shared" si="12"/>
        <v>***</v>
      </c>
      <c r="AK13" s="73"/>
      <c r="AL13" s="73">
        <f>+IFERROR(VLOOKUP($A13,'Goals &amp; Budget 2026'!$A$2:$EJ$49,87,FALSE),0)</f>
        <v>0</v>
      </c>
      <c r="AM13" s="84" t="str">
        <f t="shared" si="13"/>
        <v>***</v>
      </c>
      <c r="AN13" s="73"/>
      <c r="AO13" s="73">
        <f>+IFERROR(VLOOKUP($A13,'Goals &amp; Budget 2026'!$A$2:$EJ$49,88,FALSE),0)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0">
        <f t="shared" si="0"/>
        <v>0</v>
      </c>
      <c r="E14" s="73">
        <f t="shared" si="1"/>
        <v>0</v>
      </c>
      <c r="F14" s="231" t="str">
        <f t="shared" si="2"/>
        <v>***</v>
      </c>
      <c r="G14" s="73"/>
      <c r="H14" s="73">
        <f>+IFERROR(VLOOKUP($A14,'Goals &amp; Budget 2026'!$A$2:$EJ$49,77,FALSE),0)</f>
        <v>0</v>
      </c>
      <c r="I14" s="84" t="str">
        <f t="shared" si="3"/>
        <v>***</v>
      </c>
      <c r="J14" s="73"/>
      <c r="K14" s="73">
        <f>+IFERROR(VLOOKUP($A14,'Goals &amp; Budget 2026'!$A$2:$EJ$49,78,FALSE),0)</f>
        <v>0</v>
      </c>
      <c r="L14" s="84" t="str">
        <f t="shared" si="4"/>
        <v>***</v>
      </c>
      <c r="M14" s="73"/>
      <c r="N14" s="73">
        <f>+IFERROR(VLOOKUP($A14,'Goals &amp; Budget 2026'!$A$2:$EJ$49,79,FALSE),0)</f>
        <v>0</v>
      </c>
      <c r="O14" s="231" t="str">
        <f t="shared" si="5"/>
        <v>***</v>
      </c>
      <c r="P14" s="73"/>
      <c r="Q14" s="73">
        <f>+IFERROR(VLOOKUP($A14,'Goals &amp; Budget 2026'!$A$2:$EJ$49,80,FALSE),0)</f>
        <v>0</v>
      </c>
      <c r="R14" s="84" t="str">
        <f t="shared" si="6"/>
        <v>***</v>
      </c>
      <c r="S14" s="73"/>
      <c r="T14" s="73">
        <f>+IFERROR(VLOOKUP($A14,'Goals &amp; Budget 2026'!$A$2:$EJ$49,81,FALSE),0)</f>
        <v>0</v>
      </c>
      <c r="U14" s="84" t="str">
        <f t="shared" si="7"/>
        <v>***</v>
      </c>
      <c r="V14" s="73"/>
      <c r="W14" s="73">
        <f>+IFERROR(VLOOKUP($A14,'Goals &amp; Budget 2026'!$A$2:$EJ$49,82,FALSE),0)</f>
        <v>0</v>
      </c>
      <c r="X14" s="231" t="str">
        <f t="shared" si="8"/>
        <v>***</v>
      </c>
      <c r="Y14" s="73"/>
      <c r="Z14" s="73">
        <f>+IFERROR(VLOOKUP($A14,'Goals &amp; Budget 2026'!$A$2:$EJ$49,83,FALSE),0)</f>
        <v>0</v>
      </c>
      <c r="AA14" s="84" t="str">
        <f t="shared" si="9"/>
        <v>***</v>
      </c>
      <c r="AB14" s="73"/>
      <c r="AC14" s="73">
        <f>+IFERROR(VLOOKUP($A14,'Goals &amp; Budget 2026'!$A$2:$EJ$49,84,FALSE),0)</f>
        <v>0</v>
      </c>
      <c r="AD14" s="84" t="str">
        <f t="shared" si="10"/>
        <v>***</v>
      </c>
      <c r="AE14" s="73"/>
      <c r="AF14" s="73">
        <f>+IFERROR(VLOOKUP($A14,'Goals &amp; Budget 2026'!$A$2:$EJ$49,85,FALSE),0)</f>
        <v>0</v>
      </c>
      <c r="AG14" s="231" t="str">
        <f t="shared" si="11"/>
        <v>***</v>
      </c>
      <c r="AH14" s="73"/>
      <c r="AI14" s="73">
        <f>+IFERROR(VLOOKUP($A14,'Goals &amp; Budget 2026'!$A$2:$EJ$49,86,FALSE),0)</f>
        <v>0</v>
      </c>
      <c r="AJ14" s="84" t="str">
        <f t="shared" si="12"/>
        <v>***</v>
      </c>
      <c r="AK14" s="73"/>
      <c r="AL14" s="73">
        <f>+IFERROR(VLOOKUP($A14,'Goals &amp; Budget 2026'!$A$2:$EJ$49,87,FALSE),0)</f>
        <v>0</v>
      </c>
      <c r="AM14" s="84" t="str">
        <f t="shared" si="13"/>
        <v>***</v>
      </c>
      <c r="AN14" s="73"/>
      <c r="AO14" s="73">
        <f>+IFERROR(VLOOKUP($A14,'Goals &amp; Budget 2026'!$A$2:$EJ$49,88,FALSE),0)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0">
        <f t="shared" si="0"/>
        <v>0</v>
      </c>
      <c r="E15" s="73">
        <f t="shared" si="1"/>
        <v>0</v>
      </c>
      <c r="F15" s="231" t="str">
        <f t="shared" si="2"/>
        <v>***</v>
      </c>
      <c r="G15" s="73"/>
      <c r="H15" s="73">
        <f>+IFERROR(VLOOKUP($A15,'Goals &amp; Budget 2026'!$A$2:$EJ$49,77,FALSE),0)</f>
        <v>0</v>
      </c>
      <c r="I15" s="84" t="str">
        <f t="shared" si="3"/>
        <v>***</v>
      </c>
      <c r="J15" s="73"/>
      <c r="K15" s="73">
        <f>+IFERROR(VLOOKUP($A15,'Goals &amp; Budget 2026'!$A$2:$EJ$49,78,FALSE),0)</f>
        <v>0</v>
      </c>
      <c r="L15" s="84" t="str">
        <f t="shared" si="4"/>
        <v>***</v>
      </c>
      <c r="M15" s="73"/>
      <c r="N15" s="73">
        <f>+IFERROR(VLOOKUP($A15,'Goals &amp; Budget 2026'!$A$2:$EJ$49,79,FALSE),0)</f>
        <v>0</v>
      </c>
      <c r="O15" s="231" t="str">
        <f t="shared" si="5"/>
        <v>***</v>
      </c>
      <c r="P15" s="73"/>
      <c r="Q15" s="73">
        <f>+IFERROR(VLOOKUP($A15,'Goals &amp; Budget 2026'!$A$2:$EJ$49,80,FALSE),0)</f>
        <v>0</v>
      </c>
      <c r="R15" s="84" t="str">
        <f t="shared" si="6"/>
        <v>***</v>
      </c>
      <c r="S15" s="73"/>
      <c r="T15" s="73">
        <f>+IFERROR(VLOOKUP($A15,'Goals &amp; Budget 2026'!$A$2:$EJ$49,81,FALSE),0)</f>
        <v>0</v>
      </c>
      <c r="U15" s="84" t="str">
        <f t="shared" si="7"/>
        <v>***</v>
      </c>
      <c r="V15" s="73"/>
      <c r="W15" s="73">
        <f>+IFERROR(VLOOKUP($A15,'Goals &amp; Budget 2026'!$A$2:$EJ$49,82,FALSE),0)</f>
        <v>0</v>
      </c>
      <c r="X15" s="231" t="str">
        <f t="shared" si="8"/>
        <v>***</v>
      </c>
      <c r="Y15" s="73"/>
      <c r="Z15" s="73">
        <f>+IFERROR(VLOOKUP($A15,'Goals &amp; Budget 2026'!$A$2:$EJ$49,83,FALSE),0)</f>
        <v>0</v>
      </c>
      <c r="AA15" s="84" t="str">
        <f t="shared" si="9"/>
        <v>***</v>
      </c>
      <c r="AB15" s="73"/>
      <c r="AC15" s="73">
        <f>+IFERROR(VLOOKUP($A15,'Goals &amp; Budget 2026'!$A$2:$EJ$49,84,FALSE),0)</f>
        <v>0</v>
      </c>
      <c r="AD15" s="84" t="str">
        <f t="shared" si="10"/>
        <v>***</v>
      </c>
      <c r="AE15" s="73"/>
      <c r="AF15" s="73">
        <f>+IFERROR(VLOOKUP($A15,'Goals &amp; Budget 2026'!$A$2:$EJ$49,85,FALSE),0)</f>
        <v>0</v>
      </c>
      <c r="AG15" s="231" t="str">
        <f t="shared" si="11"/>
        <v>***</v>
      </c>
      <c r="AH15" s="73"/>
      <c r="AI15" s="73">
        <f>+IFERROR(VLOOKUP($A15,'Goals &amp; Budget 2026'!$A$2:$EJ$49,86,FALSE),0)</f>
        <v>0</v>
      </c>
      <c r="AJ15" s="84" t="str">
        <f t="shared" si="12"/>
        <v>***</v>
      </c>
      <c r="AK15" s="73"/>
      <c r="AL15" s="73">
        <f>+IFERROR(VLOOKUP($A15,'Goals &amp; Budget 2026'!$A$2:$EJ$49,87,FALSE),0)</f>
        <v>0</v>
      </c>
      <c r="AM15" s="84" t="str">
        <f t="shared" si="13"/>
        <v>***</v>
      </c>
      <c r="AN15" s="73"/>
      <c r="AO15" s="73">
        <f>+IFERROR(VLOOKUP($A15,'Goals &amp; Budget 2026'!$A$2:$EJ$49,88,FALSE),0)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0">
        <f t="shared" si="0"/>
        <v>0</v>
      </c>
      <c r="E16" s="73">
        <f t="shared" si="1"/>
        <v>0</v>
      </c>
      <c r="F16" s="231" t="str">
        <f t="shared" si="2"/>
        <v>***</v>
      </c>
      <c r="G16" s="73"/>
      <c r="H16" s="73">
        <f>+IFERROR(VLOOKUP($A16,'Goals &amp; Budget 2026'!$A$2:$EJ$49,77,FALSE),0)</f>
        <v>0</v>
      </c>
      <c r="I16" s="84" t="str">
        <f t="shared" si="3"/>
        <v>***</v>
      </c>
      <c r="J16" s="73"/>
      <c r="K16" s="73">
        <f>+IFERROR(VLOOKUP($A16,'Goals &amp; Budget 2026'!$A$2:$EJ$49,78,FALSE),0)</f>
        <v>0</v>
      </c>
      <c r="L16" s="84" t="str">
        <f t="shared" si="4"/>
        <v>***</v>
      </c>
      <c r="M16" s="73"/>
      <c r="N16" s="73">
        <f>+IFERROR(VLOOKUP($A16,'Goals &amp; Budget 2026'!$A$2:$EJ$49,79,FALSE),0)</f>
        <v>0</v>
      </c>
      <c r="O16" s="231" t="str">
        <f t="shared" si="5"/>
        <v>***</v>
      </c>
      <c r="P16" s="73"/>
      <c r="Q16" s="73">
        <f>+IFERROR(VLOOKUP($A16,'Goals &amp; Budget 2026'!$A$2:$EJ$49,80,FALSE),0)</f>
        <v>0</v>
      </c>
      <c r="R16" s="84" t="str">
        <f t="shared" si="6"/>
        <v>***</v>
      </c>
      <c r="S16" s="73"/>
      <c r="T16" s="73">
        <f>+IFERROR(VLOOKUP($A16,'Goals &amp; Budget 2026'!$A$2:$EJ$49,81,FALSE),0)</f>
        <v>0</v>
      </c>
      <c r="U16" s="84" t="str">
        <f t="shared" si="7"/>
        <v>***</v>
      </c>
      <c r="V16" s="73"/>
      <c r="W16" s="73">
        <f>+IFERROR(VLOOKUP($A16,'Goals &amp; Budget 2026'!$A$2:$EJ$49,82,FALSE),0)</f>
        <v>0</v>
      </c>
      <c r="X16" s="231" t="str">
        <f t="shared" si="8"/>
        <v>***</v>
      </c>
      <c r="Y16" s="73"/>
      <c r="Z16" s="73">
        <f>+IFERROR(VLOOKUP($A16,'Goals &amp; Budget 2026'!$A$2:$EJ$49,83,FALSE),0)</f>
        <v>0</v>
      </c>
      <c r="AA16" s="84" t="str">
        <f t="shared" si="9"/>
        <v>***</v>
      </c>
      <c r="AB16" s="73"/>
      <c r="AC16" s="73">
        <f>+IFERROR(VLOOKUP($A16,'Goals &amp; Budget 2026'!$A$2:$EJ$49,84,FALSE),0)</f>
        <v>0</v>
      </c>
      <c r="AD16" s="84" t="str">
        <f t="shared" si="10"/>
        <v>***</v>
      </c>
      <c r="AE16" s="73"/>
      <c r="AF16" s="73">
        <f>+IFERROR(VLOOKUP($A16,'Goals &amp; Budget 2026'!$A$2:$EJ$49,85,FALSE),0)</f>
        <v>0</v>
      </c>
      <c r="AG16" s="231" t="str">
        <f t="shared" si="11"/>
        <v>***</v>
      </c>
      <c r="AH16" s="73"/>
      <c r="AI16" s="73">
        <f>+IFERROR(VLOOKUP($A16,'Goals &amp; Budget 2026'!$A$2:$EJ$49,86,FALSE),0)</f>
        <v>0</v>
      </c>
      <c r="AJ16" s="84" t="str">
        <f t="shared" si="12"/>
        <v>***</v>
      </c>
      <c r="AK16" s="73"/>
      <c r="AL16" s="73">
        <f>+IFERROR(VLOOKUP($A16,'Goals &amp; Budget 2026'!$A$2:$EJ$49,87,FALSE),0)</f>
        <v>0</v>
      </c>
      <c r="AM16" s="84" t="str">
        <f t="shared" si="13"/>
        <v>***</v>
      </c>
      <c r="AN16" s="73"/>
      <c r="AO16" s="73">
        <f>+IFERROR(VLOOKUP($A16,'Goals &amp; Budget 2026'!$A$2:$EJ$49,88,FALSE),0)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0">
        <f t="shared" si="0"/>
        <v>0</v>
      </c>
      <c r="E17" s="73">
        <f t="shared" si="1"/>
        <v>0</v>
      </c>
      <c r="F17" s="231" t="str">
        <f t="shared" si="2"/>
        <v>***</v>
      </c>
      <c r="G17" s="73"/>
      <c r="H17" s="73">
        <f>+IFERROR(VLOOKUP($A17,'Goals &amp; Budget 2026'!$A$2:$EJ$49,77,FALSE),0)</f>
        <v>0</v>
      </c>
      <c r="I17" s="84" t="str">
        <f t="shared" si="3"/>
        <v>***</v>
      </c>
      <c r="J17" s="73"/>
      <c r="K17" s="73">
        <f>+IFERROR(VLOOKUP($A17,'Goals &amp; Budget 2026'!$A$2:$EJ$49,78,FALSE),0)</f>
        <v>0</v>
      </c>
      <c r="L17" s="84" t="str">
        <f t="shared" si="4"/>
        <v>***</v>
      </c>
      <c r="M17" s="73"/>
      <c r="N17" s="73">
        <f>+IFERROR(VLOOKUP($A17,'Goals &amp; Budget 2026'!$A$2:$EJ$49,79,FALSE),0)</f>
        <v>0</v>
      </c>
      <c r="O17" s="231" t="str">
        <f t="shared" si="5"/>
        <v>***</v>
      </c>
      <c r="P17" s="73"/>
      <c r="Q17" s="73">
        <f>+IFERROR(VLOOKUP($A17,'Goals &amp; Budget 2026'!$A$2:$EJ$49,80,FALSE),0)</f>
        <v>0</v>
      </c>
      <c r="R17" s="84" t="str">
        <f t="shared" si="6"/>
        <v>***</v>
      </c>
      <c r="S17" s="73"/>
      <c r="T17" s="73">
        <f>+IFERROR(VLOOKUP($A17,'Goals &amp; Budget 2026'!$A$2:$EJ$49,81,FALSE),0)</f>
        <v>0</v>
      </c>
      <c r="U17" s="84" t="str">
        <f t="shared" si="7"/>
        <v>***</v>
      </c>
      <c r="V17" s="73"/>
      <c r="W17" s="73">
        <f>+IFERROR(VLOOKUP($A17,'Goals &amp; Budget 2026'!$A$2:$EJ$49,82,FALSE),0)</f>
        <v>0</v>
      </c>
      <c r="X17" s="231" t="str">
        <f t="shared" si="8"/>
        <v>***</v>
      </c>
      <c r="Y17" s="73"/>
      <c r="Z17" s="73">
        <f>+IFERROR(VLOOKUP($A17,'Goals &amp; Budget 2026'!$A$2:$EJ$49,83,FALSE),0)</f>
        <v>0</v>
      </c>
      <c r="AA17" s="84" t="str">
        <f t="shared" si="9"/>
        <v>***</v>
      </c>
      <c r="AB17" s="73"/>
      <c r="AC17" s="73">
        <f>+IFERROR(VLOOKUP($A17,'Goals &amp; Budget 2026'!$A$2:$EJ$49,84,FALSE),0)</f>
        <v>0</v>
      </c>
      <c r="AD17" s="84" t="str">
        <f t="shared" si="10"/>
        <v>***</v>
      </c>
      <c r="AE17" s="73"/>
      <c r="AF17" s="73">
        <f>+IFERROR(VLOOKUP($A17,'Goals &amp; Budget 2026'!$A$2:$EJ$49,85,FALSE),0)</f>
        <v>0</v>
      </c>
      <c r="AG17" s="231" t="str">
        <f t="shared" si="11"/>
        <v>***</v>
      </c>
      <c r="AH17" s="73"/>
      <c r="AI17" s="73">
        <f>+IFERROR(VLOOKUP($A17,'Goals &amp; Budget 2026'!$A$2:$EJ$49,86,FALSE),0)</f>
        <v>0</v>
      </c>
      <c r="AJ17" s="84" t="str">
        <f t="shared" si="12"/>
        <v>***</v>
      </c>
      <c r="AK17" s="73"/>
      <c r="AL17" s="73">
        <f>+IFERROR(VLOOKUP($A17,'Goals &amp; Budget 2026'!$A$2:$EJ$49,87,FALSE),0)</f>
        <v>0</v>
      </c>
      <c r="AM17" s="84" t="str">
        <f t="shared" si="13"/>
        <v>***</v>
      </c>
      <c r="AN17" s="73"/>
      <c r="AO17" s="73">
        <f>+IFERROR(VLOOKUP($A17,'Goals &amp; Budget 2026'!$A$2:$EJ$49,88,FALSE),0)</f>
        <v>0</v>
      </c>
      <c r="AP17" s="85" t="str">
        <f t="shared" si="14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0">
        <f t="shared" si="0"/>
        <v>0</v>
      </c>
      <c r="E18" s="73">
        <f t="shared" si="1"/>
        <v>28</v>
      </c>
      <c r="F18" s="231">
        <f t="shared" si="2"/>
        <v>0</v>
      </c>
      <c r="G18" s="73"/>
      <c r="H18" s="73">
        <f>+IFERROR(VLOOKUP($A18,'Goals &amp; Budget 2026'!$A$2:$EJ$49,77,FALSE),0)</f>
        <v>28</v>
      </c>
      <c r="I18" s="84">
        <f t="shared" si="3"/>
        <v>0</v>
      </c>
      <c r="J18" s="73"/>
      <c r="K18" s="73">
        <f>+IFERROR(VLOOKUP($A18,'Goals &amp; Budget 2026'!$A$2:$EJ$49,78,FALSE),0)</f>
        <v>0</v>
      </c>
      <c r="L18" s="84" t="str">
        <f t="shared" si="4"/>
        <v>***</v>
      </c>
      <c r="M18" s="73"/>
      <c r="N18" s="73">
        <f>+IFERROR(VLOOKUP($A18,'Goals &amp; Budget 2026'!$A$2:$EJ$49,79,FALSE),0)</f>
        <v>0</v>
      </c>
      <c r="O18" s="231" t="str">
        <f t="shared" si="5"/>
        <v>***</v>
      </c>
      <c r="P18" s="73"/>
      <c r="Q18" s="73">
        <f>+IFERROR(VLOOKUP($A18,'Goals &amp; Budget 2026'!$A$2:$EJ$49,80,FALSE),0)</f>
        <v>0</v>
      </c>
      <c r="R18" s="84" t="str">
        <f t="shared" si="6"/>
        <v>***</v>
      </c>
      <c r="S18" s="73"/>
      <c r="T18" s="73">
        <f>+IFERROR(VLOOKUP($A18,'Goals &amp; Budget 2026'!$A$2:$EJ$49,81,FALSE),0)</f>
        <v>0</v>
      </c>
      <c r="U18" s="84" t="str">
        <f t="shared" si="7"/>
        <v>***</v>
      </c>
      <c r="V18" s="73"/>
      <c r="W18" s="73">
        <f>+IFERROR(VLOOKUP($A18,'Goals &amp; Budget 2026'!$A$2:$EJ$49,82,FALSE),0)</f>
        <v>0</v>
      </c>
      <c r="X18" s="231" t="str">
        <f t="shared" si="8"/>
        <v>***</v>
      </c>
      <c r="Y18" s="73"/>
      <c r="Z18" s="73">
        <f>+IFERROR(VLOOKUP($A18,'Goals &amp; Budget 2026'!$A$2:$EJ$49,83,FALSE),0)</f>
        <v>0</v>
      </c>
      <c r="AA18" s="84" t="str">
        <f t="shared" si="9"/>
        <v>***</v>
      </c>
      <c r="AB18" s="73"/>
      <c r="AC18" s="73">
        <f>+IFERROR(VLOOKUP($A18,'Goals &amp; Budget 2026'!$A$2:$EJ$49,84,FALSE),0)</f>
        <v>0</v>
      </c>
      <c r="AD18" s="84" t="str">
        <f t="shared" si="10"/>
        <v>***</v>
      </c>
      <c r="AE18" s="73"/>
      <c r="AF18" s="73">
        <f>+IFERROR(VLOOKUP($A18,'Goals &amp; Budget 2026'!$A$2:$EJ$49,85,FALSE),0)</f>
        <v>0</v>
      </c>
      <c r="AG18" s="231" t="str">
        <f t="shared" si="11"/>
        <v>***</v>
      </c>
      <c r="AH18" s="73"/>
      <c r="AI18" s="73">
        <f>+IFERROR(VLOOKUP($A18,'Goals &amp; Budget 2026'!$A$2:$EJ$49,86,FALSE),0)</f>
        <v>0</v>
      </c>
      <c r="AJ18" s="84" t="str">
        <f t="shared" si="12"/>
        <v>***</v>
      </c>
      <c r="AK18" s="73"/>
      <c r="AL18" s="73">
        <f>+IFERROR(VLOOKUP($A18,'Goals &amp; Budget 2026'!$A$2:$EJ$49,87,FALSE),0)</f>
        <v>0</v>
      </c>
      <c r="AM18" s="84" t="str">
        <f t="shared" si="13"/>
        <v>***</v>
      </c>
      <c r="AN18" s="73"/>
      <c r="AO18" s="73">
        <f>+IFERROR(VLOOKUP($A18,'Goals &amp; Budget 2026'!$A$2:$EJ$49,88,FALSE),0)</f>
        <v>0</v>
      </c>
      <c r="AP18" s="85" t="str">
        <f t="shared" si="14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0">
        <f t="shared" ref="D19:D47" si="15">+G19</f>
        <v>0</v>
      </c>
      <c r="E19" s="73">
        <f t="shared" ref="E19:E47" si="16">+H19</f>
        <v>14</v>
      </c>
      <c r="F19" s="231">
        <f t="shared" ref="F19:F47" si="17">IF(AND(D19&gt;0,E19&gt;0),D19/E19,IF(AND(D19&gt;0,E19=0),100%,IF(AND(D19=0,E19&gt;0),0,IF(AND(D19=0,E19=0),"***",0))))</f>
        <v>0</v>
      </c>
      <c r="G19" s="73"/>
      <c r="H19" s="73">
        <f>+IFERROR(VLOOKUP($A19,'Goals &amp; Budget 2026'!$A$2:$EJ$49,77,FALSE),0)</f>
        <v>14</v>
      </c>
      <c r="I19" s="84">
        <f t="shared" ref="I19:I47" si="18">IF(AND(G19&gt;0,H19&gt;0),G19/H19,IF(AND(G19&gt;0,H19=0),100%,IF(AND(G19=0,H19&gt;0),0,IF(AND(G19=0,H19=0),"***",0))))</f>
        <v>0</v>
      </c>
      <c r="J19" s="73"/>
      <c r="K19" s="73">
        <f>+IFERROR(VLOOKUP($A19,'Goals &amp; Budget 2026'!$A$2:$EJ$49,78,FALSE),0)</f>
        <v>0</v>
      </c>
      <c r="L19" s="84" t="str">
        <f t="shared" ref="L19:L47" si="19">IF(AND(J19&gt;0,K19&gt;0),J19/K19,IF(AND(J19&gt;0,K19=0),100%,IF(AND(J19=0,K19&gt;0),0,IF(AND(J19=0,K19=0),"***",0))))</f>
        <v>***</v>
      </c>
      <c r="M19" s="73"/>
      <c r="N19" s="73">
        <f>+IFERROR(VLOOKUP($A19,'Goals &amp; Budget 2026'!$A$2:$EJ$49,79,FALSE),0)</f>
        <v>0</v>
      </c>
      <c r="O19" s="231" t="str">
        <f t="shared" ref="O19:O47" si="20">IF(AND(M19&gt;0,N19&gt;0),M19/N19,IF(AND(M19&gt;0,N19=0),100%,IF(AND(M19=0,N19&gt;0),0,IF(AND(M19=0,N19=0),"***",0))))</f>
        <v>***</v>
      </c>
      <c r="P19" s="73"/>
      <c r="Q19" s="73">
        <f>+IFERROR(VLOOKUP($A19,'Goals &amp; Budget 2026'!$A$2:$EJ$49,80,FALSE),0)</f>
        <v>0</v>
      </c>
      <c r="R19" s="84" t="str">
        <f t="shared" ref="R19:R47" si="21">IF(AND(P19&gt;0,Q19&gt;0),P19/Q19,IF(AND(P19&gt;0,Q19=0),100%,IF(AND(P19=0,Q19&gt;0),0,IF(AND(P19=0,Q19=0),"***",0))))</f>
        <v>***</v>
      </c>
      <c r="S19" s="73"/>
      <c r="T19" s="73">
        <f>+IFERROR(VLOOKUP($A19,'Goals &amp; Budget 2026'!$A$2:$EJ$49,81,FALSE),0)</f>
        <v>0</v>
      </c>
      <c r="U19" s="84" t="str">
        <f t="shared" ref="U19:U47" si="22">IF(AND(S19&gt;0,T19&gt;0),S19/T19,IF(AND(S19&gt;0,T19=0),100%,IF(AND(S19=0,T19&gt;0),0,IF(AND(S19=0,T19=0),"***",0))))</f>
        <v>***</v>
      </c>
      <c r="V19" s="73"/>
      <c r="W19" s="73">
        <f>+IFERROR(VLOOKUP($A19,'Goals &amp; Budget 2026'!$A$2:$EJ$49,82,FALSE),0)</f>
        <v>0</v>
      </c>
      <c r="X19" s="231" t="str">
        <f t="shared" ref="X19:X47" si="23">IF(AND(V19&gt;0,W19&gt;0),V19/W19,IF(AND(V19&gt;0,W19=0),100%,IF(AND(V19=0,W19&gt;0),0,IF(AND(V19=0,W19=0),"***",0))))</f>
        <v>***</v>
      </c>
      <c r="Y19" s="73"/>
      <c r="Z19" s="73">
        <f>+IFERROR(VLOOKUP($A19,'Goals &amp; Budget 2026'!$A$2:$EJ$49,83,FALSE),0)</f>
        <v>0</v>
      </c>
      <c r="AA19" s="84" t="str">
        <f t="shared" ref="AA19:AA47" si="24">IF(AND(Y19&gt;0,Z19&gt;0),Y19/Z19,IF(AND(Y19&gt;0,Z19=0),100%,IF(AND(Y19=0,Z19&gt;0),0,IF(AND(Y19=0,Z19=0),"***",0))))</f>
        <v>***</v>
      </c>
      <c r="AB19" s="73"/>
      <c r="AC19" s="73">
        <f>+IFERROR(VLOOKUP($A19,'Goals &amp; Budget 2026'!$A$2:$EJ$49,84,FALSE),0)</f>
        <v>0</v>
      </c>
      <c r="AD19" s="84" t="str">
        <f t="shared" ref="AD19:AD47" si="25">IF(AND(AB19&gt;0,AC19&gt;0),AB19/AC19,IF(AND(AB19&gt;0,AC19=0),100%,IF(AND(AB19=0,AC19&gt;0),0,IF(AND(AB19=0,AC19=0),"***",0))))</f>
        <v>***</v>
      </c>
      <c r="AE19" s="73"/>
      <c r="AF19" s="73">
        <f>+IFERROR(VLOOKUP($A19,'Goals &amp; Budget 2026'!$A$2:$EJ$49,85,FALSE),0)</f>
        <v>0</v>
      </c>
      <c r="AG19" s="231" t="str">
        <f t="shared" ref="AG19:AG47" si="26">IF(AND(AE19&gt;0,AF19&gt;0),AE19/AF19,IF(AND(AE19&gt;0,AF19=0),100%,IF(AND(AE19=0,AF19&gt;0),0,IF(AND(AE19=0,AF19=0),"***",0))))</f>
        <v>***</v>
      </c>
      <c r="AH19" s="73"/>
      <c r="AI19" s="73">
        <f>+IFERROR(VLOOKUP($A19,'Goals &amp; Budget 2026'!$A$2:$EJ$49,86,FALSE),0)</f>
        <v>0</v>
      </c>
      <c r="AJ19" s="84" t="str">
        <f t="shared" ref="AJ19:AJ47" si="27">IF(AND(AH19&gt;0,AI19&gt;0),AH19/AI19,IF(AND(AH19&gt;0,AI19=0),100%,IF(AND(AH19=0,AI19&gt;0),0,IF(AND(AH19=0,AI19=0),"***",0))))</f>
        <v>***</v>
      </c>
      <c r="AK19" s="73"/>
      <c r="AL19" s="73">
        <f>+IFERROR(VLOOKUP($A19,'Goals &amp; Budget 2026'!$A$2:$EJ$49,87,FALSE),0)</f>
        <v>0</v>
      </c>
      <c r="AM19" s="84" t="str">
        <f t="shared" ref="AM19:AM47" si="28">IF(AND(AK19&gt;0,AL19&gt;0),AK19/AL19,IF(AND(AK19&gt;0,AL19=0),100%,IF(AND(AK19=0,AL19&gt;0),0,IF(AND(AK19=0,AL19=0),"***",0))))</f>
        <v>***</v>
      </c>
      <c r="AN19" s="73"/>
      <c r="AO19" s="73">
        <f>+IFERROR(VLOOKUP($A19,'Goals &amp; Budget 2026'!$A$2:$EJ$49,88,FALSE),0)</f>
        <v>0</v>
      </c>
      <c r="AP19" s="85" t="str">
        <f t="shared" ref="AP19:AP47" si="29">IF(AND(AN19&gt;0,AO19&gt;0),AN19/AO19,IF(AND(AN19&gt;0,AO19=0),100%,IF(AND(AN19=0,AO19&gt;0),0,IF(AND(AN19=0,AO19=0),"***",0))))</f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0">
        <f t="shared" si="15"/>
        <v>0</v>
      </c>
      <c r="E20" s="73">
        <f t="shared" si="16"/>
        <v>14</v>
      </c>
      <c r="F20" s="231">
        <f t="shared" si="17"/>
        <v>0</v>
      </c>
      <c r="G20" s="73"/>
      <c r="H20" s="73">
        <f>+IFERROR(VLOOKUP($A20,'Goals &amp; Budget 2026'!$A$2:$EJ$49,77,FALSE),0)</f>
        <v>14</v>
      </c>
      <c r="I20" s="84">
        <f t="shared" si="18"/>
        <v>0</v>
      </c>
      <c r="J20" s="73"/>
      <c r="K20" s="73">
        <f>+IFERROR(VLOOKUP($A20,'Goals &amp; Budget 2026'!$A$2:$EJ$49,78,FALSE),0)</f>
        <v>0</v>
      </c>
      <c r="L20" s="84" t="str">
        <f t="shared" si="19"/>
        <v>***</v>
      </c>
      <c r="M20" s="73"/>
      <c r="N20" s="73">
        <f>+IFERROR(VLOOKUP($A20,'Goals &amp; Budget 2026'!$A$2:$EJ$49,79,FALSE),0)</f>
        <v>0</v>
      </c>
      <c r="O20" s="231" t="str">
        <f t="shared" si="20"/>
        <v>***</v>
      </c>
      <c r="P20" s="73"/>
      <c r="Q20" s="73">
        <f>+IFERROR(VLOOKUP($A20,'Goals &amp; Budget 2026'!$A$2:$EJ$49,80,FALSE),0)</f>
        <v>0</v>
      </c>
      <c r="R20" s="84" t="str">
        <f t="shared" si="21"/>
        <v>***</v>
      </c>
      <c r="S20" s="73"/>
      <c r="T20" s="73">
        <f>+IFERROR(VLOOKUP($A20,'Goals &amp; Budget 2026'!$A$2:$EJ$49,81,FALSE),0)</f>
        <v>0</v>
      </c>
      <c r="U20" s="84" t="str">
        <f t="shared" si="22"/>
        <v>***</v>
      </c>
      <c r="V20" s="73"/>
      <c r="W20" s="73">
        <f>+IFERROR(VLOOKUP($A20,'Goals &amp; Budget 2026'!$A$2:$EJ$49,82,FALSE),0)</f>
        <v>0</v>
      </c>
      <c r="X20" s="231" t="str">
        <f t="shared" si="23"/>
        <v>***</v>
      </c>
      <c r="Y20" s="73"/>
      <c r="Z20" s="73">
        <f>+IFERROR(VLOOKUP($A20,'Goals &amp; Budget 2026'!$A$2:$EJ$49,83,FALSE),0)</f>
        <v>0</v>
      </c>
      <c r="AA20" s="84" t="str">
        <f t="shared" si="24"/>
        <v>***</v>
      </c>
      <c r="AB20" s="73"/>
      <c r="AC20" s="73">
        <f>+IFERROR(VLOOKUP($A20,'Goals &amp; Budget 2026'!$A$2:$EJ$49,84,FALSE),0)</f>
        <v>0</v>
      </c>
      <c r="AD20" s="84" t="str">
        <f t="shared" si="25"/>
        <v>***</v>
      </c>
      <c r="AE20" s="73"/>
      <c r="AF20" s="73">
        <f>+IFERROR(VLOOKUP($A20,'Goals &amp; Budget 2026'!$A$2:$EJ$49,85,FALSE),0)</f>
        <v>0</v>
      </c>
      <c r="AG20" s="231" t="str">
        <f t="shared" si="26"/>
        <v>***</v>
      </c>
      <c r="AH20" s="73"/>
      <c r="AI20" s="73">
        <f>+IFERROR(VLOOKUP($A20,'Goals &amp; Budget 2026'!$A$2:$EJ$49,86,FALSE),0)</f>
        <v>0</v>
      </c>
      <c r="AJ20" s="84" t="str">
        <f t="shared" si="27"/>
        <v>***</v>
      </c>
      <c r="AK20" s="73"/>
      <c r="AL20" s="73">
        <f>+IFERROR(VLOOKUP($A20,'Goals &amp; Budget 2026'!$A$2:$EJ$49,87,FALSE),0)</f>
        <v>0</v>
      </c>
      <c r="AM20" s="84" t="str">
        <f t="shared" si="28"/>
        <v>***</v>
      </c>
      <c r="AN20" s="73"/>
      <c r="AO20" s="73">
        <f>+IFERROR(VLOOKUP($A20,'Goals &amp; Budget 2026'!$A$2:$EJ$49,88,FALSE),0)</f>
        <v>0</v>
      </c>
      <c r="AP20" s="85" t="str">
        <f t="shared" si="29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0">
        <f t="shared" si="15"/>
        <v>0</v>
      </c>
      <c r="E21" s="73">
        <f t="shared" si="16"/>
        <v>0</v>
      </c>
      <c r="F21" s="231" t="str">
        <f t="shared" si="17"/>
        <v>***</v>
      </c>
      <c r="G21" s="73"/>
      <c r="H21" s="73">
        <f>+IFERROR(VLOOKUP($A21,'Goals &amp; Budget 2026'!$A$2:$EJ$49,77,FALSE),0)</f>
        <v>0</v>
      </c>
      <c r="I21" s="84" t="str">
        <f t="shared" si="18"/>
        <v>***</v>
      </c>
      <c r="J21" s="73"/>
      <c r="K21" s="73">
        <f>+IFERROR(VLOOKUP($A21,'Goals &amp; Budget 2026'!$A$2:$EJ$49,78,FALSE),0)</f>
        <v>0</v>
      </c>
      <c r="L21" s="84" t="str">
        <f t="shared" si="19"/>
        <v>***</v>
      </c>
      <c r="M21" s="73"/>
      <c r="N21" s="73">
        <f>+IFERROR(VLOOKUP($A21,'Goals &amp; Budget 2026'!$A$2:$EJ$49,79,FALSE),0)</f>
        <v>0</v>
      </c>
      <c r="O21" s="231" t="str">
        <f t="shared" si="20"/>
        <v>***</v>
      </c>
      <c r="P21" s="73"/>
      <c r="Q21" s="73">
        <f>+IFERROR(VLOOKUP($A21,'Goals &amp; Budget 2026'!$A$2:$EJ$49,80,FALSE),0)</f>
        <v>0</v>
      </c>
      <c r="R21" s="84" t="str">
        <f t="shared" si="21"/>
        <v>***</v>
      </c>
      <c r="S21" s="73"/>
      <c r="T21" s="73">
        <f>+IFERROR(VLOOKUP($A21,'Goals &amp; Budget 2026'!$A$2:$EJ$49,81,FALSE),0)</f>
        <v>0</v>
      </c>
      <c r="U21" s="84" t="str">
        <f t="shared" si="22"/>
        <v>***</v>
      </c>
      <c r="V21" s="73"/>
      <c r="W21" s="73">
        <f>+IFERROR(VLOOKUP($A21,'Goals &amp; Budget 2026'!$A$2:$EJ$49,82,FALSE),0)</f>
        <v>0</v>
      </c>
      <c r="X21" s="231" t="str">
        <f t="shared" si="23"/>
        <v>***</v>
      </c>
      <c r="Y21" s="73"/>
      <c r="Z21" s="73">
        <f>+IFERROR(VLOOKUP($A21,'Goals &amp; Budget 2026'!$A$2:$EJ$49,83,FALSE),0)</f>
        <v>0</v>
      </c>
      <c r="AA21" s="84" t="str">
        <f t="shared" si="24"/>
        <v>***</v>
      </c>
      <c r="AB21" s="73"/>
      <c r="AC21" s="73">
        <f>+IFERROR(VLOOKUP($A21,'Goals &amp; Budget 2026'!$A$2:$EJ$49,84,FALSE),0)</f>
        <v>0</v>
      </c>
      <c r="AD21" s="84" t="str">
        <f t="shared" si="25"/>
        <v>***</v>
      </c>
      <c r="AE21" s="73"/>
      <c r="AF21" s="73">
        <f>+IFERROR(VLOOKUP($A21,'Goals &amp; Budget 2026'!$A$2:$EJ$49,85,FALSE),0)</f>
        <v>0</v>
      </c>
      <c r="AG21" s="231" t="str">
        <f t="shared" si="26"/>
        <v>***</v>
      </c>
      <c r="AH21" s="73"/>
      <c r="AI21" s="73">
        <f>+IFERROR(VLOOKUP($A21,'Goals &amp; Budget 2026'!$A$2:$EJ$49,86,FALSE),0)</f>
        <v>0</v>
      </c>
      <c r="AJ21" s="84" t="str">
        <f t="shared" si="27"/>
        <v>***</v>
      </c>
      <c r="AK21" s="73"/>
      <c r="AL21" s="73">
        <f>+IFERROR(VLOOKUP($A21,'Goals &amp; Budget 2026'!$A$2:$EJ$49,87,FALSE),0)</f>
        <v>0</v>
      </c>
      <c r="AM21" s="84" t="str">
        <f t="shared" si="28"/>
        <v>***</v>
      </c>
      <c r="AN21" s="73"/>
      <c r="AO21" s="73">
        <f>+IFERROR(VLOOKUP($A21,'Goals &amp; Budget 2026'!$A$2:$EJ$49,88,FALSE),0)</f>
        <v>0</v>
      </c>
      <c r="AP21" s="85" t="str">
        <f t="shared" si="29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0">
        <f t="shared" si="15"/>
        <v>0</v>
      </c>
      <c r="E22" s="73">
        <f t="shared" si="16"/>
        <v>0</v>
      </c>
      <c r="F22" s="231" t="str">
        <f t="shared" si="17"/>
        <v>***</v>
      </c>
      <c r="G22" s="73"/>
      <c r="H22" s="73">
        <f>+IFERROR(VLOOKUP($A22,'Goals &amp; Budget 2026'!$A$2:$EJ$49,77,FALSE),0)</f>
        <v>0</v>
      </c>
      <c r="I22" s="84" t="str">
        <f t="shared" si="18"/>
        <v>***</v>
      </c>
      <c r="J22" s="73"/>
      <c r="K22" s="73">
        <f>+IFERROR(VLOOKUP($A22,'Goals &amp; Budget 2026'!$A$2:$EJ$49,78,FALSE),0)</f>
        <v>0</v>
      </c>
      <c r="L22" s="84" t="str">
        <f t="shared" si="19"/>
        <v>***</v>
      </c>
      <c r="M22" s="73"/>
      <c r="N22" s="73">
        <f>+IFERROR(VLOOKUP($A22,'Goals &amp; Budget 2026'!$A$2:$EJ$49,79,FALSE),0)</f>
        <v>0</v>
      </c>
      <c r="O22" s="231" t="str">
        <f t="shared" si="20"/>
        <v>***</v>
      </c>
      <c r="P22" s="73"/>
      <c r="Q22" s="73">
        <f>+IFERROR(VLOOKUP($A22,'Goals &amp; Budget 2026'!$A$2:$EJ$49,80,FALSE),0)</f>
        <v>0</v>
      </c>
      <c r="R22" s="84" t="str">
        <f t="shared" si="21"/>
        <v>***</v>
      </c>
      <c r="S22" s="73"/>
      <c r="T22" s="73">
        <f>+IFERROR(VLOOKUP($A22,'Goals &amp; Budget 2026'!$A$2:$EJ$49,81,FALSE),0)</f>
        <v>0</v>
      </c>
      <c r="U22" s="84" t="str">
        <f t="shared" si="22"/>
        <v>***</v>
      </c>
      <c r="V22" s="73"/>
      <c r="W22" s="73">
        <f>+IFERROR(VLOOKUP($A22,'Goals &amp; Budget 2026'!$A$2:$EJ$49,82,FALSE),0)</f>
        <v>0</v>
      </c>
      <c r="X22" s="231" t="str">
        <f t="shared" si="23"/>
        <v>***</v>
      </c>
      <c r="Y22" s="73"/>
      <c r="Z22" s="73">
        <f>+IFERROR(VLOOKUP($A22,'Goals &amp; Budget 2026'!$A$2:$EJ$49,83,FALSE),0)</f>
        <v>0</v>
      </c>
      <c r="AA22" s="84" t="str">
        <f t="shared" si="24"/>
        <v>***</v>
      </c>
      <c r="AB22" s="73"/>
      <c r="AC22" s="73">
        <f>+IFERROR(VLOOKUP($A22,'Goals &amp; Budget 2026'!$A$2:$EJ$49,84,FALSE),0)</f>
        <v>0</v>
      </c>
      <c r="AD22" s="84" t="str">
        <f t="shared" si="25"/>
        <v>***</v>
      </c>
      <c r="AE22" s="73"/>
      <c r="AF22" s="73">
        <f>+IFERROR(VLOOKUP($A22,'Goals &amp; Budget 2026'!$A$2:$EJ$49,85,FALSE),0)</f>
        <v>0</v>
      </c>
      <c r="AG22" s="231" t="str">
        <f t="shared" si="26"/>
        <v>***</v>
      </c>
      <c r="AH22" s="73"/>
      <c r="AI22" s="73">
        <f>+IFERROR(VLOOKUP($A22,'Goals &amp; Budget 2026'!$A$2:$EJ$49,86,FALSE),0)</f>
        <v>0</v>
      </c>
      <c r="AJ22" s="84" t="str">
        <f t="shared" si="27"/>
        <v>***</v>
      </c>
      <c r="AK22" s="73"/>
      <c r="AL22" s="73">
        <f>+IFERROR(VLOOKUP($A22,'Goals &amp; Budget 2026'!$A$2:$EJ$49,87,FALSE),0)</f>
        <v>0</v>
      </c>
      <c r="AM22" s="84" t="str">
        <f t="shared" si="28"/>
        <v>***</v>
      </c>
      <c r="AN22" s="73"/>
      <c r="AO22" s="73">
        <f>+IFERROR(VLOOKUP($A22,'Goals &amp; Budget 2026'!$A$2:$EJ$49,88,FALSE),0)</f>
        <v>0</v>
      </c>
      <c r="AP22" s="85" t="str">
        <f t="shared" si="29"/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0">
        <f t="shared" si="15"/>
        <v>0</v>
      </c>
      <c r="E23" s="73">
        <f t="shared" si="16"/>
        <v>0</v>
      </c>
      <c r="F23" s="231" t="str">
        <f t="shared" si="17"/>
        <v>***</v>
      </c>
      <c r="G23" s="73"/>
      <c r="H23" s="73">
        <f>+IFERROR(VLOOKUP($A23,'Goals &amp; Budget 2026'!$A$2:$EJ$49,77,FALSE),0)</f>
        <v>0</v>
      </c>
      <c r="I23" s="84" t="str">
        <f t="shared" si="18"/>
        <v>***</v>
      </c>
      <c r="J23" s="73"/>
      <c r="K23" s="73">
        <f>+IFERROR(VLOOKUP($A23,'Goals &amp; Budget 2026'!$A$2:$EJ$49,78,FALSE),0)</f>
        <v>0</v>
      </c>
      <c r="L23" s="84" t="str">
        <f t="shared" si="19"/>
        <v>***</v>
      </c>
      <c r="M23" s="73"/>
      <c r="N23" s="73">
        <f>+IFERROR(VLOOKUP($A23,'Goals &amp; Budget 2026'!$A$2:$EJ$49,79,FALSE),0)</f>
        <v>0</v>
      </c>
      <c r="O23" s="231" t="str">
        <f t="shared" si="20"/>
        <v>***</v>
      </c>
      <c r="P23" s="73"/>
      <c r="Q23" s="73">
        <f>+IFERROR(VLOOKUP($A23,'Goals &amp; Budget 2026'!$A$2:$EJ$49,80,FALSE),0)</f>
        <v>0</v>
      </c>
      <c r="R23" s="84" t="str">
        <f t="shared" si="21"/>
        <v>***</v>
      </c>
      <c r="S23" s="73"/>
      <c r="T23" s="73">
        <f>+IFERROR(VLOOKUP($A23,'Goals &amp; Budget 2026'!$A$2:$EJ$49,81,FALSE),0)</f>
        <v>0</v>
      </c>
      <c r="U23" s="84" t="str">
        <f t="shared" si="22"/>
        <v>***</v>
      </c>
      <c r="V23" s="73"/>
      <c r="W23" s="73">
        <f>+IFERROR(VLOOKUP($A23,'Goals &amp; Budget 2026'!$A$2:$EJ$49,82,FALSE),0)</f>
        <v>0</v>
      </c>
      <c r="X23" s="231" t="str">
        <f t="shared" si="23"/>
        <v>***</v>
      </c>
      <c r="Y23" s="73"/>
      <c r="Z23" s="73">
        <f>+IFERROR(VLOOKUP($A23,'Goals &amp; Budget 2026'!$A$2:$EJ$49,83,FALSE),0)</f>
        <v>0</v>
      </c>
      <c r="AA23" s="84" t="str">
        <f t="shared" si="24"/>
        <v>***</v>
      </c>
      <c r="AB23" s="73"/>
      <c r="AC23" s="73">
        <f>+IFERROR(VLOOKUP($A23,'Goals &amp; Budget 2026'!$A$2:$EJ$49,84,FALSE),0)</f>
        <v>0</v>
      </c>
      <c r="AD23" s="84" t="str">
        <f t="shared" si="25"/>
        <v>***</v>
      </c>
      <c r="AE23" s="73"/>
      <c r="AF23" s="73">
        <f>+IFERROR(VLOOKUP($A23,'Goals &amp; Budget 2026'!$A$2:$EJ$49,85,FALSE),0)</f>
        <v>0</v>
      </c>
      <c r="AG23" s="231" t="str">
        <f t="shared" si="26"/>
        <v>***</v>
      </c>
      <c r="AH23" s="73"/>
      <c r="AI23" s="73">
        <f>+IFERROR(VLOOKUP($A23,'Goals &amp; Budget 2026'!$A$2:$EJ$49,86,FALSE),0)</f>
        <v>0</v>
      </c>
      <c r="AJ23" s="84" t="str">
        <f t="shared" si="27"/>
        <v>***</v>
      </c>
      <c r="AK23" s="73"/>
      <c r="AL23" s="73">
        <f>+IFERROR(VLOOKUP($A23,'Goals &amp; Budget 2026'!$A$2:$EJ$49,87,FALSE),0)</f>
        <v>0</v>
      </c>
      <c r="AM23" s="84" t="str">
        <f t="shared" si="28"/>
        <v>***</v>
      </c>
      <c r="AN23" s="73"/>
      <c r="AO23" s="73">
        <f>+IFERROR(VLOOKUP($A23,'Goals &amp; Budget 2026'!$A$2:$EJ$49,88,FALSE),0)</f>
        <v>0</v>
      </c>
      <c r="AP23" s="85" t="str">
        <f t="shared" si="29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0">
        <f t="shared" si="15"/>
        <v>0</v>
      </c>
      <c r="E24" s="73">
        <f t="shared" si="16"/>
        <v>0</v>
      </c>
      <c r="F24" s="231" t="str">
        <f t="shared" si="17"/>
        <v>***</v>
      </c>
      <c r="G24" s="73"/>
      <c r="H24" s="73">
        <f>+IFERROR(VLOOKUP($A24,'Goals &amp; Budget 2026'!$A$2:$EJ$49,77,FALSE),0)</f>
        <v>0</v>
      </c>
      <c r="I24" s="84" t="str">
        <f t="shared" si="18"/>
        <v>***</v>
      </c>
      <c r="J24" s="73"/>
      <c r="K24" s="73">
        <f>+IFERROR(VLOOKUP($A24,'Goals &amp; Budget 2026'!$A$2:$EJ$49,78,FALSE),0)</f>
        <v>0</v>
      </c>
      <c r="L24" s="84" t="str">
        <f t="shared" si="19"/>
        <v>***</v>
      </c>
      <c r="M24" s="73"/>
      <c r="N24" s="73">
        <f>+IFERROR(VLOOKUP($A24,'Goals &amp; Budget 2026'!$A$2:$EJ$49,79,FALSE),0)</f>
        <v>0</v>
      </c>
      <c r="O24" s="231" t="str">
        <f t="shared" si="20"/>
        <v>***</v>
      </c>
      <c r="P24" s="73"/>
      <c r="Q24" s="73">
        <f>+IFERROR(VLOOKUP($A24,'Goals &amp; Budget 2026'!$A$2:$EJ$49,80,FALSE),0)</f>
        <v>0</v>
      </c>
      <c r="R24" s="84" t="str">
        <f t="shared" si="21"/>
        <v>***</v>
      </c>
      <c r="S24" s="73"/>
      <c r="T24" s="73">
        <f>+IFERROR(VLOOKUP($A24,'Goals &amp; Budget 2026'!$A$2:$EJ$49,81,FALSE),0)</f>
        <v>58</v>
      </c>
      <c r="U24" s="84">
        <f t="shared" si="22"/>
        <v>0</v>
      </c>
      <c r="V24" s="73"/>
      <c r="W24" s="73">
        <f>+IFERROR(VLOOKUP($A24,'Goals &amp; Budget 2026'!$A$2:$EJ$49,82,FALSE),0)</f>
        <v>0</v>
      </c>
      <c r="X24" s="231" t="str">
        <f t="shared" si="23"/>
        <v>***</v>
      </c>
      <c r="Y24" s="73"/>
      <c r="Z24" s="73">
        <f>+IFERROR(VLOOKUP($A24,'Goals &amp; Budget 2026'!$A$2:$EJ$49,83,FALSE),0)</f>
        <v>0</v>
      </c>
      <c r="AA24" s="84" t="str">
        <f t="shared" si="24"/>
        <v>***</v>
      </c>
      <c r="AB24" s="73"/>
      <c r="AC24" s="73">
        <f>+IFERROR(VLOOKUP($A24,'Goals &amp; Budget 2026'!$A$2:$EJ$49,84,FALSE),0)</f>
        <v>0</v>
      </c>
      <c r="AD24" s="84" t="str">
        <f t="shared" si="25"/>
        <v>***</v>
      </c>
      <c r="AE24" s="73"/>
      <c r="AF24" s="73">
        <f>+IFERROR(VLOOKUP($A24,'Goals &amp; Budget 2026'!$A$2:$EJ$49,85,FALSE),0)</f>
        <v>0</v>
      </c>
      <c r="AG24" s="231" t="str">
        <f t="shared" si="26"/>
        <v>***</v>
      </c>
      <c r="AH24" s="73"/>
      <c r="AI24" s="73">
        <f>+IFERROR(VLOOKUP($A24,'Goals &amp; Budget 2026'!$A$2:$EJ$49,86,FALSE),0)</f>
        <v>0</v>
      </c>
      <c r="AJ24" s="84" t="str">
        <f t="shared" si="27"/>
        <v>***</v>
      </c>
      <c r="AK24" s="73"/>
      <c r="AL24" s="73">
        <f>+IFERROR(VLOOKUP($A24,'Goals &amp; Budget 2026'!$A$2:$EJ$49,87,FALSE),0)</f>
        <v>0</v>
      </c>
      <c r="AM24" s="84" t="str">
        <f t="shared" si="28"/>
        <v>***</v>
      </c>
      <c r="AN24" s="73"/>
      <c r="AO24" s="73">
        <f>+IFERROR(VLOOKUP($A24,'Goals &amp; Budget 2026'!$A$2:$EJ$49,88,FALSE),0)</f>
        <v>0</v>
      </c>
      <c r="AP24" s="85" t="str">
        <f t="shared" si="29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0">
        <f t="shared" si="15"/>
        <v>0</v>
      </c>
      <c r="E25" s="73">
        <f t="shared" si="16"/>
        <v>0</v>
      </c>
      <c r="F25" s="231" t="str">
        <f t="shared" si="17"/>
        <v>***</v>
      </c>
      <c r="G25" s="73"/>
      <c r="H25" s="73">
        <f>+IFERROR(VLOOKUP($A25,'Goals &amp; Budget 2026'!$A$2:$EJ$49,77,FALSE),0)</f>
        <v>0</v>
      </c>
      <c r="I25" s="84" t="str">
        <f t="shared" si="18"/>
        <v>***</v>
      </c>
      <c r="J25" s="73"/>
      <c r="K25" s="73">
        <f>+IFERROR(VLOOKUP($A25,'Goals &amp; Budget 2026'!$A$2:$EJ$49,78,FALSE),0)</f>
        <v>0</v>
      </c>
      <c r="L25" s="84" t="str">
        <f t="shared" si="19"/>
        <v>***</v>
      </c>
      <c r="M25" s="73"/>
      <c r="N25" s="73">
        <f>+IFERROR(VLOOKUP($A25,'Goals &amp; Budget 2026'!$A$2:$EJ$49,79,FALSE),0)</f>
        <v>0</v>
      </c>
      <c r="O25" s="231" t="str">
        <f t="shared" si="20"/>
        <v>***</v>
      </c>
      <c r="P25" s="73"/>
      <c r="Q25" s="73">
        <f>+IFERROR(VLOOKUP($A25,'Goals &amp; Budget 2026'!$A$2:$EJ$49,80,FALSE),0)</f>
        <v>0</v>
      </c>
      <c r="R25" s="84" t="str">
        <f t="shared" si="21"/>
        <v>***</v>
      </c>
      <c r="S25" s="73"/>
      <c r="T25" s="73">
        <f>+IFERROR(VLOOKUP($A25,'Goals &amp; Budget 2026'!$A$2:$EJ$49,81,FALSE),0)</f>
        <v>58</v>
      </c>
      <c r="U25" s="84">
        <f t="shared" si="22"/>
        <v>0</v>
      </c>
      <c r="V25" s="73"/>
      <c r="W25" s="73">
        <f>+IFERROR(VLOOKUP($A25,'Goals &amp; Budget 2026'!$A$2:$EJ$49,82,FALSE),0)</f>
        <v>0</v>
      </c>
      <c r="X25" s="231" t="str">
        <f t="shared" si="23"/>
        <v>***</v>
      </c>
      <c r="Y25" s="73"/>
      <c r="Z25" s="73">
        <f>+IFERROR(VLOOKUP($A25,'Goals &amp; Budget 2026'!$A$2:$EJ$49,83,FALSE),0)</f>
        <v>0</v>
      </c>
      <c r="AA25" s="84" t="str">
        <f t="shared" si="24"/>
        <v>***</v>
      </c>
      <c r="AB25" s="73"/>
      <c r="AC25" s="73">
        <f>+IFERROR(VLOOKUP($A25,'Goals &amp; Budget 2026'!$A$2:$EJ$49,84,FALSE),0)</f>
        <v>0</v>
      </c>
      <c r="AD25" s="84" t="str">
        <f t="shared" si="25"/>
        <v>***</v>
      </c>
      <c r="AE25" s="73"/>
      <c r="AF25" s="73">
        <f>+IFERROR(VLOOKUP($A25,'Goals &amp; Budget 2026'!$A$2:$EJ$49,85,FALSE),0)</f>
        <v>0</v>
      </c>
      <c r="AG25" s="231" t="str">
        <f t="shared" si="26"/>
        <v>***</v>
      </c>
      <c r="AH25" s="73"/>
      <c r="AI25" s="73">
        <f>+IFERROR(VLOOKUP($A25,'Goals &amp; Budget 2026'!$A$2:$EJ$49,86,FALSE),0)</f>
        <v>0</v>
      </c>
      <c r="AJ25" s="84" t="str">
        <f t="shared" si="27"/>
        <v>***</v>
      </c>
      <c r="AK25" s="73"/>
      <c r="AL25" s="73">
        <f>+IFERROR(VLOOKUP($A25,'Goals &amp; Budget 2026'!$A$2:$EJ$49,87,FALSE),0)</f>
        <v>0</v>
      </c>
      <c r="AM25" s="84" t="str">
        <f t="shared" si="28"/>
        <v>***</v>
      </c>
      <c r="AN25" s="73"/>
      <c r="AO25" s="73">
        <f>+IFERROR(VLOOKUP($A25,'Goals &amp; Budget 2026'!$A$2:$EJ$49,88,FALSE),0)</f>
        <v>0</v>
      </c>
      <c r="AP25" s="85" t="str">
        <f t="shared" si="29"/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51">
        <f t="shared" si="15"/>
        <v>0</v>
      </c>
      <c r="E26" s="54">
        <f t="shared" si="16"/>
        <v>0</v>
      </c>
      <c r="F26" s="232" t="str">
        <f t="shared" si="17"/>
        <v>***</v>
      </c>
      <c r="G26" s="54"/>
      <c r="H26" s="54">
        <f>+IFERROR(VLOOKUP($A26,'Goals &amp; Budget 2026'!$A$2:$EJ$49,77,FALSE),0)</f>
        <v>0</v>
      </c>
      <c r="I26" s="65" t="str">
        <f t="shared" si="18"/>
        <v>***</v>
      </c>
      <c r="J26" s="54"/>
      <c r="K26" s="54">
        <f>+IFERROR(VLOOKUP($A26,'Goals &amp; Budget 2026'!$A$2:$EJ$49,78,FALSE),0)</f>
        <v>0</v>
      </c>
      <c r="L26" s="65" t="str">
        <f t="shared" si="19"/>
        <v>***</v>
      </c>
      <c r="M26" s="54"/>
      <c r="N26" s="54">
        <f>+IFERROR(VLOOKUP($A26,'Goals &amp; Budget 2026'!$A$2:$EJ$49,79,FALSE),0)</f>
        <v>0</v>
      </c>
      <c r="O26" s="232" t="str">
        <f t="shared" si="20"/>
        <v>***</v>
      </c>
      <c r="P26" s="54"/>
      <c r="Q26" s="54">
        <f>+IFERROR(VLOOKUP($A26,'Goals &amp; Budget 2026'!$A$2:$EJ$49,80,FALSE),0)</f>
        <v>0</v>
      </c>
      <c r="R26" s="65" t="str">
        <f t="shared" si="21"/>
        <v>***</v>
      </c>
      <c r="S26" s="54"/>
      <c r="T26" s="54">
        <f>+IFERROR(VLOOKUP($A26,'Goals &amp; Budget 2026'!$A$2:$EJ$49,81,FALSE),0)</f>
        <v>58</v>
      </c>
      <c r="U26" s="65">
        <f t="shared" si="22"/>
        <v>0</v>
      </c>
      <c r="V26" s="54"/>
      <c r="W26" s="54">
        <f>+IFERROR(VLOOKUP($A26,'Goals &amp; Budget 2026'!$A$2:$EJ$49,82,FALSE),0)</f>
        <v>0</v>
      </c>
      <c r="X26" s="232" t="str">
        <f t="shared" si="23"/>
        <v>***</v>
      </c>
      <c r="Y26" s="54"/>
      <c r="Z26" s="54">
        <f>+IFERROR(VLOOKUP($A26,'Goals &amp; Budget 2026'!$A$2:$EJ$49,83,FALSE),0)</f>
        <v>0</v>
      </c>
      <c r="AA26" s="65" t="str">
        <f t="shared" si="24"/>
        <v>***</v>
      </c>
      <c r="AB26" s="54"/>
      <c r="AC26" s="54">
        <f>+IFERROR(VLOOKUP($A26,'Goals &amp; Budget 2026'!$A$2:$EJ$49,84,FALSE),0)</f>
        <v>0</v>
      </c>
      <c r="AD26" s="65" t="str">
        <f t="shared" si="25"/>
        <v>***</v>
      </c>
      <c r="AE26" s="54"/>
      <c r="AF26" s="54">
        <f>+IFERROR(VLOOKUP($A26,'Goals &amp; Budget 2026'!$A$2:$EJ$49,85,FALSE),0)</f>
        <v>0</v>
      </c>
      <c r="AG26" s="232" t="str">
        <f t="shared" si="26"/>
        <v>***</v>
      </c>
      <c r="AH26" s="54"/>
      <c r="AI26" s="54">
        <f>+IFERROR(VLOOKUP($A26,'Goals &amp; Budget 2026'!$A$2:$EJ$49,86,FALSE),0)</f>
        <v>0</v>
      </c>
      <c r="AJ26" s="65" t="str">
        <f t="shared" si="27"/>
        <v>***</v>
      </c>
      <c r="AK26" s="54"/>
      <c r="AL26" s="54">
        <f>+IFERROR(VLOOKUP($A26,'Goals &amp; Budget 2026'!$A$2:$EJ$49,87,FALSE),0)</f>
        <v>0</v>
      </c>
      <c r="AM26" s="65" t="str">
        <f t="shared" si="28"/>
        <v>***</v>
      </c>
      <c r="AN26" s="54"/>
      <c r="AO26" s="54">
        <f>+IFERROR(VLOOKUP($A26,'Goals &amp; Budget 2026'!$A$2:$EJ$49,88,FALSE),0)</f>
        <v>0</v>
      </c>
      <c r="AP26" s="66" t="str">
        <f t="shared" si="29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51">
        <f t="shared" si="15"/>
        <v>0</v>
      </c>
      <c r="E27" s="54">
        <f t="shared" si="16"/>
        <v>0</v>
      </c>
      <c r="F27" s="232" t="str">
        <f t="shared" si="17"/>
        <v>***</v>
      </c>
      <c r="G27" s="54"/>
      <c r="H27" s="54">
        <f>+IFERROR(VLOOKUP($A27,'Goals &amp; Budget 2026'!$A$2:$EJ$49,77,FALSE),0)</f>
        <v>0</v>
      </c>
      <c r="I27" s="65" t="str">
        <f t="shared" si="18"/>
        <v>***</v>
      </c>
      <c r="J27" s="54"/>
      <c r="K27" s="54">
        <f>+IFERROR(VLOOKUP($A27,'Goals &amp; Budget 2026'!$A$2:$EJ$49,78,FALSE),0)</f>
        <v>0</v>
      </c>
      <c r="L27" s="65" t="str">
        <f t="shared" si="19"/>
        <v>***</v>
      </c>
      <c r="M27" s="54"/>
      <c r="N27" s="54">
        <f>+IFERROR(VLOOKUP($A27,'Goals &amp; Budget 2026'!$A$2:$EJ$49,79,FALSE),0)</f>
        <v>0</v>
      </c>
      <c r="O27" s="232" t="str">
        <f t="shared" si="20"/>
        <v>***</v>
      </c>
      <c r="P27" s="54"/>
      <c r="Q27" s="54">
        <f>+IFERROR(VLOOKUP($A27,'Goals &amp; Budget 2026'!$A$2:$EJ$49,80,FALSE),0)</f>
        <v>0</v>
      </c>
      <c r="R27" s="65" t="str">
        <f t="shared" si="21"/>
        <v>***</v>
      </c>
      <c r="S27" s="54"/>
      <c r="T27" s="54">
        <f>+IFERROR(VLOOKUP($A27,'Goals &amp; Budget 2026'!$A$2:$EJ$49,81,FALSE),0)</f>
        <v>58</v>
      </c>
      <c r="U27" s="65">
        <f t="shared" si="22"/>
        <v>0</v>
      </c>
      <c r="V27" s="54"/>
      <c r="W27" s="54">
        <f>+IFERROR(VLOOKUP($A27,'Goals &amp; Budget 2026'!$A$2:$EJ$49,82,FALSE),0)</f>
        <v>0</v>
      </c>
      <c r="X27" s="232" t="str">
        <f t="shared" si="23"/>
        <v>***</v>
      </c>
      <c r="Y27" s="54"/>
      <c r="Z27" s="54">
        <f>+IFERROR(VLOOKUP($A27,'Goals &amp; Budget 2026'!$A$2:$EJ$49,83,FALSE),0)</f>
        <v>0</v>
      </c>
      <c r="AA27" s="65" t="str">
        <f t="shared" si="24"/>
        <v>***</v>
      </c>
      <c r="AB27" s="54"/>
      <c r="AC27" s="54">
        <f>+IFERROR(VLOOKUP($A27,'Goals &amp; Budget 2026'!$A$2:$EJ$49,84,FALSE),0)</f>
        <v>0</v>
      </c>
      <c r="AD27" s="65" t="str">
        <f t="shared" si="25"/>
        <v>***</v>
      </c>
      <c r="AE27" s="54"/>
      <c r="AF27" s="54">
        <f>+IFERROR(VLOOKUP($A27,'Goals &amp; Budget 2026'!$A$2:$EJ$49,85,FALSE),0)</f>
        <v>0</v>
      </c>
      <c r="AG27" s="232" t="str">
        <f t="shared" si="26"/>
        <v>***</v>
      </c>
      <c r="AH27" s="54"/>
      <c r="AI27" s="54">
        <f>+IFERROR(VLOOKUP($A27,'Goals &amp; Budget 2026'!$A$2:$EJ$49,86,FALSE),0)</f>
        <v>0</v>
      </c>
      <c r="AJ27" s="65" t="str">
        <f t="shared" si="27"/>
        <v>***</v>
      </c>
      <c r="AK27" s="54"/>
      <c r="AL27" s="54">
        <f>+IFERROR(VLOOKUP($A27,'Goals &amp; Budget 2026'!$A$2:$EJ$49,87,FALSE),0)</f>
        <v>0</v>
      </c>
      <c r="AM27" s="65" t="str">
        <f t="shared" si="28"/>
        <v>***</v>
      </c>
      <c r="AN27" s="54"/>
      <c r="AO27" s="54">
        <f>+IFERROR(VLOOKUP($A27,'Goals &amp; Budget 2026'!$A$2:$EJ$49,88,FALSE),0)</f>
        <v>0</v>
      </c>
      <c r="AP27" s="66" t="str">
        <f t="shared" si="29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51">
        <f t="shared" si="15"/>
        <v>0</v>
      </c>
      <c r="E28" s="54">
        <f t="shared" si="16"/>
        <v>0</v>
      </c>
      <c r="F28" s="232" t="str">
        <f t="shared" si="17"/>
        <v>***</v>
      </c>
      <c r="G28" s="54"/>
      <c r="H28" s="54">
        <f>+IFERROR(VLOOKUP($A28,'Goals &amp; Budget 2026'!$A$2:$EJ$49,77,FALSE),0)</f>
        <v>0</v>
      </c>
      <c r="I28" s="65" t="str">
        <f t="shared" si="18"/>
        <v>***</v>
      </c>
      <c r="J28" s="54"/>
      <c r="K28" s="54">
        <f>+IFERROR(VLOOKUP($A28,'Goals &amp; Budget 2026'!$A$2:$EJ$49,78,FALSE),0)</f>
        <v>0</v>
      </c>
      <c r="L28" s="65" t="str">
        <f t="shared" si="19"/>
        <v>***</v>
      </c>
      <c r="M28" s="54"/>
      <c r="N28" s="54">
        <f>+IFERROR(VLOOKUP($A28,'Goals &amp; Budget 2026'!$A$2:$EJ$49,79,FALSE),0)</f>
        <v>0</v>
      </c>
      <c r="O28" s="232" t="str">
        <f t="shared" si="20"/>
        <v>***</v>
      </c>
      <c r="P28" s="54"/>
      <c r="Q28" s="54">
        <f>+IFERROR(VLOOKUP($A28,'Goals &amp; Budget 2026'!$A$2:$EJ$49,80,FALSE),0)</f>
        <v>0</v>
      </c>
      <c r="R28" s="65" t="str">
        <f t="shared" si="21"/>
        <v>***</v>
      </c>
      <c r="S28" s="54"/>
      <c r="T28" s="54">
        <f>+IFERROR(VLOOKUP($A28,'Goals &amp; Budget 2026'!$A$2:$EJ$49,81,FALSE),0)</f>
        <v>0</v>
      </c>
      <c r="U28" s="65" t="str">
        <f t="shared" si="22"/>
        <v>***</v>
      </c>
      <c r="V28" s="54"/>
      <c r="W28" s="54">
        <f>+IFERROR(VLOOKUP($A28,'Goals &amp; Budget 2026'!$A$2:$EJ$49,82,FALSE),0)</f>
        <v>0</v>
      </c>
      <c r="X28" s="232" t="str">
        <f t="shared" si="23"/>
        <v>***</v>
      </c>
      <c r="Y28" s="54"/>
      <c r="Z28" s="54">
        <f>+IFERROR(VLOOKUP($A28,'Goals &amp; Budget 2026'!$A$2:$EJ$49,83,FALSE),0)</f>
        <v>0</v>
      </c>
      <c r="AA28" s="65" t="str">
        <f t="shared" si="24"/>
        <v>***</v>
      </c>
      <c r="AB28" s="54"/>
      <c r="AC28" s="54">
        <f>+IFERROR(VLOOKUP($A28,'Goals &amp; Budget 2026'!$A$2:$EJ$49,84,FALSE),0)</f>
        <v>0</v>
      </c>
      <c r="AD28" s="65" t="str">
        <f t="shared" si="25"/>
        <v>***</v>
      </c>
      <c r="AE28" s="54"/>
      <c r="AF28" s="54">
        <f>+IFERROR(VLOOKUP($A28,'Goals &amp; Budget 2026'!$A$2:$EJ$49,85,FALSE),0)</f>
        <v>0</v>
      </c>
      <c r="AG28" s="232" t="str">
        <f t="shared" si="26"/>
        <v>***</v>
      </c>
      <c r="AH28" s="54"/>
      <c r="AI28" s="54">
        <f>+IFERROR(VLOOKUP($A28,'Goals &amp; Budget 2026'!$A$2:$EJ$49,86,FALSE),0)</f>
        <v>0</v>
      </c>
      <c r="AJ28" s="65" t="str">
        <f t="shared" si="27"/>
        <v>***</v>
      </c>
      <c r="AK28" s="54"/>
      <c r="AL28" s="54">
        <f>+IFERROR(VLOOKUP($A28,'Goals &amp; Budget 2026'!$A$2:$EJ$49,87,FALSE),0)</f>
        <v>0</v>
      </c>
      <c r="AM28" s="65" t="str">
        <f t="shared" si="28"/>
        <v>***</v>
      </c>
      <c r="AN28" s="54"/>
      <c r="AO28" s="54">
        <f>+IFERROR(VLOOKUP($A28,'Goals &amp; Budget 2026'!$A$2:$EJ$49,88,FALSE),0)</f>
        <v>0</v>
      </c>
      <c r="AP28" s="66" t="str">
        <f t="shared" si="29"/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51">
        <f t="shared" si="15"/>
        <v>0</v>
      </c>
      <c r="E29" s="54">
        <f t="shared" si="16"/>
        <v>0</v>
      </c>
      <c r="F29" s="232" t="str">
        <f t="shared" si="17"/>
        <v>***</v>
      </c>
      <c r="G29" s="54"/>
      <c r="H29" s="54">
        <f>+IFERROR(VLOOKUP($A29,'Goals &amp; Budget 2026'!$A$2:$EJ$49,77,FALSE),0)</f>
        <v>0</v>
      </c>
      <c r="I29" s="65" t="str">
        <f t="shared" si="18"/>
        <v>***</v>
      </c>
      <c r="J29" s="54"/>
      <c r="K29" s="54">
        <f>+IFERROR(VLOOKUP($A29,'Goals &amp; Budget 2026'!$A$2:$EJ$49,78,FALSE),0)</f>
        <v>0</v>
      </c>
      <c r="L29" s="65" t="str">
        <f t="shared" si="19"/>
        <v>***</v>
      </c>
      <c r="M29" s="54"/>
      <c r="N29" s="54">
        <f>+IFERROR(VLOOKUP($A29,'Goals &amp; Budget 2026'!$A$2:$EJ$49,79,FALSE),0)</f>
        <v>0</v>
      </c>
      <c r="O29" s="232" t="str">
        <f t="shared" si="20"/>
        <v>***</v>
      </c>
      <c r="P29" s="54"/>
      <c r="Q29" s="54">
        <f>+IFERROR(VLOOKUP($A29,'Goals &amp; Budget 2026'!$A$2:$EJ$49,80,FALSE),0)</f>
        <v>0</v>
      </c>
      <c r="R29" s="65" t="str">
        <f t="shared" si="21"/>
        <v>***</v>
      </c>
      <c r="S29" s="54"/>
      <c r="T29" s="54">
        <f>+IFERROR(VLOOKUP($A29,'Goals &amp; Budget 2026'!$A$2:$EJ$49,81,FALSE),0)</f>
        <v>0</v>
      </c>
      <c r="U29" s="65" t="str">
        <f t="shared" si="22"/>
        <v>***</v>
      </c>
      <c r="V29" s="54"/>
      <c r="W29" s="54">
        <f>+IFERROR(VLOOKUP($A29,'Goals &amp; Budget 2026'!$A$2:$EJ$49,82,FALSE),0)</f>
        <v>0</v>
      </c>
      <c r="X29" s="232" t="str">
        <f t="shared" si="23"/>
        <v>***</v>
      </c>
      <c r="Y29" s="54"/>
      <c r="Z29" s="54">
        <f>+IFERROR(VLOOKUP($A29,'Goals &amp; Budget 2026'!$A$2:$EJ$49,83,FALSE),0)</f>
        <v>0</v>
      </c>
      <c r="AA29" s="65" t="str">
        <f t="shared" si="24"/>
        <v>***</v>
      </c>
      <c r="AB29" s="54"/>
      <c r="AC29" s="54">
        <f>+IFERROR(VLOOKUP($A29,'Goals &amp; Budget 2026'!$A$2:$EJ$49,84,FALSE),0)</f>
        <v>0</v>
      </c>
      <c r="AD29" s="65" t="str">
        <f t="shared" si="25"/>
        <v>***</v>
      </c>
      <c r="AE29" s="54"/>
      <c r="AF29" s="54">
        <f>+IFERROR(VLOOKUP($A29,'Goals &amp; Budget 2026'!$A$2:$EJ$49,85,FALSE),0)</f>
        <v>0</v>
      </c>
      <c r="AG29" s="232" t="str">
        <f t="shared" si="26"/>
        <v>***</v>
      </c>
      <c r="AH29" s="54"/>
      <c r="AI29" s="54">
        <f>+IFERROR(VLOOKUP($A29,'Goals &amp; Budget 2026'!$A$2:$EJ$49,86,FALSE),0)</f>
        <v>0</v>
      </c>
      <c r="AJ29" s="65" t="str">
        <f t="shared" si="27"/>
        <v>***</v>
      </c>
      <c r="AK29" s="54"/>
      <c r="AL29" s="54">
        <f>+IFERROR(VLOOKUP($A29,'Goals &amp; Budget 2026'!$A$2:$EJ$49,87,FALSE),0)</f>
        <v>0</v>
      </c>
      <c r="AM29" s="65" t="str">
        <f t="shared" si="28"/>
        <v>***</v>
      </c>
      <c r="AN29" s="54"/>
      <c r="AO29" s="54">
        <f>+IFERROR(VLOOKUP($A29,'Goals &amp; Budget 2026'!$A$2:$EJ$49,88,FALSE),0)</f>
        <v>0</v>
      </c>
      <c r="AP29" s="66" t="str">
        <f t="shared" si="29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51">
        <f t="shared" si="15"/>
        <v>0</v>
      </c>
      <c r="E30" s="54">
        <f t="shared" si="16"/>
        <v>0</v>
      </c>
      <c r="F30" s="232" t="str">
        <f t="shared" si="17"/>
        <v>***</v>
      </c>
      <c r="G30" s="54"/>
      <c r="H30" s="54">
        <f>+IFERROR(VLOOKUP($A30,'Goals &amp; Budget 2026'!$A$2:$EJ$49,77,FALSE),0)</f>
        <v>0</v>
      </c>
      <c r="I30" s="65" t="str">
        <f t="shared" si="18"/>
        <v>***</v>
      </c>
      <c r="J30" s="54"/>
      <c r="K30" s="54">
        <f>+IFERROR(VLOOKUP($A30,'Goals &amp; Budget 2026'!$A$2:$EJ$49,78,FALSE),0)</f>
        <v>0</v>
      </c>
      <c r="L30" s="65" t="str">
        <f t="shared" si="19"/>
        <v>***</v>
      </c>
      <c r="M30" s="54"/>
      <c r="N30" s="54">
        <f>+IFERROR(VLOOKUP($A30,'Goals &amp; Budget 2026'!$A$2:$EJ$49,79,FALSE),0)</f>
        <v>0</v>
      </c>
      <c r="O30" s="232" t="str">
        <f t="shared" si="20"/>
        <v>***</v>
      </c>
      <c r="P30" s="54"/>
      <c r="Q30" s="54">
        <f>+IFERROR(VLOOKUP($A30,'Goals &amp; Budget 2026'!$A$2:$EJ$49,80,FALSE),0)</f>
        <v>0</v>
      </c>
      <c r="R30" s="65" t="str">
        <f t="shared" si="21"/>
        <v>***</v>
      </c>
      <c r="S30" s="54"/>
      <c r="T30" s="54">
        <f>+IFERROR(VLOOKUP($A30,'Goals &amp; Budget 2026'!$A$2:$EJ$49,81,FALSE),0)</f>
        <v>0</v>
      </c>
      <c r="U30" s="65" t="str">
        <f t="shared" si="22"/>
        <v>***</v>
      </c>
      <c r="V30" s="54"/>
      <c r="W30" s="54">
        <f>+IFERROR(VLOOKUP($A30,'Goals &amp; Budget 2026'!$A$2:$EJ$49,82,FALSE),0)</f>
        <v>0</v>
      </c>
      <c r="X30" s="232" t="str">
        <f t="shared" si="23"/>
        <v>***</v>
      </c>
      <c r="Y30" s="54"/>
      <c r="Z30" s="54">
        <f>+IFERROR(VLOOKUP($A30,'Goals &amp; Budget 2026'!$A$2:$EJ$49,83,FALSE),0)</f>
        <v>0</v>
      </c>
      <c r="AA30" s="65" t="str">
        <f t="shared" si="24"/>
        <v>***</v>
      </c>
      <c r="AB30" s="54"/>
      <c r="AC30" s="54">
        <f>+IFERROR(VLOOKUP($A30,'Goals &amp; Budget 2026'!$A$2:$EJ$49,84,FALSE),0)</f>
        <v>0</v>
      </c>
      <c r="AD30" s="65" t="str">
        <f t="shared" si="25"/>
        <v>***</v>
      </c>
      <c r="AE30" s="54"/>
      <c r="AF30" s="54">
        <f>+IFERROR(VLOOKUP($A30,'Goals &amp; Budget 2026'!$A$2:$EJ$49,85,FALSE),0)</f>
        <v>0</v>
      </c>
      <c r="AG30" s="232" t="str">
        <f t="shared" si="26"/>
        <v>***</v>
      </c>
      <c r="AH30" s="54"/>
      <c r="AI30" s="54">
        <f>+IFERROR(VLOOKUP($A30,'Goals &amp; Budget 2026'!$A$2:$EJ$49,86,FALSE),0)</f>
        <v>0</v>
      </c>
      <c r="AJ30" s="65" t="str">
        <f t="shared" si="27"/>
        <v>***</v>
      </c>
      <c r="AK30" s="54"/>
      <c r="AL30" s="54">
        <f>+IFERROR(VLOOKUP($A30,'Goals &amp; Budget 2026'!$A$2:$EJ$49,87,FALSE),0)</f>
        <v>0</v>
      </c>
      <c r="AM30" s="65" t="str">
        <f t="shared" si="28"/>
        <v>***</v>
      </c>
      <c r="AN30" s="54"/>
      <c r="AO30" s="54">
        <f>+IFERROR(VLOOKUP($A30,'Goals &amp; Budget 2026'!$A$2:$EJ$49,88,FALSE),0)</f>
        <v>0</v>
      </c>
      <c r="AP30" s="66" t="str">
        <f t="shared" si="29"/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51">
        <f t="shared" si="15"/>
        <v>0</v>
      </c>
      <c r="E31" s="54">
        <f t="shared" si="16"/>
        <v>0</v>
      </c>
      <c r="F31" s="232" t="str">
        <f t="shared" si="17"/>
        <v>***</v>
      </c>
      <c r="G31" s="54"/>
      <c r="H31" s="54">
        <f>+IFERROR(VLOOKUP($A31,'Goals &amp; Budget 2026'!$A$2:$EJ$49,77,FALSE),0)</f>
        <v>0</v>
      </c>
      <c r="I31" s="65" t="str">
        <f t="shared" si="18"/>
        <v>***</v>
      </c>
      <c r="J31" s="54"/>
      <c r="K31" s="54">
        <f>+IFERROR(VLOOKUP($A31,'Goals &amp; Budget 2026'!$A$2:$EJ$49,78,FALSE),0)</f>
        <v>0</v>
      </c>
      <c r="L31" s="65" t="str">
        <f t="shared" si="19"/>
        <v>***</v>
      </c>
      <c r="M31" s="54"/>
      <c r="N31" s="54">
        <f>+IFERROR(VLOOKUP($A31,'Goals &amp; Budget 2026'!$A$2:$EJ$49,79,FALSE),0)</f>
        <v>0</v>
      </c>
      <c r="O31" s="232" t="str">
        <f t="shared" si="20"/>
        <v>***</v>
      </c>
      <c r="P31" s="54"/>
      <c r="Q31" s="54">
        <f>+IFERROR(VLOOKUP($A31,'Goals &amp; Budget 2026'!$A$2:$EJ$49,80,FALSE),0)</f>
        <v>0</v>
      </c>
      <c r="R31" s="65" t="str">
        <f t="shared" si="21"/>
        <v>***</v>
      </c>
      <c r="S31" s="54"/>
      <c r="T31" s="54">
        <f>+IFERROR(VLOOKUP($A31,'Goals &amp; Budget 2026'!$A$2:$EJ$49,81,FALSE),0)</f>
        <v>0</v>
      </c>
      <c r="U31" s="65" t="str">
        <f t="shared" si="22"/>
        <v>***</v>
      </c>
      <c r="V31" s="54"/>
      <c r="W31" s="54">
        <f>+IFERROR(VLOOKUP($A31,'Goals &amp; Budget 2026'!$A$2:$EJ$49,82,FALSE),0)</f>
        <v>0</v>
      </c>
      <c r="X31" s="232" t="str">
        <f t="shared" si="23"/>
        <v>***</v>
      </c>
      <c r="Y31" s="54"/>
      <c r="Z31" s="54">
        <f>+IFERROR(VLOOKUP($A31,'Goals &amp; Budget 2026'!$A$2:$EJ$49,83,FALSE),0)</f>
        <v>0</v>
      </c>
      <c r="AA31" s="65" t="str">
        <f t="shared" si="24"/>
        <v>***</v>
      </c>
      <c r="AB31" s="54"/>
      <c r="AC31" s="54">
        <f>+IFERROR(VLOOKUP($A31,'Goals &amp; Budget 2026'!$A$2:$EJ$49,84,FALSE),0)</f>
        <v>0</v>
      </c>
      <c r="AD31" s="65" t="str">
        <f t="shared" si="25"/>
        <v>***</v>
      </c>
      <c r="AE31" s="54"/>
      <c r="AF31" s="54">
        <f>+IFERROR(VLOOKUP($A31,'Goals &amp; Budget 2026'!$A$2:$EJ$49,85,FALSE),0)</f>
        <v>0</v>
      </c>
      <c r="AG31" s="232" t="str">
        <f t="shared" si="26"/>
        <v>***</v>
      </c>
      <c r="AH31" s="54"/>
      <c r="AI31" s="54">
        <f>+IFERROR(VLOOKUP($A31,'Goals &amp; Budget 2026'!$A$2:$EJ$49,86,FALSE),0)</f>
        <v>0</v>
      </c>
      <c r="AJ31" s="65" t="str">
        <f t="shared" si="27"/>
        <v>***</v>
      </c>
      <c r="AK31" s="54"/>
      <c r="AL31" s="54">
        <f>+IFERROR(VLOOKUP($A31,'Goals &amp; Budget 2026'!$A$2:$EJ$49,87,FALSE),0)</f>
        <v>0</v>
      </c>
      <c r="AM31" s="65" t="str">
        <f t="shared" si="28"/>
        <v>***</v>
      </c>
      <c r="AN31" s="54"/>
      <c r="AO31" s="54">
        <f>+IFERROR(VLOOKUP($A31,'Goals &amp; Budget 2026'!$A$2:$EJ$49,88,FALSE),0)</f>
        <v>0</v>
      </c>
      <c r="AP31" s="66" t="str">
        <f t="shared" si="29"/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51">
        <f t="shared" si="15"/>
        <v>0</v>
      </c>
      <c r="E32" s="54">
        <f t="shared" si="16"/>
        <v>0</v>
      </c>
      <c r="F32" s="232" t="str">
        <f t="shared" si="17"/>
        <v>***</v>
      </c>
      <c r="G32" s="54"/>
      <c r="H32" s="54">
        <f>+IFERROR(VLOOKUP($A32,'Goals &amp; Budget 2026'!$A$2:$EJ$49,77,FALSE),0)</f>
        <v>0</v>
      </c>
      <c r="I32" s="65" t="str">
        <f t="shared" si="18"/>
        <v>***</v>
      </c>
      <c r="J32" s="54"/>
      <c r="K32" s="54">
        <f>+IFERROR(VLOOKUP($A32,'Goals &amp; Budget 2026'!$A$2:$EJ$49,78,FALSE),0)</f>
        <v>0</v>
      </c>
      <c r="L32" s="65" t="str">
        <f t="shared" si="19"/>
        <v>***</v>
      </c>
      <c r="M32" s="54"/>
      <c r="N32" s="54">
        <f>+IFERROR(VLOOKUP($A32,'Goals &amp; Budget 2026'!$A$2:$EJ$49,79,FALSE),0)</f>
        <v>0</v>
      </c>
      <c r="O32" s="232" t="str">
        <f t="shared" si="20"/>
        <v>***</v>
      </c>
      <c r="P32" s="54"/>
      <c r="Q32" s="54">
        <f>+IFERROR(VLOOKUP($A32,'Goals &amp; Budget 2026'!$A$2:$EJ$49,80,FALSE),0)</f>
        <v>0</v>
      </c>
      <c r="R32" s="65" t="str">
        <f t="shared" si="21"/>
        <v>***</v>
      </c>
      <c r="S32" s="54"/>
      <c r="T32" s="54">
        <f>+IFERROR(VLOOKUP($A32,'Goals &amp; Budget 2026'!$A$2:$EJ$49,81,FALSE),0)</f>
        <v>0</v>
      </c>
      <c r="U32" s="65" t="str">
        <f t="shared" si="22"/>
        <v>***</v>
      </c>
      <c r="V32" s="54"/>
      <c r="W32" s="54">
        <f>+IFERROR(VLOOKUP($A32,'Goals &amp; Budget 2026'!$A$2:$EJ$49,82,FALSE),0)</f>
        <v>0</v>
      </c>
      <c r="X32" s="232" t="str">
        <f t="shared" si="23"/>
        <v>***</v>
      </c>
      <c r="Y32" s="54"/>
      <c r="Z32" s="54">
        <f>+IFERROR(VLOOKUP($A32,'Goals &amp; Budget 2026'!$A$2:$EJ$49,83,FALSE),0)</f>
        <v>0</v>
      </c>
      <c r="AA32" s="65" t="str">
        <f t="shared" si="24"/>
        <v>***</v>
      </c>
      <c r="AB32" s="54"/>
      <c r="AC32" s="54">
        <f>+IFERROR(VLOOKUP($A32,'Goals &amp; Budget 2026'!$A$2:$EJ$49,84,FALSE),0)</f>
        <v>0</v>
      </c>
      <c r="AD32" s="65" t="str">
        <f t="shared" si="25"/>
        <v>***</v>
      </c>
      <c r="AE32" s="54"/>
      <c r="AF32" s="54">
        <f>+IFERROR(VLOOKUP($A32,'Goals &amp; Budget 2026'!$A$2:$EJ$49,85,FALSE),0)</f>
        <v>0</v>
      </c>
      <c r="AG32" s="232" t="str">
        <f t="shared" si="26"/>
        <v>***</v>
      </c>
      <c r="AH32" s="54"/>
      <c r="AI32" s="54">
        <f>+IFERROR(VLOOKUP($A32,'Goals &amp; Budget 2026'!$A$2:$EJ$49,86,FALSE),0)</f>
        <v>0</v>
      </c>
      <c r="AJ32" s="65" t="str">
        <f t="shared" si="27"/>
        <v>***</v>
      </c>
      <c r="AK32" s="54"/>
      <c r="AL32" s="54">
        <f>+IFERROR(VLOOKUP($A32,'Goals &amp; Budget 2026'!$A$2:$EJ$49,87,FALSE),0)</f>
        <v>0</v>
      </c>
      <c r="AM32" s="65" t="str">
        <f t="shared" si="28"/>
        <v>***</v>
      </c>
      <c r="AN32" s="54"/>
      <c r="AO32" s="54">
        <f>+IFERROR(VLOOKUP($A32,'Goals &amp; Budget 2026'!$A$2:$EJ$49,88,FALSE),0)</f>
        <v>0</v>
      </c>
      <c r="AP32" s="66" t="str">
        <f t="shared" si="29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51">
        <f t="shared" si="15"/>
        <v>0</v>
      </c>
      <c r="E33" s="54">
        <f t="shared" si="16"/>
        <v>0</v>
      </c>
      <c r="F33" s="232" t="str">
        <f t="shared" si="17"/>
        <v>***</v>
      </c>
      <c r="G33" s="54"/>
      <c r="H33" s="54">
        <f>+IFERROR(VLOOKUP($A33,'Goals &amp; Budget 2026'!$A$2:$EJ$49,77,FALSE),0)</f>
        <v>0</v>
      </c>
      <c r="I33" s="65" t="str">
        <f t="shared" si="18"/>
        <v>***</v>
      </c>
      <c r="J33" s="54"/>
      <c r="K33" s="54">
        <f>+IFERROR(VLOOKUP($A33,'Goals &amp; Budget 2026'!$A$2:$EJ$49,78,FALSE),0)</f>
        <v>0</v>
      </c>
      <c r="L33" s="65" t="str">
        <f t="shared" si="19"/>
        <v>***</v>
      </c>
      <c r="M33" s="54"/>
      <c r="N33" s="54">
        <f>+IFERROR(VLOOKUP($A33,'Goals &amp; Budget 2026'!$A$2:$EJ$49,79,FALSE),0)</f>
        <v>0</v>
      </c>
      <c r="O33" s="232" t="str">
        <f t="shared" si="20"/>
        <v>***</v>
      </c>
      <c r="P33" s="54"/>
      <c r="Q33" s="54">
        <f>+IFERROR(VLOOKUP($A33,'Goals &amp; Budget 2026'!$A$2:$EJ$49,80,FALSE),0)</f>
        <v>0</v>
      </c>
      <c r="R33" s="65" t="str">
        <f t="shared" si="21"/>
        <v>***</v>
      </c>
      <c r="S33" s="54"/>
      <c r="T33" s="54">
        <f>+IFERROR(VLOOKUP($A33,'Goals &amp; Budget 2026'!$A$2:$EJ$49,81,FALSE),0)</f>
        <v>0</v>
      </c>
      <c r="U33" s="65" t="str">
        <f t="shared" si="22"/>
        <v>***</v>
      </c>
      <c r="V33" s="54"/>
      <c r="W33" s="54">
        <f>+IFERROR(VLOOKUP($A33,'Goals &amp; Budget 2026'!$A$2:$EJ$49,82,FALSE),0)</f>
        <v>0</v>
      </c>
      <c r="X33" s="232" t="str">
        <f t="shared" si="23"/>
        <v>***</v>
      </c>
      <c r="Y33" s="54"/>
      <c r="Z33" s="54">
        <f>+IFERROR(VLOOKUP($A33,'Goals &amp; Budget 2026'!$A$2:$EJ$49,83,FALSE),0)</f>
        <v>39</v>
      </c>
      <c r="AA33" s="65">
        <f t="shared" si="24"/>
        <v>0</v>
      </c>
      <c r="AB33" s="54"/>
      <c r="AC33" s="54">
        <f>+IFERROR(VLOOKUP($A33,'Goals &amp; Budget 2026'!$A$2:$EJ$49,84,FALSE),0)</f>
        <v>0</v>
      </c>
      <c r="AD33" s="65" t="str">
        <f t="shared" si="25"/>
        <v>***</v>
      </c>
      <c r="AE33" s="54"/>
      <c r="AF33" s="54">
        <f>+IFERROR(VLOOKUP($A33,'Goals &amp; Budget 2026'!$A$2:$EJ$49,85,FALSE),0)</f>
        <v>0</v>
      </c>
      <c r="AG33" s="232" t="str">
        <f t="shared" si="26"/>
        <v>***</v>
      </c>
      <c r="AH33" s="54"/>
      <c r="AI33" s="54">
        <f>+IFERROR(VLOOKUP($A33,'Goals &amp; Budget 2026'!$A$2:$EJ$49,86,FALSE),0)</f>
        <v>0</v>
      </c>
      <c r="AJ33" s="65" t="str">
        <f t="shared" si="27"/>
        <v>***</v>
      </c>
      <c r="AK33" s="54"/>
      <c r="AL33" s="54">
        <f>+IFERROR(VLOOKUP($A33,'Goals &amp; Budget 2026'!$A$2:$EJ$49,87,FALSE),0)</f>
        <v>0</v>
      </c>
      <c r="AM33" s="65" t="str">
        <f t="shared" si="28"/>
        <v>***</v>
      </c>
      <c r="AN33" s="54"/>
      <c r="AO33" s="54">
        <f>+IFERROR(VLOOKUP($A33,'Goals &amp; Budget 2026'!$A$2:$EJ$49,88,FALSE),0)</f>
        <v>0</v>
      </c>
      <c r="AP33" s="66" t="str">
        <f t="shared" si="29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51">
        <f t="shared" si="15"/>
        <v>0</v>
      </c>
      <c r="E34" s="54">
        <f t="shared" si="16"/>
        <v>0</v>
      </c>
      <c r="F34" s="232" t="str">
        <f t="shared" si="17"/>
        <v>***</v>
      </c>
      <c r="G34" s="54"/>
      <c r="H34" s="54">
        <f>+IFERROR(VLOOKUP($A34,'Goals &amp; Budget 2026'!$A$2:$EJ$49,77,FALSE),0)</f>
        <v>0</v>
      </c>
      <c r="I34" s="65" t="str">
        <f t="shared" si="18"/>
        <v>***</v>
      </c>
      <c r="J34" s="54"/>
      <c r="K34" s="54">
        <f>+IFERROR(VLOOKUP($A34,'Goals &amp; Budget 2026'!$A$2:$EJ$49,78,FALSE),0)</f>
        <v>0</v>
      </c>
      <c r="L34" s="65" t="str">
        <f t="shared" si="19"/>
        <v>***</v>
      </c>
      <c r="M34" s="54"/>
      <c r="N34" s="54">
        <f>+IFERROR(VLOOKUP($A34,'Goals &amp; Budget 2026'!$A$2:$EJ$49,79,FALSE),0)</f>
        <v>0</v>
      </c>
      <c r="O34" s="232" t="str">
        <f t="shared" si="20"/>
        <v>***</v>
      </c>
      <c r="P34" s="54"/>
      <c r="Q34" s="54">
        <f>+IFERROR(VLOOKUP($A34,'Goals &amp; Budget 2026'!$A$2:$EJ$49,80,FALSE),0)</f>
        <v>63</v>
      </c>
      <c r="R34" s="65">
        <f t="shared" si="21"/>
        <v>0</v>
      </c>
      <c r="S34" s="54"/>
      <c r="T34" s="54">
        <f>+IFERROR(VLOOKUP($A34,'Goals &amp; Budget 2026'!$A$2:$EJ$49,81,FALSE),0)</f>
        <v>0</v>
      </c>
      <c r="U34" s="65" t="str">
        <f t="shared" si="22"/>
        <v>***</v>
      </c>
      <c r="V34" s="54"/>
      <c r="W34" s="54">
        <f>+IFERROR(VLOOKUP($A34,'Goals &amp; Budget 2026'!$A$2:$EJ$49,82,FALSE),0)</f>
        <v>0</v>
      </c>
      <c r="X34" s="232" t="str">
        <f t="shared" si="23"/>
        <v>***</v>
      </c>
      <c r="Y34" s="54"/>
      <c r="Z34" s="54">
        <f>+IFERROR(VLOOKUP($A34,'Goals &amp; Budget 2026'!$A$2:$EJ$49,83,FALSE),0)</f>
        <v>0</v>
      </c>
      <c r="AA34" s="65" t="str">
        <f t="shared" si="24"/>
        <v>***</v>
      </c>
      <c r="AB34" s="54"/>
      <c r="AC34" s="54">
        <f>+IFERROR(VLOOKUP($A34,'Goals &amp; Budget 2026'!$A$2:$EJ$49,84,FALSE),0)</f>
        <v>0</v>
      </c>
      <c r="AD34" s="65" t="str">
        <f t="shared" si="25"/>
        <v>***</v>
      </c>
      <c r="AE34" s="54"/>
      <c r="AF34" s="54">
        <f>+IFERROR(VLOOKUP($A34,'Goals &amp; Budget 2026'!$A$2:$EJ$49,85,FALSE),0)</f>
        <v>0</v>
      </c>
      <c r="AG34" s="232" t="str">
        <f t="shared" si="26"/>
        <v>***</v>
      </c>
      <c r="AH34" s="54"/>
      <c r="AI34" s="54">
        <f>+IFERROR(VLOOKUP($A34,'Goals &amp; Budget 2026'!$A$2:$EJ$49,86,FALSE),0)</f>
        <v>0</v>
      </c>
      <c r="AJ34" s="65" t="str">
        <f t="shared" si="27"/>
        <v>***</v>
      </c>
      <c r="AK34" s="54"/>
      <c r="AL34" s="54">
        <f>+IFERROR(VLOOKUP($A34,'Goals &amp; Budget 2026'!$A$2:$EJ$49,87,FALSE),0)</f>
        <v>0</v>
      </c>
      <c r="AM34" s="65" t="str">
        <f t="shared" si="28"/>
        <v>***</v>
      </c>
      <c r="AN34" s="54"/>
      <c r="AO34" s="54">
        <f>+IFERROR(VLOOKUP($A34,'Goals &amp; Budget 2026'!$A$2:$EJ$49,88,FALSE),0)</f>
        <v>0</v>
      </c>
      <c r="AP34" s="66" t="str">
        <f t="shared" si="29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51">
        <f t="shared" si="15"/>
        <v>0</v>
      </c>
      <c r="E35" s="54">
        <f t="shared" si="16"/>
        <v>0</v>
      </c>
      <c r="F35" s="232" t="str">
        <f t="shared" si="17"/>
        <v>***</v>
      </c>
      <c r="G35" s="54"/>
      <c r="H35" s="54">
        <f>+IFERROR(VLOOKUP($A35,'Goals &amp; Budget 2026'!$A$2:$EJ$49,77,FALSE),0)</f>
        <v>0</v>
      </c>
      <c r="I35" s="65" t="str">
        <f t="shared" si="18"/>
        <v>***</v>
      </c>
      <c r="J35" s="54"/>
      <c r="K35" s="54">
        <f>+IFERROR(VLOOKUP($A35,'Goals &amp; Budget 2026'!$A$2:$EJ$49,78,FALSE),0)</f>
        <v>0</v>
      </c>
      <c r="L35" s="65" t="str">
        <f t="shared" si="19"/>
        <v>***</v>
      </c>
      <c r="M35" s="54"/>
      <c r="N35" s="54">
        <f>+IFERROR(VLOOKUP($A35,'Goals &amp; Budget 2026'!$A$2:$EJ$49,79,FALSE),0)</f>
        <v>0</v>
      </c>
      <c r="O35" s="232" t="str">
        <f t="shared" si="20"/>
        <v>***</v>
      </c>
      <c r="P35" s="54"/>
      <c r="Q35" s="54">
        <f>+IFERROR(VLOOKUP($A35,'Goals &amp; Budget 2026'!$A$2:$EJ$49,80,FALSE),0)</f>
        <v>0</v>
      </c>
      <c r="R35" s="65" t="str">
        <f t="shared" si="21"/>
        <v>***</v>
      </c>
      <c r="S35" s="54"/>
      <c r="T35" s="54">
        <f>+IFERROR(VLOOKUP($A35,'Goals &amp; Budget 2026'!$A$2:$EJ$49,81,FALSE),0)</f>
        <v>0</v>
      </c>
      <c r="U35" s="65" t="str">
        <f t="shared" si="22"/>
        <v>***</v>
      </c>
      <c r="V35" s="54"/>
      <c r="W35" s="54">
        <f>+IFERROR(VLOOKUP($A35,'Goals &amp; Budget 2026'!$A$2:$EJ$49,82,FALSE),0)</f>
        <v>0</v>
      </c>
      <c r="X35" s="232" t="str">
        <f t="shared" si="23"/>
        <v>***</v>
      </c>
      <c r="Y35" s="54"/>
      <c r="Z35" s="54">
        <f>+IFERROR(VLOOKUP($A35,'Goals &amp; Budget 2026'!$A$2:$EJ$49,83,FALSE),0)</f>
        <v>0</v>
      </c>
      <c r="AA35" s="65" t="str">
        <f t="shared" si="24"/>
        <v>***</v>
      </c>
      <c r="AB35" s="54"/>
      <c r="AC35" s="54">
        <f>+IFERROR(VLOOKUP($A35,'Goals &amp; Budget 2026'!$A$2:$EJ$49,84,FALSE),0)</f>
        <v>0</v>
      </c>
      <c r="AD35" s="65" t="str">
        <f t="shared" si="25"/>
        <v>***</v>
      </c>
      <c r="AE35" s="54"/>
      <c r="AF35" s="54">
        <f>+IFERROR(VLOOKUP($A35,'Goals &amp; Budget 2026'!$A$2:$EJ$49,85,FALSE),0)</f>
        <v>0</v>
      </c>
      <c r="AG35" s="232" t="str">
        <f t="shared" si="26"/>
        <v>***</v>
      </c>
      <c r="AH35" s="54"/>
      <c r="AI35" s="54">
        <f>+IFERROR(VLOOKUP($A35,'Goals &amp; Budget 2026'!$A$2:$EJ$49,86,FALSE),0)</f>
        <v>0</v>
      </c>
      <c r="AJ35" s="65" t="str">
        <f t="shared" si="27"/>
        <v>***</v>
      </c>
      <c r="AK35" s="54"/>
      <c r="AL35" s="54">
        <f>+IFERROR(VLOOKUP($A35,'Goals &amp; Budget 2026'!$A$2:$EJ$49,87,FALSE),0)</f>
        <v>0</v>
      </c>
      <c r="AM35" s="65" t="str">
        <f t="shared" si="28"/>
        <v>***</v>
      </c>
      <c r="AN35" s="54"/>
      <c r="AO35" s="54">
        <f>+IFERROR(VLOOKUP($A35,'Goals &amp; Budget 2026'!$A$2:$EJ$49,88,FALSE),0)</f>
        <v>0</v>
      </c>
      <c r="AP35" s="66" t="str">
        <f t="shared" si="29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51">
        <f t="shared" si="15"/>
        <v>0</v>
      </c>
      <c r="E36" s="54">
        <f t="shared" si="16"/>
        <v>0</v>
      </c>
      <c r="F36" s="232" t="str">
        <f t="shared" si="17"/>
        <v>***</v>
      </c>
      <c r="G36" s="54"/>
      <c r="H36" s="54">
        <f>+IFERROR(VLOOKUP($A36,'Goals &amp; Budget 2026'!$A$2:$EJ$49,77,FALSE),0)</f>
        <v>0</v>
      </c>
      <c r="I36" s="65" t="str">
        <f t="shared" si="18"/>
        <v>***</v>
      </c>
      <c r="J36" s="54"/>
      <c r="K36" s="54">
        <f>+IFERROR(VLOOKUP($A36,'Goals &amp; Budget 2026'!$A$2:$EJ$49,78,FALSE),0)</f>
        <v>0</v>
      </c>
      <c r="L36" s="65" t="str">
        <f t="shared" si="19"/>
        <v>***</v>
      </c>
      <c r="M36" s="54"/>
      <c r="N36" s="54">
        <f>+IFERROR(VLOOKUP($A36,'Goals &amp; Budget 2026'!$A$2:$EJ$49,79,FALSE),0)</f>
        <v>0</v>
      </c>
      <c r="O36" s="232" t="str">
        <f t="shared" si="20"/>
        <v>***</v>
      </c>
      <c r="P36" s="54"/>
      <c r="Q36" s="54">
        <f>+IFERROR(VLOOKUP($A36,'Goals &amp; Budget 2026'!$A$2:$EJ$49,80,FALSE),0)</f>
        <v>0</v>
      </c>
      <c r="R36" s="65" t="str">
        <f t="shared" si="21"/>
        <v>***</v>
      </c>
      <c r="S36" s="54"/>
      <c r="T36" s="54">
        <f>+IFERROR(VLOOKUP($A36,'Goals &amp; Budget 2026'!$A$2:$EJ$49,81,FALSE),0)</f>
        <v>0</v>
      </c>
      <c r="U36" s="65" t="str">
        <f t="shared" si="22"/>
        <v>***</v>
      </c>
      <c r="V36" s="54"/>
      <c r="W36" s="54">
        <f>+IFERROR(VLOOKUP($A36,'Goals &amp; Budget 2026'!$A$2:$EJ$49,82,FALSE),0)</f>
        <v>0</v>
      </c>
      <c r="X36" s="232" t="str">
        <f t="shared" si="23"/>
        <v>***</v>
      </c>
      <c r="Y36" s="54"/>
      <c r="Z36" s="54">
        <f>+IFERROR(VLOOKUP($A36,'Goals &amp; Budget 2026'!$A$2:$EJ$49,83,FALSE),0)</f>
        <v>0</v>
      </c>
      <c r="AA36" s="65" t="str">
        <f t="shared" si="24"/>
        <v>***</v>
      </c>
      <c r="AB36" s="54"/>
      <c r="AC36" s="54">
        <f>+IFERROR(VLOOKUP($A36,'Goals &amp; Budget 2026'!$A$2:$EJ$49,84,FALSE),0)</f>
        <v>0</v>
      </c>
      <c r="AD36" s="65" t="str">
        <f t="shared" si="25"/>
        <v>***</v>
      </c>
      <c r="AE36" s="54"/>
      <c r="AF36" s="54">
        <f>+IFERROR(VLOOKUP($A36,'Goals &amp; Budget 2026'!$A$2:$EJ$49,85,FALSE),0)</f>
        <v>0</v>
      </c>
      <c r="AG36" s="232" t="str">
        <f t="shared" si="26"/>
        <v>***</v>
      </c>
      <c r="AH36" s="54"/>
      <c r="AI36" s="54">
        <f>+IFERROR(VLOOKUP($A36,'Goals &amp; Budget 2026'!$A$2:$EJ$49,86,FALSE),0)</f>
        <v>0</v>
      </c>
      <c r="AJ36" s="65" t="str">
        <f t="shared" si="27"/>
        <v>***</v>
      </c>
      <c r="AK36" s="54"/>
      <c r="AL36" s="54">
        <f>+IFERROR(VLOOKUP($A36,'Goals &amp; Budget 2026'!$A$2:$EJ$49,87,FALSE),0)</f>
        <v>0</v>
      </c>
      <c r="AM36" s="65" t="str">
        <f t="shared" si="28"/>
        <v>***</v>
      </c>
      <c r="AN36" s="54"/>
      <c r="AO36" s="54">
        <f>+IFERROR(VLOOKUP($A36,'Goals &amp; Budget 2026'!$A$2:$EJ$49,88,FALSE),0)</f>
        <v>0</v>
      </c>
      <c r="AP36" s="66" t="str">
        <f t="shared" si="29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51">
        <f t="shared" si="15"/>
        <v>0</v>
      </c>
      <c r="E37" s="54">
        <f t="shared" si="16"/>
        <v>0</v>
      </c>
      <c r="F37" s="232" t="str">
        <f t="shared" si="17"/>
        <v>***</v>
      </c>
      <c r="G37" s="54"/>
      <c r="H37" s="54">
        <f>+IFERROR(VLOOKUP($A37,'Goals &amp; Budget 2026'!$A$2:$EJ$49,77,FALSE),0)</f>
        <v>0</v>
      </c>
      <c r="I37" s="65" t="str">
        <f t="shared" si="18"/>
        <v>***</v>
      </c>
      <c r="J37" s="54"/>
      <c r="K37" s="54">
        <f>+IFERROR(VLOOKUP($A37,'Goals &amp; Budget 2026'!$A$2:$EJ$49,78,FALSE),0)</f>
        <v>0</v>
      </c>
      <c r="L37" s="65" t="str">
        <f t="shared" si="19"/>
        <v>***</v>
      </c>
      <c r="M37" s="54"/>
      <c r="N37" s="54">
        <f>+IFERROR(VLOOKUP($A37,'Goals &amp; Budget 2026'!$A$2:$EJ$49,79,FALSE),0)</f>
        <v>0</v>
      </c>
      <c r="O37" s="232" t="str">
        <f t="shared" si="20"/>
        <v>***</v>
      </c>
      <c r="P37" s="54"/>
      <c r="Q37" s="54">
        <f>+IFERROR(VLOOKUP($A37,'Goals &amp; Budget 2026'!$A$2:$EJ$49,80,FALSE),0)</f>
        <v>0</v>
      </c>
      <c r="R37" s="65" t="str">
        <f t="shared" si="21"/>
        <v>***</v>
      </c>
      <c r="S37" s="54"/>
      <c r="T37" s="54">
        <f>+IFERROR(VLOOKUP($A37,'Goals &amp; Budget 2026'!$A$2:$EJ$49,81,FALSE),0)</f>
        <v>0</v>
      </c>
      <c r="U37" s="65" t="str">
        <f t="shared" si="22"/>
        <v>***</v>
      </c>
      <c r="V37" s="54"/>
      <c r="W37" s="54">
        <f>+IFERROR(VLOOKUP($A37,'Goals &amp; Budget 2026'!$A$2:$EJ$49,82,FALSE),0)</f>
        <v>0</v>
      </c>
      <c r="X37" s="232" t="str">
        <f t="shared" si="23"/>
        <v>***</v>
      </c>
      <c r="Y37" s="54"/>
      <c r="Z37" s="54">
        <f>+IFERROR(VLOOKUP($A37,'Goals &amp; Budget 2026'!$A$2:$EJ$49,83,FALSE),0)</f>
        <v>0</v>
      </c>
      <c r="AA37" s="65" t="str">
        <f t="shared" si="24"/>
        <v>***</v>
      </c>
      <c r="AB37" s="54"/>
      <c r="AC37" s="54">
        <f>+IFERROR(VLOOKUP($A37,'Goals &amp; Budget 2026'!$A$2:$EJ$49,84,FALSE),0)</f>
        <v>0</v>
      </c>
      <c r="AD37" s="65" t="str">
        <f t="shared" si="25"/>
        <v>***</v>
      </c>
      <c r="AE37" s="54"/>
      <c r="AF37" s="54">
        <f>+IFERROR(VLOOKUP($A37,'Goals &amp; Budget 2026'!$A$2:$EJ$49,85,FALSE),0)</f>
        <v>0</v>
      </c>
      <c r="AG37" s="232" t="str">
        <f t="shared" si="26"/>
        <v>***</v>
      </c>
      <c r="AH37" s="54"/>
      <c r="AI37" s="54">
        <f>+IFERROR(VLOOKUP($A37,'Goals &amp; Budget 2026'!$A$2:$EJ$49,86,FALSE),0)</f>
        <v>0</v>
      </c>
      <c r="AJ37" s="65" t="str">
        <f t="shared" si="27"/>
        <v>***</v>
      </c>
      <c r="AK37" s="54"/>
      <c r="AL37" s="54">
        <f>+IFERROR(VLOOKUP($A37,'Goals &amp; Budget 2026'!$A$2:$EJ$49,87,FALSE),0)</f>
        <v>0</v>
      </c>
      <c r="AM37" s="65" t="str">
        <f t="shared" si="28"/>
        <v>***</v>
      </c>
      <c r="AN37" s="54"/>
      <c r="AO37" s="54">
        <f>+IFERROR(VLOOKUP($A37,'Goals &amp; Budget 2026'!$A$2:$EJ$49,88,FALSE),0)</f>
        <v>0</v>
      </c>
      <c r="AP37" s="66" t="str">
        <f t="shared" si="29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51">
        <f t="shared" si="15"/>
        <v>0</v>
      </c>
      <c r="E38" s="54">
        <f t="shared" si="16"/>
        <v>0</v>
      </c>
      <c r="F38" s="232" t="str">
        <f t="shared" si="17"/>
        <v>***</v>
      </c>
      <c r="G38" s="54"/>
      <c r="H38" s="54">
        <f>+IFERROR(VLOOKUP($A38,'Goals &amp; Budget 2026'!$A$2:$EJ$49,77,FALSE),0)</f>
        <v>0</v>
      </c>
      <c r="I38" s="65" t="str">
        <f t="shared" si="18"/>
        <v>***</v>
      </c>
      <c r="J38" s="54"/>
      <c r="K38" s="54">
        <f>+IFERROR(VLOOKUP($A38,'Goals &amp; Budget 2026'!$A$2:$EJ$49,78,FALSE),0)</f>
        <v>0</v>
      </c>
      <c r="L38" s="65" t="str">
        <f t="shared" si="19"/>
        <v>***</v>
      </c>
      <c r="M38" s="54"/>
      <c r="N38" s="54">
        <f>+IFERROR(VLOOKUP($A38,'Goals &amp; Budget 2026'!$A$2:$EJ$49,79,FALSE),0)</f>
        <v>0</v>
      </c>
      <c r="O38" s="232" t="str">
        <f t="shared" si="20"/>
        <v>***</v>
      </c>
      <c r="P38" s="54"/>
      <c r="Q38" s="54">
        <f>+IFERROR(VLOOKUP($A38,'Goals &amp; Budget 2026'!$A$2:$EJ$49,80,FALSE),0)</f>
        <v>0</v>
      </c>
      <c r="R38" s="65" t="str">
        <f t="shared" si="21"/>
        <v>***</v>
      </c>
      <c r="S38" s="54"/>
      <c r="T38" s="54">
        <f>+IFERROR(VLOOKUP($A38,'Goals &amp; Budget 2026'!$A$2:$EJ$49,81,FALSE),0)</f>
        <v>0</v>
      </c>
      <c r="U38" s="65" t="str">
        <f t="shared" si="22"/>
        <v>***</v>
      </c>
      <c r="V38" s="54"/>
      <c r="W38" s="54">
        <f>+IFERROR(VLOOKUP($A38,'Goals &amp; Budget 2026'!$A$2:$EJ$49,82,FALSE),0)</f>
        <v>0</v>
      </c>
      <c r="X38" s="232" t="str">
        <f t="shared" si="23"/>
        <v>***</v>
      </c>
      <c r="Y38" s="54"/>
      <c r="Z38" s="54">
        <f>+IFERROR(VLOOKUP($A38,'Goals &amp; Budget 2026'!$A$2:$EJ$49,83,FALSE),0)</f>
        <v>0</v>
      </c>
      <c r="AA38" s="65" t="str">
        <f t="shared" si="24"/>
        <v>***</v>
      </c>
      <c r="AB38" s="54"/>
      <c r="AC38" s="54">
        <f>+IFERROR(VLOOKUP($A38,'Goals &amp; Budget 2026'!$A$2:$EJ$49,84,FALSE),0)</f>
        <v>0</v>
      </c>
      <c r="AD38" s="65" t="str">
        <f t="shared" si="25"/>
        <v>***</v>
      </c>
      <c r="AE38" s="54"/>
      <c r="AF38" s="54">
        <f>+IFERROR(VLOOKUP($A38,'Goals &amp; Budget 2026'!$A$2:$EJ$49,85,FALSE),0)</f>
        <v>0</v>
      </c>
      <c r="AG38" s="232" t="str">
        <f t="shared" si="26"/>
        <v>***</v>
      </c>
      <c r="AH38" s="54"/>
      <c r="AI38" s="54">
        <f>+IFERROR(VLOOKUP($A38,'Goals &amp; Budget 2026'!$A$2:$EJ$49,86,FALSE),0)</f>
        <v>0</v>
      </c>
      <c r="AJ38" s="65" t="str">
        <f t="shared" si="27"/>
        <v>***</v>
      </c>
      <c r="AK38" s="54"/>
      <c r="AL38" s="54">
        <f>+IFERROR(VLOOKUP($A38,'Goals &amp; Budget 2026'!$A$2:$EJ$49,87,FALSE),0)</f>
        <v>0</v>
      </c>
      <c r="AM38" s="65" t="str">
        <f t="shared" si="28"/>
        <v>***</v>
      </c>
      <c r="AN38" s="54"/>
      <c r="AO38" s="54">
        <f>+IFERROR(VLOOKUP($A38,'Goals &amp; Budget 2026'!$A$2:$EJ$49,88,FALSE),0)</f>
        <v>0</v>
      </c>
      <c r="AP38" s="66" t="str">
        <f t="shared" si="29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51">
        <f t="shared" si="15"/>
        <v>0</v>
      </c>
      <c r="E39" s="54">
        <f t="shared" si="16"/>
        <v>0</v>
      </c>
      <c r="F39" s="232" t="str">
        <f t="shared" si="17"/>
        <v>***</v>
      </c>
      <c r="G39" s="54"/>
      <c r="H39" s="54">
        <f>+IFERROR(VLOOKUP($A39,'Goals &amp; Budget 2026'!$A$2:$EJ$49,77,FALSE),0)</f>
        <v>0</v>
      </c>
      <c r="I39" s="65" t="str">
        <f t="shared" si="18"/>
        <v>***</v>
      </c>
      <c r="J39" s="54"/>
      <c r="K39" s="54">
        <f>+IFERROR(VLOOKUP($A39,'Goals &amp; Budget 2026'!$A$2:$EJ$49,78,FALSE),0)</f>
        <v>0</v>
      </c>
      <c r="L39" s="65" t="str">
        <f t="shared" si="19"/>
        <v>***</v>
      </c>
      <c r="M39" s="54"/>
      <c r="N39" s="54">
        <f>+IFERROR(VLOOKUP($A39,'Goals &amp; Budget 2026'!$A$2:$EJ$49,79,FALSE),0)</f>
        <v>0</v>
      </c>
      <c r="O39" s="232" t="str">
        <f t="shared" si="20"/>
        <v>***</v>
      </c>
      <c r="P39" s="54"/>
      <c r="Q39" s="54">
        <f>+IFERROR(VLOOKUP($A39,'Goals &amp; Budget 2026'!$A$2:$EJ$49,80,FALSE),0)</f>
        <v>0</v>
      </c>
      <c r="R39" s="65" t="str">
        <f t="shared" si="21"/>
        <v>***</v>
      </c>
      <c r="S39" s="54"/>
      <c r="T39" s="54">
        <f>+IFERROR(VLOOKUP($A39,'Goals &amp; Budget 2026'!$A$2:$EJ$49,81,FALSE),0)</f>
        <v>0</v>
      </c>
      <c r="U39" s="65" t="str">
        <f t="shared" si="22"/>
        <v>***</v>
      </c>
      <c r="V39" s="54"/>
      <c r="W39" s="54">
        <f>+IFERROR(VLOOKUP($A39,'Goals &amp; Budget 2026'!$A$2:$EJ$49,82,FALSE),0)</f>
        <v>0</v>
      </c>
      <c r="X39" s="232" t="str">
        <f t="shared" si="23"/>
        <v>***</v>
      </c>
      <c r="Y39" s="54"/>
      <c r="Z39" s="54">
        <f>+IFERROR(VLOOKUP($A39,'Goals &amp; Budget 2026'!$A$2:$EJ$49,83,FALSE),0)</f>
        <v>0</v>
      </c>
      <c r="AA39" s="65" t="str">
        <f t="shared" si="24"/>
        <v>***</v>
      </c>
      <c r="AB39" s="54"/>
      <c r="AC39" s="54">
        <f>+IFERROR(VLOOKUP($A39,'Goals &amp; Budget 2026'!$A$2:$EJ$49,84,FALSE),0)</f>
        <v>0</v>
      </c>
      <c r="AD39" s="65" t="str">
        <f t="shared" si="25"/>
        <v>***</v>
      </c>
      <c r="AE39" s="54"/>
      <c r="AF39" s="54">
        <f>+IFERROR(VLOOKUP($A39,'Goals &amp; Budget 2026'!$A$2:$EJ$49,85,FALSE),0)</f>
        <v>0</v>
      </c>
      <c r="AG39" s="232" t="str">
        <f t="shared" si="26"/>
        <v>***</v>
      </c>
      <c r="AH39" s="54"/>
      <c r="AI39" s="54">
        <f>+IFERROR(VLOOKUP($A39,'Goals &amp; Budget 2026'!$A$2:$EJ$49,86,FALSE),0)</f>
        <v>0</v>
      </c>
      <c r="AJ39" s="65" t="str">
        <f t="shared" si="27"/>
        <v>***</v>
      </c>
      <c r="AK39" s="54"/>
      <c r="AL39" s="54">
        <f>+IFERROR(VLOOKUP($A39,'Goals &amp; Budget 2026'!$A$2:$EJ$49,87,FALSE),0)</f>
        <v>0</v>
      </c>
      <c r="AM39" s="65" t="str">
        <f t="shared" si="28"/>
        <v>***</v>
      </c>
      <c r="AN39" s="54"/>
      <c r="AO39" s="54">
        <f>+IFERROR(VLOOKUP($A39,'Goals &amp; Budget 2026'!$A$2:$EJ$49,88,FALSE),0)</f>
        <v>0</v>
      </c>
      <c r="AP39" s="66" t="str">
        <f t="shared" si="29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51">
        <f t="shared" si="15"/>
        <v>0</v>
      </c>
      <c r="E40" s="54">
        <f t="shared" si="16"/>
        <v>0</v>
      </c>
      <c r="F40" s="232" t="str">
        <f t="shared" si="17"/>
        <v>***</v>
      </c>
      <c r="G40" s="54"/>
      <c r="H40" s="54">
        <f>+IFERROR(VLOOKUP($A40,'Goals &amp; Budget 2026'!$A$2:$EJ$49,77,FALSE),0)</f>
        <v>0</v>
      </c>
      <c r="I40" s="65" t="str">
        <f t="shared" si="18"/>
        <v>***</v>
      </c>
      <c r="J40" s="54"/>
      <c r="K40" s="54">
        <f>+IFERROR(VLOOKUP($A40,'Goals &amp; Budget 2026'!$A$2:$EJ$49,78,FALSE),0)</f>
        <v>0</v>
      </c>
      <c r="L40" s="65" t="str">
        <f t="shared" si="19"/>
        <v>***</v>
      </c>
      <c r="M40" s="54"/>
      <c r="N40" s="54">
        <f>+IFERROR(VLOOKUP($A40,'Goals &amp; Budget 2026'!$A$2:$EJ$49,79,FALSE),0)</f>
        <v>0</v>
      </c>
      <c r="O40" s="232" t="str">
        <f t="shared" si="20"/>
        <v>***</v>
      </c>
      <c r="P40" s="54"/>
      <c r="Q40" s="54">
        <f>+IFERROR(VLOOKUP($A40,'Goals &amp; Budget 2026'!$A$2:$EJ$49,80,FALSE),0)</f>
        <v>0</v>
      </c>
      <c r="R40" s="65" t="str">
        <f t="shared" si="21"/>
        <v>***</v>
      </c>
      <c r="S40" s="54"/>
      <c r="T40" s="54">
        <f>+IFERROR(VLOOKUP($A40,'Goals &amp; Budget 2026'!$A$2:$EJ$49,81,FALSE),0)</f>
        <v>0</v>
      </c>
      <c r="U40" s="65" t="str">
        <f t="shared" si="22"/>
        <v>***</v>
      </c>
      <c r="V40" s="54"/>
      <c r="W40" s="54">
        <f>+IFERROR(VLOOKUP($A40,'Goals &amp; Budget 2026'!$A$2:$EJ$49,82,FALSE),0)</f>
        <v>0</v>
      </c>
      <c r="X40" s="232" t="str">
        <f t="shared" si="23"/>
        <v>***</v>
      </c>
      <c r="Y40" s="54"/>
      <c r="Z40" s="54">
        <f>+IFERROR(VLOOKUP($A40,'Goals &amp; Budget 2026'!$A$2:$EJ$49,83,FALSE),0)</f>
        <v>0</v>
      </c>
      <c r="AA40" s="65" t="str">
        <f t="shared" si="24"/>
        <v>***</v>
      </c>
      <c r="AB40" s="54"/>
      <c r="AC40" s="54">
        <f>+IFERROR(VLOOKUP($A40,'Goals &amp; Budget 2026'!$A$2:$EJ$49,84,FALSE),0)</f>
        <v>0</v>
      </c>
      <c r="AD40" s="65" t="str">
        <f t="shared" si="25"/>
        <v>***</v>
      </c>
      <c r="AE40" s="54"/>
      <c r="AF40" s="54">
        <f>+IFERROR(VLOOKUP($A40,'Goals &amp; Budget 2026'!$A$2:$EJ$49,85,FALSE),0)</f>
        <v>0</v>
      </c>
      <c r="AG40" s="232" t="str">
        <f t="shared" si="26"/>
        <v>***</v>
      </c>
      <c r="AH40" s="54"/>
      <c r="AI40" s="54">
        <f>+IFERROR(VLOOKUP($A40,'Goals &amp; Budget 2026'!$A$2:$EJ$49,86,FALSE),0)</f>
        <v>0</v>
      </c>
      <c r="AJ40" s="65" t="str">
        <f t="shared" si="27"/>
        <v>***</v>
      </c>
      <c r="AK40" s="54"/>
      <c r="AL40" s="54">
        <f>+IFERROR(VLOOKUP($A40,'Goals &amp; Budget 2026'!$A$2:$EJ$49,87,FALSE),0)</f>
        <v>0</v>
      </c>
      <c r="AM40" s="65" t="str">
        <f t="shared" si="28"/>
        <v>***</v>
      </c>
      <c r="AN40" s="54"/>
      <c r="AO40" s="54">
        <f>+IFERROR(VLOOKUP($A40,'Goals &amp; Budget 2026'!$A$2:$EJ$49,88,FALSE),0)</f>
        <v>0</v>
      </c>
      <c r="AP40" s="66" t="str">
        <f t="shared" si="29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1">
        <f t="shared" si="15"/>
        <v>0</v>
      </c>
      <c r="E41" s="54">
        <f t="shared" si="16"/>
        <v>0</v>
      </c>
      <c r="F41" s="232" t="str">
        <f t="shared" si="17"/>
        <v>***</v>
      </c>
      <c r="G41" s="54"/>
      <c r="H41" s="54">
        <f>+IFERROR(VLOOKUP($A41,'Goals &amp; Budget 2026'!$A$2:$EJ$49,77,FALSE),0)</f>
        <v>0</v>
      </c>
      <c r="I41" s="65" t="str">
        <f t="shared" si="18"/>
        <v>***</v>
      </c>
      <c r="J41" s="54"/>
      <c r="K41" s="54">
        <f>+IFERROR(VLOOKUP($A41,'Goals &amp; Budget 2026'!$A$2:$EJ$49,78,FALSE),0)</f>
        <v>0</v>
      </c>
      <c r="L41" s="65" t="str">
        <f t="shared" si="19"/>
        <v>***</v>
      </c>
      <c r="M41" s="54"/>
      <c r="N41" s="54">
        <f>+IFERROR(VLOOKUP($A41,'Goals &amp; Budget 2026'!$A$2:$EJ$49,79,FALSE),0)</f>
        <v>0</v>
      </c>
      <c r="O41" s="232" t="str">
        <f t="shared" si="20"/>
        <v>***</v>
      </c>
      <c r="P41" s="54"/>
      <c r="Q41" s="54">
        <f>+IFERROR(VLOOKUP($A41,'Goals &amp; Budget 2026'!$A$2:$EJ$49,80,FALSE),0)</f>
        <v>0</v>
      </c>
      <c r="R41" s="65" t="str">
        <f t="shared" si="21"/>
        <v>***</v>
      </c>
      <c r="S41" s="54"/>
      <c r="T41" s="54">
        <f>+IFERROR(VLOOKUP($A41,'Goals &amp; Budget 2026'!$A$2:$EJ$49,81,FALSE),0)</f>
        <v>0</v>
      </c>
      <c r="U41" s="65" t="str">
        <f t="shared" si="22"/>
        <v>***</v>
      </c>
      <c r="V41" s="54"/>
      <c r="W41" s="54">
        <f>+IFERROR(VLOOKUP($A41,'Goals &amp; Budget 2026'!$A$2:$EJ$49,82,FALSE),0)</f>
        <v>0</v>
      </c>
      <c r="X41" s="232" t="str">
        <f t="shared" si="23"/>
        <v>***</v>
      </c>
      <c r="Y41" s="54"/>
      <c r="Z41" s="54">
        <f>+IFERROR(VLOOKUP($A41,'Goals &amp; Budget 2026'!$A$2:$EJ$49,83,FALSE),0)</f>
        <v>0</v>
      </c>
      <c r="AA41" s="65" t="str">
        <f t="shared" si="24"/>
        <v>***</v>
      </c>
      <c r="AB41" s="54"/>
      <c r="AC41" s="54">
        <f>+IFERROR(VLOOKUP($A41,'Goals &amp; Budget 2026'!$A$2:$EJ$49,84,FALSE),0)</f>
        <v>0</v>
      </c>
      <c r="AD41" s="65" t="str">
        <f t="shared" si="25"/>
        <v>***</v>
      </c>
      <c r="AE41" s="54"/>
      <c r="AF41" s="54">
        <f>+IFERROR(VLOOKUP($A41,'Goals &amp; Budget 2026'!$A$2:$EJ$49,85,FALSE),0)</f>
        <v>0</v>
      </c>
      <c r="AG41" s="232" t="str">
        <f t="shared" si="26"/>
        <v>***</v>
      </c>
      <c r="AH41" s="54"/>
      <c r="AI41" s="54">
        <f>+IFERROR(VLOOKUP($A41,'Goals &amp; Budget 2026'!$A$2:$EJ$49,86,FALSE),0)</f>
        <v>0</v>
      </c>
      <c r="AJ41" s="65" t="str">
        <f t="shared" si="27"/>
        <v>***</v>
      </c>
      <c r="AK41" s="54"/>
      <c r="AL41" s="54">
        <f>+IFERROR(VLOOKUP($A41,'Goals &amp; Budget 2026'!$A$2:$EJ$49,87,FALSE),0)</f>
        <v>0</v>
      </c>
      <c r="AM41" s="65" t="str">
        <f t="shared" si="28"/>
        <v>***</v>
      </c>
      <c r="AN41" s="54"/>
      <c r="AO41" s="54">
        <f>+IFERROR(VLOOKUP($A41,'Goals &amp; Budget 2026'!$A$2:$EJ$49,88,FALSE),0)</f>
        <v>0</v>
      </c>
      <c r="AP41" s="66" t="str">
        <f t="shared" si="29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1">
        <f t="shared" si="15"/>
        <v>0</v>
      </c>
      <c r="E42" s="54">
        <f t="shared" si="16"/>
        <v>0</v>
      </c>
      <c r="F42" s="232" t="str">
        <f t="shared" si="17"/>
        <v>***</v>
      </c>
      <c r="G42" s="54"/>
      <c r="H42" s="54">
        <f>+IFERROR(VLOOKUP($A42,'Goals &amp; Budget 2026'!$A$2:$EJ$49,77,FALSE),0)</f>
        <v>0</v>
      </c>
      <c r="I42" s="65" t="str">
        <f t="shared" si="18"/>
        <v>***</v>
      </c>
      <c r="J42" s="54"/>
      <c r="K42" s="54">
        <f>+IFERROR(VLOOKUP($A42,'Goals &amp; Budget 2026'!$A$2:$EJ$49,78,FALSE),0)</f>
        <v>0</v>
      </c>
      <c r="L42" s="65" t="str">
        <f t="shared" si="19"/>
        <v>***</v>
      </c>
      <c r="M42" s="54"/>
      <c r="N42" s="54">
        <f>+IFERROR(VLOOKUP($A42,'Goals &amp; Budget 2026'!$A$2:$EJ$49,79,FALSE),0)</f>
        <v>0</v>
      </c>
      <c r="O42" s="232" t="str">
        <f t="shared" si="20"/>
        <v>***</v>
      </c>
      <c r="P42" s="54"/>
      <c r="Q42" s="54">
        <f>+IFERROR(VLOOKUP($A42,'Goals &amp; Budget 2026'!$A$2:$EJ$49,80,FALSE),0)</f>
        <v>0</v>
      </c>
      <c r="R42" s="65" t="str">
        <f t="shared" si="21"/>
        <v>***</v>
      </c>
      <c r="S42" s="54"/>
      <c r="T42" s="54">
        <f>+IFERROR(VLOOKUP($A42,'Goals &amp; Budget 2026'!$A$2:$EJ$49,81,FALSE),0)</f>
        <v>0</v>
      </c>
      <c r="U42" s="65" t="str">
        <f t="shared" si="22"/>
        <v>***</v>
      </c>
      <c r="V42" s="54"/>
      <c r="W42" s="54">
        <f>+IFERROR(VLOOKUP($A42,'Goals &amp; Budget 2026'!$A$2:$EJ$49,82,FALSE),0)</f>
        <v>0</v>
      </c>
      <c r="X42" s="232" t="str">
        <f t="shared" si="23"/>
        <v>***</v>
      </c>
      <c r="Y42" s="54"/>
      <c r="Z42" s="54">
        <f>+IFERROR(VLOOKUP($A42,'Goals &amp; Budget 2026'!$A$2:$EJ$49,83,FALSE),0)</f>
        <v>0</v>
      </c>
      <c r="AA42" s="65" t="str">
        <f t="shared" si="24"/>
        <v>***</v>
      </c>
      <c r="AB42" s="54"/>
      <c r="AC42" s="54">
        <f>+IFERROR(VLOOKUP($A42,'Goals &amp; Budget 2026'!$A$2:$EJ$49,84,FALSE),0)</f>
        <v>0</v>
      </c>
      <c r="AD42" s="65" t="str">
        <f t="shared" si="25"/>
        <v>***</v>
      </c>
      <c r="AE42" s="54"/>
      <c r="AF42" s="54">
        <f>+IFERROR(VLOOKUP($A42,'Goals &amp; Budget 2026'!$A$2:$EJ$49,85,FALSE),0)</f>
        <v>0</v>
      </c>
      <c r="AG42" s="232" t="str">
        <f t="shared" si="26"/>
        <v>***</v>
      </c>
      <c r="AH42" s="54"/>
      <c r="AI42" s="54">
        <f>+IFERROR(VLOOKUP($A42,'Goals &amp; Budget 2026'!$A$2:$EJ$49,86,FALSE),0)</f>
        <v>0</v>
      </c>
      <c r="AJ42" s="65" t="str">
        <f t="shared" si="27"/>
        <v>***</v>
      </c>
      <c r="AK42" s="54"/>
      <c r="AL42" s="54">
        <f>+IFERROR(VLOOKUP($A42,'Goals &amp; Budget 2026'!$A$2:$EJ$49,87,FALSE),0)</f>
        <v>0</v>
      </c>
      <c r="AM42" s="65" t="str">
        <f t="shared" si="28"/>
        <v>***</v>
      </c>
      <c r="AN42" s="54"/>
      <c r="AO42" s="54">
        <f>+IFERROR(VLOOKUP($A42,'Goals &amp; Budget 2026'!$A$2:$EJ$49,88,FALSE),0)</f>
        <v>0</v>
      </c>
      <c r="AP42" s="66" t="str">
        <f t="shared" si="29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51">
        <f t="shared" si="15"/>
        <v>0</v>
      </c>
      <c r="E43" s="54">
        <f t="shared" si="16"/>
        <v>0</v>
      </c>
      <c r="F43" s="232" t="str">
        <f t="shared" si="17"/>
        <v>***</v>
      </c>
      <c r="G43" s="54"/>
      <c r="H43" s="54">
        <f>+IFERROR(VLOOKUP($A43,'Goals &amp; Budget 2026'!$A$2:$EJ$49,77,FALSE),0)</f>
        <v>0</v>
      </c>
      <c r="I43" s="65" t="str">
        <f t="shared" si="18"/>
        <v>***</v>
      </c>
      <c r="J43" s="54"/>
      <c r="K43" s="54">
        <f>+IFERROR(VLOOKUP($A43,'Goals &amp; Budget 2026'!$A$2:$EJ$49,78,FALSE),0)</f>
        <v>0</v>
      </c>
      <c r="L43" s="65" t="str">
        <f t="shared" si="19"/>
        <v>***</v>
      </c>
      <c r="M43" s="54"/>
      <c r="N43" s="54">
        <f>+IFERROR(VLOOKUP($A43,'Goals &amp; Budget 2026'!$A$2:$EJ$49,79,FALSE),0)</f>
        <v>0</v>
      </c>
      <c r="O43" s="232" t="str">
        <f t="shared" si="20"/>
        <v>***</v>
      </c>
      <c r="P43" s="54"/>
      <c r="Q43" s="54">
        <f>+IFERROR(VLOOKUP($A43,'Goals &amp; Budget 2026'!$A$2:$EJ$49,80,FALSE),0)</f>
        <v>0</v>
      </c>
      <c r="R43" s="65" t="str">
        <f t="shared" si="21"/>
        <v>***</v>
      </c>
      <c r="S43" s="54"/>
      <c r="T43" s="54">
        <f>+IFERROR(VLOOKUP($A43,'Goals &amp; Budget 2026'!$A$2:$EJ$49,81,FALSE),0)</f>
        <v>0</v>
      </c>
      <c r="U43" s="65" t="str">
        <f t="shared" si="22"/>
        <v>***</v>
      </c>
      <c r="V43" s="54"/>
      <c r="W43" s="54">
        <f>+IFERROR(VLOOKUP($A43,'Goals &amp; Budget 2026'!$A$2:$EJ$49,82,FALSE),0)</f>
        <v>0</v>
      </c>
      <c r="X43" s="232" t="str">
        <f t="shared" si="23"/>
        <v>***</v>
      </c>
      <c r="Y43" s="54"/>
      <c r="Z43" s="54">
        <f>+IFERROR(VLOOKUP($A43,'Goals &amp; Budget 2026'!$A$2:$EJ$49,83,FALSE),0)</f>
        <v>0</v>
      </c>
      <c r="AA43" s="65" t="str">
        <f t="shared" si="24"/>
        <v>***</v>
      </c>
      <c r="AB43" s="54"/>
      <c r="AC43" s="54">
        <f>+IFERROR(VLOOKUP($A43,'Goals &amp; Budget 2026'!$A$2:$EJ$49,84,FALSE),0)</f>
        <v>0</v>
      </c>
      <c r="AD43" s="65" t="str">
        <f t="shared" si="25"/>
        <v>***</v>
      </c>
      <c r="AE43" s="54"/>
      <c r="AF43" s="54">
        <f>+IFERROR(VLOOKUP($A43,'Goals &amp; Budget 2026'!$A$2:$EJ$49,85,FALSE),0)</f>
        <v>0</v>
      </c>
      <c r="AG43" s="232" t="str">
        <f t="shared" si="26"/>
        <v>***</v>
      </c>
      <c r="AH43" s="54"/>
      <c r="AI43" s="54">
        <f>+IFERROR(VLOOKUP($A43,'Goals &amp; Budget 2026'!$A$2:$EJ$49,86,FALSE),0)</f>
        <v>0</v>
      </c>
      <c r="AJ43" s="65" t="str">
        <f t="shared" si="27"/>
        <v>***</v>
      </c>
      <c r="AK43" s="54"/>
      <c r="AL43" s="54">
        <f>+IFERROR(VLOOKUP($A43,'Goals &amp; Budget 2026'!$A$2:$EJ$49,87,FALSE),0)</f>
        <v>0</v>
      </c>
      <c r="AM43" s="65" t="str">
        <f t="shared" si="28"/>
        <v>***</v>
      </c>
      <c r="AN43" s="54"/>
      <c r="AO43" s="54">
        <f>+IFERROR(VLOOKUP($A43,'Goals &amp; Budget 2026'!$A$2:$EJ$49,88,FALSE),0)</f>
        <v>0</v>
      </c>
      <c r="AP43" s="66" t="str">
        <f t="shared" si="29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15"/>
        <v>0</v>
      </c>
      <c r="E44" s="54">
        <f t="shared" si="16"/>
        <v>0</v>
      </c>
      <c r="F44" s="232" t="str">
        <f t="shared" si="17"/>
        <v>***</v>
      </c>
      <c r="G44" s="54"/>
      <c r="H44" s="54">
        <f>+IFERROR(VLOOKUP($A44,'Goals &amp; Budget 2026'!$A$2:$EJ$49,77,FALSE),0)</f>
        <v>0</v>
      </c>
      <c r="I44" s="65" t="str">
        <f t="shared" si="18"/>
        <v>***</v>
      </c>
      <c r="J44" s="54"/>
      <c r="K44" s="54">
        <f>+IFERROR(VLOOKUP($A44,'Goals &amp; Budget 2026'!$A$2:$EJ$49,78,FALSE),0)</f>
        <v>0</v>
      </c>
      <c r="L44" s="65" t="str">
        <f t="shared" si="19"/>
        <v>***</v>
      </c>
      <c r="M44" s="54"/>
      <c r="N44" s="54">
        <f>+IFERROR(VLOOKUP($A44,'Goals &amp; Budget 2026'!$A$2:$EJ$49,79,FALSE),0)</f>
        <v>0</v>
      </c>
      <c r="O44" s="232" t="str">
        <f t="shared" si="20"/>
        <v>***</v>
      </c>
      <c r="P44" s="54"/>
      <c r="Q44" s="54">
        <f>+IFERROR(VLOOKUP($A44,'Goals &amp; Budget 2026'!$A$2:$EJ$49,80,FALSE),0)</f>
        <v>0</v>
      </c>
      <c r="R44" s="65" t="str">
        <f t="shared" si="21"/>
        <v>***</v>
      </c>
      <c r="S44" s="54"/>
      <c r="T44" s="54">
        <f>+IFERROR(VLOOKUP($A44,'Goals &amp; Budget 2026'!$A$2:$EJ$49,81,FALSE),0)</f>
        <v>0</v>
      </c>
      <c r="U44" s="65" t="str">
        <f t="shared" si="22"/>
        <v>***</v>
      </c>
      <c r="V44" s="54"/>
      <c r="W44" s="54">
        <f>+IFERROR(VLOOKUP($A44,'Goals &amp; Budget 2026'!$A$2:$EJ$49,82,FALSE),0)</f>
        <v>0</v>
      </c>
      <c r="X44" s="232" t="str">
        <f t="shared" si="23"/>
        <v>***</v>
      </c>
      <c r="Y44" s="54"/>
      <c r="Z44" s="54">
        <f>+IFERROR(VLOOKUP($A44,'Goals &amp; Budget 2026'!$A$2:$EJ$49,83,FALSE),0)</f>
        <v>0</v>
      </c>
      <c r="AA44" s="65" t="str">
        <f t="shared" si="24"/>
        <v>***</v>
      </c>
      <c r="AB44" s="54"/>
      <c r="AC44" s="54">
        <f>+IFERROR(VLOOKUP($A44,'Goals &amp; Budget 2026'!$A$2:$EJ$49,84,FALSE),0)</f>
        <v>0</v>
      </c>
      <c r="AD44" s="65" t="str">
        <f t="shared" si="25"/>
        <v>***</v>
      </c>
      <c r="AE44" s="54"/>
      <c r="AF44" s="54">
        <f>+IFERROR(VLOOKUP($A44,'Goals &amp; Budget 2026'!$A$2:$EJ$49,85,FALSE),0)</f>
        <v>144</v>
      </c>
      <c r="AG44" s="232">
        <f t="shared" si="26"/>
        <v>0</v>
      </c>
      <c r="AH44" s="54"/>
      <c r="AI44" s="54">
        <f>+IFERROR(VLOOKUP($A44,'Goals &amp; Budget 2026'!$A$2:$EJ$49,86,FALSE),0)</f>
        <v>0</v>
      </c>
      <c r="AJ44" s="65" t="str">
        <f t="shared" si="27"/>
        <v>***</v>
      </c>
      <c r="AK44" s="54"/>
      <c r="AL44" s="54">
        <f>+IFERROR(VLOOKUP($A44,'Goals &amp; Budget 2026'!$A$2:$EJ$49,87,FALSE),0)</f>
        <v>0</v>
      </c>
      <c r="AM44" s="65" t="str">
        <f t="shared" si="28"/>
        <v>***</v>
      </c>
      <c r="AN44" s="54"/>
      <c r="AO44" s="54">
        <f>+IFERROR(VLOOKUP($A44,'Goals &amp; Budget 2026'!$A$2:$EJ$49,88,FALSE),0)</f>
        <v>0</v>
      </c>
      <c r="AP44" s="66" t="str">
        <f t="shared" si="29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15"/>
        <v>0</v>
      </c>
      <c r="E45" s="54">
        <f t="shared" si="16"/>
        <v>0</v>
      </c>
      <c r="F45" s="232" t="str">
        <f t="shared" si="17"/>
        <v>***</v>
      </c>
      <c r="G45" s="54"/>
      <c r="H45" s="54">
        <f>+IFERROR(VLOOKUP($A45,'Goals &amp; Budget 2026'!$A$2:$EJ$49,77,FALSE),0)</f>
        <v>0</v>
      </c>
      <c r="I45" s="65" t="str">
        <f t="shared" si="18"/>
        <v>***</v>
      </c>
      <c r="J45" s="54"/>
      <c r="K45" s="54">
        <f>+IFERROR(VLOOKUP($A45,'Goals &amp; Budget 2026'!$A$2:$EJ$49,78,FALSE),0)</f>
        <v>0</v>
      </c>
      <c r="L45" s="65" t="str">
        <f t="shared" si="19"/>
        <v>***</v>
      </c>
      <c r="M45" s="54"/>
      <c r="N45" s="54">
        <f>+IFERROR(VLOOKUP($A45,'Goals &amp; Budget 2026'!$A$2:$EJ$49,79,FALSE),0)</f>
        <v>46</v>
      </c>
      <c r="O45" s="232">
        <f t="shared" si="20"/>
        <v>0</v>
      </c>
      <c r="P45" s="54"/>
      <c r="Q45" s="54">
        <f>+IFERROR(VLOOKUP($A45,'Goals &amp; Budget 2026'!$A$2:$EJ$49,80,FALSE),0)</f>
        <v>0</v>
      </c>
      <c r="R45" s="65" t="str">
        <f t="shared" si="21"/>
        <v>***</v>
      </c>
      <c r="S45" s="54"/>
      <c r="T45" s="54">
        <f>+IFERROR(VLOOKUP($A45,'Goals &amp; Budget 2026'!$A$2:$EJ$49,81,FALSE),0)</f>
        <v>0</v>
      </c>
      <c r="U45" s="65" t="str">
        <f t="shared" si="22"/>
        <v>***</v>
      </c>
      <c r="V45" s="54"/>
      <c r="W45" s="54">
        <f>+IFERROR(VLOOKUP($A45,'Goals &amp; Budget 2026'!$A$2:$EJ$49,82,FALSE),0)</f>
        <v>0</v>
      </c>
      <c r="X45" s="232" t="str">
        <f t="shared" si="23"/>
        <v>***</v>
      </c>
      <c r="Y45" s="54"/>
      <c r="Z45" s="54">
        <f>+IFERROR(VLOOKUP($A45,'Goals &amp; Budget 2026'!$A$2:$EJ$49,83,FALSE),0)</f>
        <v>0</v>
      </c>
      <c r="AA45" s="65" t="str">
        <f t="shared" si="24"/>
        <v>***</v>
      </c>
      <c r="AB45" s="54"/>
      <c r="AC45" s="54">
        <f>+IFERROR(VLOOKUP($A45,'Goals &amp; Budget 2026'!$A$2:$EJ$49,84,FALSE),0)</f>
        <v>0</v>
      </c>
      <c r="AD45" s="65" t="str">
        <f t="shared" si="25"/>
        <v>***</v>
      </c>
      <c r="AE45" s="54"/>
      <c r="AF45" s="54">
        <f>+IFERROR(VLOOKUP($A45,'Goals &amp; Budget 2026'!$A$2:$EJ$49,85,FALSE),0)</f>
        <v>0</v>
      </c>
      <c r="AG45" s="232" t="str">
        <f t="shared" si="26"/>
        <v>***</v>
      </c>
      <c r="AH45" s="54"/>
      <c r="AI45" s="54">
        <f>+IFERROR(VLOOKUP($A45,'Goals &amp; Budget 2026'!$A$2:$EJ$49,86,FALSE),0)</f>
        <v>0</v>
      </c>
      <c r="AJ45" s="65" t="str">
        <f t="shared" si="27"/>
        <v>***</v>
      </c>
      <c r="AK45" s="54"/>
      <c r="AL45" s="54">
        <f>+IFERROR(VLOOKUP($A45,'Goals &amp; Budget 2026'!$A$2:$EJ$49,87,FALSE),0)</f>
        <v>0</v>
      </c>
      <c r="AM45" s="65" t="str">
        <f t="shared" si="28"/>
        <v>***</v>
      </c>
      <c r="AN45" s="54"/>
      <c r="AO45" s="54">
        <f>+IFERROR(VLOOKUP($A45,'Goals &amp; Budget 2026'!$A$2:$EJ$49,88,FALSE),0)</f>
        <v>0</v>
      </c>
      <c r="AP45" s="66" t="str">
        <f t="shared" si="29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1">
        <f t="shared" si="15"/>
        <v>0</v>
      </c>
      <c r="E46" s="54">
        <f t="shared" si="16"/>
        <v>0</v>
      </c>
      <c r="F46" s="232" t="str">
        <f t="shared" si="17"/>
        <v>***</v>
      </c>
      <c r="G46" s="54"/>
      <c r="H46" s="54">
        <f>+IFERROR(VLOOKUP($A46,'Goals &amp; Budget 2026'!$A$2:$EJ$49,77,FALSE),0)</f>
        <v>0</v>
      </c>
      <c r="I46" s="65" t="str">
        <f t="shared" si="18"/>
        <v>***</v>
      </c>
      <c r="J46" s="54"/>
      <c r="K46" s="54">
        <f>+IFERROR(VLOOKUP($A46,'Goals &amp; Budget 2026'!$A$2:$EJ$49,78,FALSE),0)</f>
        <v>0</v>
      </c>
      <c r="L46" s="65" t="str">
        <f t="shared" si="19"/>
        <v>***</v>
      </c>
      <c r="M46" s="54"/>
      <c r="N46" s="54">
        <f>+IFERROR(VLOOKUP($A46,'Goals &amp; Budget 2026'!$A$2:$EJ$49,79,FALSE),0)</f>
        <v>0</v>
      </c>
      <c r="O46" s="232" t="str">
        <f t="shared" si="20"/>
        <v>***</v>
      </c>
      <c r="P46" s="54"/>
      <c r="Q46" s="54">
        <f>+IFERROR(VLOOKUP($A46,'Goals &amp; Budget 2026'!$A$2:$EJ$49,80,FALSE),0)</f>
        <v>0</v>
      </c>
      <c r="R46" s="65" t="str">
        <f t="shared" si="21"/>
        <v>***</v>
      </c>
      <c r="S46" s="54"/>
      <c r="T46" s="54">
        <f>+IFERROR(VLOOKUP($A46,'Goals &amp; Budget 2026'!$A$2:$EJ$49,81,FALSE),0)</f>
        <v>0</v>
      </c>
      <c r="U46" s="65" t="str">
        <f t="shared" si="22"/>
        <v>***</v>
      </c>
      <c r="V46" s="54"/>
      <c r="W46" s="54">
        <f>+IFERROR(VLOOKUP($A46,'Goals &amp; Budget 2026'!$A$2:$EJ$49,82,FALSE),0)</f>
        <v>0</v>
      </c>
      <c r="X46" s="232" t="str">
        <f t="shared" si="23"/>
        <v>***</v>
      </c>
      <c r="Y46" s="54"/>
      <c r="Z46" s="54">
        <f>+IFERROR(VLOOKUP($A46,'Goals &amp; Budget 2026'!$A$2:$EJ$49,83,FALSE),0)</f>
        <v>150</v>
      </c>
      <c r="AA46" s="65">
        <f t="shared" si="24"/>
        <v>0</v>
      </c>
      <c r="AB46" s="54"/>
      <c r="AC46" s="54">
        <f>+IFERROR(VLOOKUP($A46,'Goals &amp; Budget 2026'!$A$2:$EJ$49,84,FALSE),0)</f>
        <v>0</v>
      </c>
      <c r="AD46" s="65" t="str">
        <f t="shared" si="25"/>
        <v>***</v>
      </c>
      <c r="AE46" s="54"/>
      <c r="AF46" s="54">
        <f>+IFERROR(VLOOKUP($A46,'Goals &amp; Budget 2026'!$A$2:$EJ$49,85,FALSE),0)</f>
        <v>0</v>
      </c>
      <c r="AG46" s="232" t="str">
        <f t="shared" si="26"/>
        <v>***</v>
      </c>
      <c r="AH46" s="54"/>
      <c r="AI46" s="54">
        <f>+IFERROR(VLOOKUP($A46,'Goals &amp; Budget 2026'!$A$2:$EJ$49,86,FALSE),0)</f>
        <v>0</v>
      </c>
      <c r="AJ46" s="65" t="str">
        <f t="shared" si="27"/>
        <v>***</v>
      </c>
      <c r="AK46" s="54"/>
      <c r="AL46" s="54">
        <f>+IFERROR(VLOOKUP($A46,'Goals &amp; Budget 2026'!$A$2:$EJ$49,87,FALSE),0)</f>
        <v>0</v>
      </c>
      <c r="AM46" s="65" t="str">
        <f t="shared" si="28"/>
        <v>***</v>
      </c>
      <c r="AN46" s="54"/>
      <c r="AO46" s="54">
        <f>+IFERROR(VLOOKUP($A46,'Goals &amp; Budget 2026'!$A$2:$EJ$49,88,FALSE),0)</f>
        <v>0</v>
      </c>
      <c r="AP46" s="66" t="str">
        <f t="shared" si="29"/>
        <v>***</v>
      </c>
    </row>
    <row r="47" spans="1:42" ht="20.100000000000001" customHeight="1" thickBot="1" x14ac:dyDescent="0.3">
      <c r="A47" s="51" t="s">
        <v>106</v>
      </c>
      <c r="B47" s="52">
        <v>1</v>
      </c>
      <c r="C47" s="53">
        <v>378</v>
      </c>
      <c r="D47" s="51">
        <f t="shared" si="15"/>
        <v>0</v>
      </c>
      <c r="E47" s="54">
        <f t="shared" si="16"/>
        <v>0</v>
      </c>
      <c r="F47" s="232" t="str">
        <f t="shared" si="17"/>
        <v>***</v>
      </c>
      <c r="G47" s="54"/>
      <c r="H47" s="54">
        <f>+IFERROR(VLOOKUP($A47,'Goals &amp; Budget 2026'!$A$2:$EJ$49,77,FALSE),0)</f>
        <v>0</v>
      </c>
      <c r="I47" s="65" t="str">
        <f t="shared" si="18"/>
        <v>***</v>
      </c>
      <c r="J47" s="54"/>
      <c r="K47" s="54">
        <f>+IFERROR(VLOOKUP($A47,'Goals &amp; Budget 2026'!$A$2:$EJ$49,78,FALSE),0)</f>
        <v>0</v>
      </c>
      <c r="L47" s="65" t="str">
        <f t="shared" si="19"/>
        <v>***</v>
      </c>
      <c r="M47" s="54"/>
      <c r="N47" s="54">
        <f>+IFERROR(VLOOKUP($A47,'Goals &amp; Budget 2026'!$A$2:$EJ$49,79,FALSE),0)</f>
        <v>0</v>
      </c>
      <c r="O47" s="232" t="str">
        <f t="shared" si="20"/>
        <v>***</v>
      </c>
      <c r="P47" s="54"/>
      <c r="Q47" s="54">
        <f>+IFERROR(VLOOKUP($A47,'Goals &amp; Budget 2026'!$A$2:$EJ$49,80,FALSE),0)</f>
        <v>0</v>
      </c>
      <c r="R47" s="65" t="str">
        <f t="shared" si="21"/>
        <v>***</v>
      </c>
      <c r="S47" s="54"/>
      <c r="T47" s="54">
        <f>+IFERROR(VLOOKUP($A47,'Goals &amp; Budget 2026'!$A$2:$EJ$49,81,FALSE),0)</f>
        <v>0</v>
      </c>
      <c r="U47" s="65" t="str">
        <f t="shared" si="22"/>
        <v>***</v>
      </c>
      <c r="V47" s="54"/>
      <c r="W47" s="54">
        <f>+IFERROR(VLOOKUP($A47,'Goals &amp; Budget 2026'!$A$2:$EJ$49,82,FALSE),0)</f>
        <v>0</v>
      </c>
      <c r="X47" s="232" t="str">
        <f t="shared" si="23"/>
        <v>***</v>
      </c>
      <c r="Y47" s="54"/>
      <c r="Z47" s="54">
        <f>+IFERROR(VLOOKUP($A47,'Goals &amp; Budget 2026'!$A$2:$EJ$49,83,FALSE),0)</f>
        <v>0</v>
      </c>
      <c r="AA47" s="65" t="str">
        <f t="shared" si="24"/>
        <v>***</v>
      </c>
      <c r="AB47" s="54"/>
      <c r="AC47" s="54">
        <f>+IFERROR(VLOOKUP($A47,'Goals &amp; Budget 2026'!$A$2:$EJ$49,84,FALSE),0)</f>
        <v>0</v>
      </c>
      <c r="AD47" s="65" t="str">
        <f t="shared" si="25"/>
        <v>***</v>
      </c>
      <c r="AE47" s="54"/>
      <c r="AF47" s="54">
        <f>+IFERROR(VLOOKUP($A47,'Goals &amp; Budget 2026'!$A$2:$EJ$49,85,FALSE),0)</f>
        <v>0</v>
      </c>
      <c r="AG47" s="232" t="str">
        <f t="shared" si="26"/>
        <v>***</v>
      </c>
      <c r="AH47" s="54"/>
      <c r="AI47" s="54">
        <f>+IFERROR(VLOOKUP($A47,'Goals &amp; Budget 2026'!$A$2:$EJ$49,86,FALSE),0)</f>
        <v>0</v>
      </c>
      <c r="AJ47" s="65" t="str">
        <f t="shared" si="27"/>
        <v>***</v>
      </c>
      <c r="AK47" s="54"/>
      <c r="AL47" s="54">
        <f>+IFERROR(VLOOKUP($A47,'Goals &amp; Budget 2026'!$A$2:$EJ$49,87,FALSE),0)</f>
        <v>0</v>
      </c>
      <c r="AM47" s="65" t="str">
        <f t="shared" si="28"/>
        <v>***</v>
      </c>
      <c r="AN47" s="54"/>
      <c r="AO47" s="54">
        <f>+IFERROR(VLOOKUP($A47,'Goals &amp; Budget 2026'!$A$2:$EJ$49,88,FALSE),0)</f>
        <v>0</v>
      </c>
      <c r="AP47" s="66" t="str">
        <f t="shared" si="29"/>
        <v>***</v>
      </c>
    </row>
    <row r="48" spans="1:42" ht="20.100000000000001" customHeight="1" x14ac:dyDescent="0.25">
      <c r="A48" s="172" t="s">
        <v>12</v>
      </c>
      <c r="B48" s="173"/>
      <c r="C48" s="236"/>
      <c r="D48" s="125">
        <f>+SUM(D3:D47)</f>
        <v>0</v>
      </c>
      <c r="E48" s="126">
        <f>+SUM(E3:E47)</f>
        <v>56</v>
      </c>
      <c r="F48" s="237">
        <f t="shared" ref="F48" si="30">IF(AND(D48&gt;0,E48&gt;0),D48/E48,IF(AND(D48&gt;0,E48=0),100%,IF(AND(D48=0,E48&gt;0),0,IF(AND(D48=0,E48=0),"***",0))))</f>
        <v>0</v>
      </c>
      <c r="G48" s="126">
        <f>+SUM(G3:G47)</f>
        <v>0</v>
      </c>
      <c r="H48" s="126">
        <f>+SUM(H3:H47)</f>
        <v>56</v>
      </c>
      <c r="I48" s="238">
        <f t="shared" ref="I48:I49" si="31">IF(AND(G48&gt;0,H48&gt;0),G48/H48,IF(AND(G48&gt;0,H48=0),100%,IF(AND(G48=0,H48&gt;0),0,IF(AND(G48=0,H48=0),"***",0))))</f>
        <v>0</v>
      </c>
      <c r="J48" s="126">
        <f>+SUM(J3:J47)</f>
        <v>0</v>
      </c>
      <c r="K48" s="126">
        <f>+SUM(K3:K47)</f>
        <v>0</v>
      </c>
      <c r="L48" s="238" t="str">
        <f t="shared" ref="L48:L49" si="32">IF(AND(J48&gt;0,K48&gt;0),J48/K48,IF(AND(J48&gt;0,K48=0),100%,IF(AND(J48=0,K48&gt;0),0,IF(AND(J48=0,K48=0),"***",0))))</f>
        <v>***</v>
      </c>
      <c r="M48" s="126">
        <f>+SUM(M3:M47)</f>
        <v>0</v>
      </c>
      <c r="N48" s="126">
        <f>+SUM(N3:N47)</f>
        <v>76</v>
      </c>
      <c r="O48" s="237">
        <f t="shared" ref="O48:O49" si="33">IF(AND(M48&gt;0,N48&gt;0),M48/N48,IF(AND(M48&gt;0,N48=0),100%,IF(AND(M48=0,N48&gt;0),0,IF(AND(M48=0,N48=0),"***",0))))</f>
        <v>0</v>
      </c>
      <c r="P48" s="126">
        <f>+SUM(P3:P47)</f>
        <v>0</v>
      </c>
      <c r="Q48" s="126">
        <f>+SUM(Q3:Q47)</f>
        <v>63</v>
      </c>
      <c r="R48" s="238">
        <f t="shared" ref="R48:R49" si="34">IF(AND(P48&gt;0,Q48&gt;0),P48/Q48,IF(AND(P48&gt;0,Q48=0),100%,IF(AND(P48=0,Q48&gt;0),0,IF(AND(P48=0,Q48=0),"***",0))))</f>
        <v>0</v>
      </c>
      <c r="S48" s="126">
        <f>+SUM(S3:S47)</f>
        <v>0</v>
      </c>
      <c r="T48" s="126">
        <f>+SUM(T3:T47)</f>
        <v>232</v>
      </c>
      <c r="U48" s="238">
        <f t="shared" ref="U48:U49" si="35">IF(AND(S48&gt;0,T48&gt;0),S48/T48,IF(AND(S48&gt;0,T48=0),100%,IF(AND(S48=0,T48&gt;0),0,IF(AND(S48=0,T48=0),"***",0))))</f>
        <v>0</v>
      </c>
      <c r="V48" s="126">
        <f>+SUM(V3:V47)</f>
        <v>0</v>
      </c>
      <c r="W48" s="126">
        <f>+SUM(W3:W47)</f>
        <v>0</v>
      </c>
      <c r="X48" s="237" t="str">
        <f t="shared" ref="X48:X49" si="36">IF(AND(V48&gt;0,W48&gt;0),V48/W48,IF(AND(V48&gt;0,W48=0),100%,IF(AND(V48=0,W48&gt;0),0,IF(AND(V48=0,W48=0),"***",0))))</f>
        <v>***</v>
      </c>
      <c r="Y48" s="126">
        <f>+SUM(Y3:Y47)</f>
        <v>0</v>
      </c>
      <c r="Z48" s="126">
        <f>+SUM(Z3:Z47)</f>
        <v>189</v>
      </c>
      <c r="AA48" s="238">
        <f t="shared" ref="AA48:AA49" si="37">IF(AND(Y48&gt;0,Z48&gt;0),Y48/Z48,IF(AND(Y48&gt;0,Z48=0),100%,IF(AND(Y48=0,Z48&gt;0),0,IF(AND(Y48=0,Z48=0),"***",0))))</f>
        <v>0</v>
      </c>
      <c r="AB48" s="126">
        <f>+SUM(AB3:AB47)</f>
        <v>0</v>
      </c>
      <c r="AC48" s="126">
        <f>+SUM(AC3:AC47)</f>
        <v>0</v>
      </c>
      <c r="AD48" s="238" t="str">
        <f t="shared" ref="AD48:AD49" si="38">IF(AND(AB48&gt;0,AC48&gt;0),AB48/AC48,IF(AND(AB48&gt;0,AC48=0),100%,IF(AND(AB48=0,AC48&gt;0),0,IF(AND(AB48=0,AC48=0),"***",0))))</f>
        <v>***</v>
      </c>
      <c r="AE48" s="126">
        <f>+SUM(AE3:AE47)</f>
        <v>0</v>
      </c>
      <c r="AF48" s="126">
        <f>+SUM(AF3:AF47)</f>
        <v>144</v>
      </c>
      <c r="AG48" s="237">
        <f t="shared" ref="AG48:AG49" si="39">IF(AND(AE48&gt;0,AF48&gt;0),AE48/AF48,IF(AND(AE48&gt;0,AF48=0),100%,IF(AND(AE48=0,AF48&gt;0),0,IF(AND(AE48=0,AF48=0),"***",0))))</f>
        <v>0</v>
      </c>
      <c r="AH48" s="126">
        <f>+SUM(AH3:AH47)</f>
        <v>0</v>
      </c>
      <c r="AI48" s="126">
        <f>+SUM(AI3:AI47)</f>
        <v>0</v>
      </c>
      <c r="AJ48" s="238" t="str">
        <f t="shared" ref="AJ48:AJ49" si="40">IF(AND(AH48&gt;0,AI48&gt;0),AH48/AI48,IF(AND(AH48&gt;0,AI48=0),100%,IF(AND(AH48=0,AI48&gt;0),0,IF(AND(AH48=0,AI48=0),"***",0))))</f>
        <v>***</v>
      </c>
      <c r="AK48" s="126">
        <f>+SUM(AK3:AK47)</f>
        <v>0</v>
      </c>
      <c r="AL48" s="126">
        <f>+SUM(AL3:AL47)</f>
        <v>0</v>
      </c>
      <c r="AM48" s="238" t="str">
        <f t="shared" ref="AM48:AM49" si="41">IF(AND(AK48&gt;0,AL48&gt;0),AK48/AL48,IF(AND(AK48&gt;0,AL48=0),100%,IF(AND(AK48=0,AL48&gt;0),0,IF(AND(AK48=0,AL48=0),"***",0))))</f>
        <v>***</v>
      </c>
      <c r="AN48" s="126">
        <f>+SUM(AN3:AN47)</f>
        <v>0</v>
      </c>
      <c r="AO48" s="126">
        <f>+SUM(AO3:AO47)</f>
        <v>0</v>
      </c>
      <c r="AP48" s="239" t="str">
        <f t="shared" ref="AP48:AP49" si="42">IF(AND(AN48&gt;0,AO48&gt;0),AN48/AO48,IF(AND(AN48&gt;0,AO48=0),100%,IF(AND(AN48=0,AO48&gt;0),0,IF(AND(AN48=0,AO48=0),"***",0))))</f>
        <v>***</v>
      </c>
    </row>
    <row r="49" spans="1:42" ht="20.100000000000001" customHeight="1" thickBot="1" x14ac:dyDescent="0.3">
      <c r="A49" s="240" t="s">
        <v>23</v>
      </c>
      <c r="B49" s="241"/>
      <c r="C49" s="242"/>
      <c r="D49" s="139">
        <f>+SUMPRODUCT(D3:D47,$B$3:$B$47)</f>
        <v>0</v>
      </c>
      <c r="E49" s="140">
        <f>+SUMPRODUCT(E3:E47,$B$3:$B$47)</f>
        <v>56</v>
      </c>
      <c r="F49" s="243">
        <f>IF(AND(D49&gt;0,E49&gt;0),D49/E49,IF(AND(D49&gt;0,E49=0),100%,IF(AND(D49=0,E49&gt;0),0,IF(AND(D49=0,E49=0),"***",0))))</f>
        <v>0</v>
      </c>
      <c r="G49" s="140">
        <f>+SUMPRODUCT(G3:G47,$B$3:$B$47)</f>
        <v>0</v>
      </c>
      <c r="H49" s="140">
        <f>+SUMPRODUCT(H3:H47,$B$3:$B$47)</f>
        <v>56</v>
      </c>
      <c r="I49" s="244">
        <f t="shared" si="31"/>
        <v>0</v>
      </c>
      <c r="J49" s="140">
        <f>+SUMPRODUCT(J3:J47,$B$3:$B$47)</f>
        <v>0</v>
      </c>
      <c r="K49" s="140">
        <f>+SUMPRODUCT(K3:K47,$B$3:$B$47)</f>
        <v>0</v>
      </c>
      <c r="L49" s="244" t="str">
        <f t="shared" si="32"/>
        <v>***</v>
      </c>
      <c r="M49" s="140">
        <f>+SUMPRODUCT(M3:M47,$B$3:$B$47)</f>
        <v>0</v>
      </c>
      <c r="N49" s="140">
        <f>+SUMPRODUCT(N3:N47,$B$3:$B$47)</f>
        <v>76</v>
      </c>
      <c r="O49" s="243">
        <f t="shared" si="33"/>
        <v>0</v>
      </c>
      <c r="P49" s="140">
        <f>+SUMPRODUCT(P3:P47,$B$3:$B$47)</f>
        <v>0</v>
      </c>
      <c r="Q49" s="140">
        <f>+SUMPRODUCT(Q3:Q47,$B$3:$B$47)</f>
        <v>63</v>
      </c>
      <c r="R49" s="244">
        <f t="shared" si="34"/>
        <v>0</v>
      </c>
      <c r="S49" s="140">
        <f>+SUMPRODUCT(S3:S47,$B$3:$B$47)</f>
        <v>0</v>
      </c>
      <c r="T49" s="140">
        <f>+SUMPRODUCT(T3:T47,$B$3:$B$47)</f>
        <v>116</v>
      </c>
      <c r="U49" s="244">
        <f t="shared" si="35"/>
        <v>0</v>
      </c>
      <c r="V49" s="140">
        <f>+SUMPRODUCT(V3:V47,$B$3:$B$47)</f>
        <v>0</v>
      </c>
      <c r="W49" s="140">
        <f>+SUMPRODUCT(W3:W47,$B$3:$B$47)</f>
        <v>0</v>
      </c>
      <c r="X49" s="243" t="str">
        <f t="shared" si="36"/>
        <v>***</v>
      </c>
      <c r="Y49" s="140">
        <f>+SUMPRODUCT(Y3:Y47,$B$3:$B$47)</f>
        <v>0</v>
      </c>
      <c r="Z49" s="140">
        <f>+SUMPRODUCT(Z3:Z47,$B$3:$B$47)</f>
        <v>189</v>
      </c>
      <c r="AA49" s="244">
        <f t="shared" si="37"/>
        <v>0</v>
      </c>
      <c r="AB49" s="140">
        <f>+SUMPRODUCT(AB3:AB47,$B$3:$B$47)</f>
        <v>0</v>
      </c>
      <c r="AC49" s="140">
        <f>+SUMPRODUCT(AC3:AC47,$B$3:$B$47)</f>
        <v>0</v>
      </c>
      <c r="AD49" s="244" t="str">
        <f t="shared" si="38"/>
        <v>***</v>
      </c>
      <c r="AE49" s="140">
        <f>+SUMPRODUCT(AE3:AE47,$B$3:$B$47)</f>
        <v>0</v>
      </c>
      <c r="AF49" s="140">
        <f>+SUMPRODUCT(AF3:AF47,$B$3:$B$47)</f>
        <v>144</v>
      </c>
      <c r="AG49" s="243">
        <f t="shared" si="39"/>
        <v>0</v>
      </c>
      <c r="AH49" s="140">
        <f>+SUMPRODUCT(AH3:AH47,$B$3:$B$47)</f>
        <v>0</v>
      </c>
      <c r="AI49" s="140">
        <f>+SUMPRODUCT(AI3:AI47,$B$3:$B$47)</f>
        <v>0</v>
      </c>
      <c r="AJ49" s="244" t="str">
        <f t="shared" si="40"/>
        <v>***</v>
      </c>
      <c r="AK49" s="140">
        <f>+SUMPRODUCT(AK3:AK47,$B$3:$B$47)</f>
        <v>0</v>
      </c>
      <c r="AL49" s="140">
        <f>+SUMPRODUCT(AL3:AL47,$B$3:$B$47)</f>
        <v>0</v>
      </c>
      <c r="AM49" s="244" t="str">
        <f t="shared" si="41"/>
        <v>***</v>
      </c>
      <c r="AN49" s="140">
        <f>+SUMPRODUCT(AN3:AN47,$B$3:$B$47)</f>
        <v>0</v>
      </c>
      <c r="AO49" s="140">
        <f>+SUMPRODUCT(AO3:AO47,$B$3:$B$47)</f>
        <v>0</v>
      </c>
      <c r="AP49" s="245" t="str">
        <f t="shared" si="42"/>
        <v>***</v>
      </c>
    </row>
  </sheetData>
  <mergeCells count="16">
    <mergeCell ref="AK1:AM1"/>
    <mergeCell ref="AN1:AP1"/>
    <mergeCell ref="A48:C48"/>
    <mergeCell ref="A49:C49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conditionalFormatting sqref="F3:F49 I3:I49 L3:L49 O3:O49 R3:R49 U3:U49 X3:X49 AA3:AA49 AD3:AD49 AG3:AG49 AJ3:AJ49 AM3:AM49 AP3:AP49">
    <cfRule type="cellIs" priority="1" operator="equal">
      <formula>"***"</formula>
    </cfRule>
    <cfRule type="cellIs" dxfId="11" priority="2" operator="lessThan">
      <formula>1</formula>
    </cfRule>
    <cfRule type="cellIs" dxfId="10" priority="3" operator="greaterThanOr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7C81-BC8B-46C7-8953-7538CFD57400}">
  <sheetPr>
    <tabColor theme="8" tint="0.59999389629810485"/>
  </sheetPr>
  <dimension ref="A1:AP49"/>
  <sheetViews>
    <sheetView showGridLines="0" zoomScale="55" zoomScaleNormal="5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3" sqref="A1:AP49"/>
    </sheetView>
  </sheetViews>
  <sheetFormatPr defaultRowHeight="20.100000000000001" customHeight="1" x14ac:dyDescent="0.25"/>
  <cols>
    <col min="1" max="1" width="23.28515625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+'KPIs - Schematics'!D1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35">
        <f>+G3</f>
        <v>0</v>
      </c>
      <c r="E3" s="38">
        <f>+H3</f>
        <v>0</v>
      </c>
      <c r="F3" s="230" t="str">
        <f>IF(AND(D3&gt;0,E3&gt;0),D3/E3,IF(AND(D3&gt;0,E3=0),100%,IF(AND(D3=0,E3&gt;0),0,IF(AND(D3=0,E3=0),"***",0))))</f>
        <v>***</v>
      </c>
      <c r="G3" s="38"/>
      <c r="H3" s="38">
        <f>+IFERROR(VLOOKUP($A3,'Goals &amp; Budget 2026'!$A$2:$EJ$49,90,FALSE),0)</f>
        <v>0</v>
      </c>
      <c r="I3" s="49" t="str">
        <f>IF(AND(G3&gt;0,H3&gt;0),G3/H3,IF(AND(G3&gt;0,H3=0),100%,IF(AND(G3=0,H3&gt;0),0,IF(AND(G3=0,H3=0),"***",0))))</f>
        <v>***</v>
      </c>
      <c r="J3" s="38"/>
      <c r="K3" s="38">
        <f>+IFERROR(VLOOKUP($A3,'Goals &amp; Budget 2026'!$A$2:$EJ$49,91,FALSE),0)</f>
        <v>0</v>
      </c>
      <c r="L3" s="49" t="str">
        <f>IF(AND(J3&gt;0,K3&gt;0),J3/K3,IF(AND(J3&gt;0,K3=0),100%,IF(AND(J3=0,K3&gt;0),0,IF(AND(J3=0,K3=0),"***",0))))</f>
        <v>***</v>
      </c>
      <c r="M3" s="38"/>
      <c r="N3" s="38">
        <f>+IFERROR(VLOOKUP($A3,'Goals &amp; Budget 2026'!$A$2:$EJ$49,92,FALSE),0)</f>
        <v>0</v>
      </c>
      <c r="O3" s="230" t="str">
        <f>IF(AND(M3&gt;0,N3&gt;0),M3/N3,IF(AND(M3&gt;0,N3=0),100%,IF(AND(M3=0,N3&gt;0),0,IF(AND(M3=0,N3=0),"***",0))))</f>
        <v>***</v>
      </c>
      <c r="P3" s="38"/>
      <c r="Q3" s="38">
        <f>+IFERROR(VLOOKUP($A3,'Goals &amp; Budget 2026'!$A$2:$EJ$49,93,FALSE),0)</f>
        <v>0</v>
      </c>
      <c r="R3" s="49" t="str">
        <f>IF(AND(P3&gt;0,Q3&gt;0),P3/Q3,IF(AND(P3&gt;0,Q3=0),100%,IF(AND(P3=0,Q3&gt;0),0,IF(AND(P3=0,Q3=0),"***",0))))</f>
        <v>***</v>
      </c>
      <c r="S3" s="38"/>
      <c r="T3" s="38">
        <f>+IFERROR(VLOOKUP($A3,'Goals &amp; Budget 2026'!$A$2:$EJ$49,94,FALSE),0)</f>
        <v>0</v>
      </c>
      <c r="U3" s="49" t="str">
        <f>IF(AND(S3&gt;0,T3&gt;0),S3/T3,IF(AND(S3&gt;0,T3=0),100%,IF(AND(S3=0,T3&gt;0),0,IF(AND(S3=0,T3=0),"***",0))))</f>
        <v>***</v>
      </c>
      <c r="V3" s="38"/>
      <c r="W3" s="38">
        <f>+IFERROR(VLOOKUP($A3,'Goals &amp; Budget 2026'!$A$2:$EJ$49,95,FALSE),0)</f>
        <v>0</v>
      </c>
      <c r="X3" s="230" t="str">
        <f>IF(AND(V3&gt;0,W3&gt;0),V3/W3,IF(AND(V3&gt;0,W3=0),100%,IF(AND(V3=0,W3&gt;0),0,IF(AND(V3=0,W3=0),"***",0))))</f>
        <v>***</v>
      </c>
      <c r="Y3" s="38"/>
      <c r="Z3" s="38">
        <f>+IFERROR(VLOOKUP($A3,'Goals &amp; Budget 2026'!$A$2:$EJ$49,96,FALSE),0)</f>
        <v>0</v>
      </c>
      <c r="AA3" s="49" t="str">
        <f>IF(AND(Y3&gt;0,Z3&gt;0),Y3/Z3,IF(AND(Y3&gt;0,Z3=0),100%,IF(AND(Y3=0,Z3&gt;0),0,IF(AND(Y3=0,Z3=0),"***",0))))</f>
        <v>***</v>
      </c>
      <c r="AB3" s="38"/>
      <c r="AC3" s="38">
        <f>+IFERROR(VLOOKUP($A3,'Goals &amp; Budget 2026'!$A$2:$EJ$49,97,FALSE),0)</f>
        <v>0</v>
      </c>
      <c r="AD3" s="49" t="str">
        <f>IF(AND(AB3&gt;0,AC3&gt;0),AB3/AC3,IF(AND(AB3&gt;0,AC3=0),100%,IF(AND(AB3=0,AC3&gt;0),0,IF(AND(AB3=0,AC3=0),"***",0))))</f>
        <v>***</v>
      </c>
      <c r="AE3" s="38"/>
      <c r="AF3" s="38">
        <f>+IFERROR(VLOOKUP($A3,'Goals &amp; Budget 2026'!$A$2:$EJ$49,98,FALSE),0)</f>
        <v>0</v>
      </c>
      <c r="AG3" s="230" t="str">
        <f>IF(AND(AE3&gt;0,AF3&gt;0),AE3/AF3,IF(AND(AE3&gt;0,AF3=0),100%,IF(AND(AE3=0,AF3&gt;0),0,IF(AND(AE3=0,AF3=0),"***",0))))</f>
        <v>***</v>
      </c>
      <c r="AH3" s="38"/>
      <c r="AI3" s="38">
        <f>+IFERROR(VLOOKUP($A3,'Goals &amp; Budget 2026'!$A$2:$EJ$49,99,FALSE),0)</f>
        <v>0</v>
      </c>
      <c r="AJ3" s="49" t="str">
        <f>IF(AND(AH3&gt;0,AI3&gt;0),AH3/AI3,IF(AND(AH3&gt;0,AI3=0),100%,IF(AND(AH3=0,AI3&gt;0),0,IF(AND(AH3=0,AI3=0),"***",0))))</f>
        <v>***</v>
      </c>
      <c r="AK3" s="38"/>
      <c r="AL3" s="38">
        <f>+IFERROR(VLOOKUP($A3,'Goals &amp; Budget 2026'!$A$2:$EJ$49,100,FALSE),0)</f>
        <v>0</v>
      </c>
      <c r="AM3" s="49" t="str">
        <f>IF(AND(AK3&gt;0,AL3&gt;0),AK3/AL3,IF(AND(AK3&gt;0,AL3=0),100%,IF(AND(AK3=0,AL3&gt;0),0,IF(AND(AK3=0,AL3=0),"***",0))))</f>
        <v>***</v>
      </c>
      <c r="AN3" s="38"/>
      <c r="AO3" s="38">
        <f>+IFERROR(VLOOKUP($A3,'Goals &amp; Budget 2026'!$A$2:$EJ$49,101,FALSE),0)</f>
        <v>30</v>
      </c>
      <c r="AP3" s="50">
        <f>IF(AND(AN3&gt;0,AO3&gt;0),AN3/AO3,IF(AND(AN3&gt;0,AO3=0),100%,IF(AND(AN3=0,AO3&gt;0),0,IF(AND(AN3=0,AO3=0),"***",0))))</f>
        <v>0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0">
        <f t="shared" ref="D4:D32" si="0">+G4</f>
        <v>0</v>
      </c>
      <c r="E4" s="73">
        <f t="shared" ref="E4:E32" si="1">+H4</f>
        <v>0</v>
      </c>
      <c r="F4" s="231" t="str">
        <f t="shared" ref="F4:F32" si="2">IF(AND(D4&gt;0,E4&gt;0),D4/E4,IF(AND(D4&gt;0,E4=0),100%,IF(AND(D4=0,E4&gt;0),0,IF(AND(D4=0,E4=0),"***",0))))</f>
        <v>***</v>
      </c>
      <c r="G4" s="73"/>
      <c r="H4" s="73">
        <f>+IFERROR(VLOOKUP($A4,'Goals &amp; Budget 2026'!$A$2:$EJ$49,90,FALSE),0)</f>
        <v>0</v>
      </c>
      <c r="I4" s="84" t="str">
        <f t="shared" ref="I4:I32" si="3">IF(AND(G4&gt;0,H4&gt;0),G4/H4,IF(AND(G4&gt;0,H4=0),100%,IF(AND(G4=0,H4&gt;0),0,IF(AND(G4=0,H4=0),"***",0))))</f>
        <v>***</v>
      </c>
      <c r="J4" s="73"/>
      <c r="K4" s="73">
        <f>+IFERROR(VLOOKUP($A4,'Goals &amp; Budget 2026'!$A$2:$EJ$49,91,FALSE),0)</f>
        <v>0</v>
      </c>
      <c r="L4" s="84" t="str">
        <f t="shared" ref="L4:L32" si="4">IF(AND(J4&gt;0,K4&gt;0),J4/K4,IF(AND(J4&gt;0,K4=0),100%,IF(AND(J4=0,K4&gt;0),0,IF(AND(J4=0,K4=0),"***",0))))</f>
        <v>***</v>
      </c>
      <c r="M4" s="73"/>
      <c r="N4" s="73">
        <f>+IFERROR(VLOOKUP($A4,'Goals &amp; Budget 2026'!$A$2:$EJ$49,92,FALSE),0)</f>
        <v>0</v>
      </c>
      <c r="O4" s="231" t="str">
        <f t="shared" ref="O4:O32" si="5">IF(AND(M4&gt;0,N4&gt;0),M4/N4,IF(AND(M4&gt;0,N4=0),100%,IF(AND(M4=0,N4&gt;0),0,IF(AND(M4=0,N4=0),"***",0))))</f>
        <v>***</v>
      </c>
      <c r="P4" s="73"/>
      <c r="Q4" s="73">
        <f>+IFERROR(VLOOKUP($A4,'Goals &amp; Budget 2026'!$A$2:$EJ$49,93,FALSE),0)</f>
        <v>0</v>
      </c>
      <c r="R4" s="84" t="str">
        <f t="shared" ref="R4:R32" si="6">IF(AND(P4&gt;0,Q4&gt;0),P4/Q4,IF(AND(P4&gt;0,Q4=0),100%,IF(AND(P4=0,Q4&gt;0),0,IF(AND(P4=0,Q4=0),"***",0))))</f>
        <v>***</v>
      </c>
      <c r="S4" s="73"/>
      <c r="T4" s="73">
        <f>+IFERROR(VLOOKUP($A4,'Goals &amp; Budget 2026'!$A$2:$EJ$49,94,FALSE),0)</f>
        <v>0</v>
      </c>
      <c r="U4" s="84" t="str">
        <f t="shared" ref="U4:U32" si="7">IF(AND(S4&gt;0,T4&gt;0),S4/T4,IF(AND(S4&gt;0,T4=0),100%,IF(AND(S4=0,T4&gt;0),0,IF(AND(S4=0,T4=0),"***",0))))</f>
        <v>***</v>
      </c>
      <c r="V4" s="73"/>
      <c r="W4" s="73">
        <f>+IFERROR(VLOOKUP($A4,'Goals &amp; Budget 2026'!$A$2:$EJ$49,95,FALSE),0)</f>
        <v>0</v>
      </c>
      <c r="X4" s="231" t="str">
        <f t="shared" ref="X4:X32" si="8">IF(AND(V4&gt;0,W4&gt;0),V4/W4,IF(AND(V4&gt;0,W4=0),100%,IF(AND(V4=0,W4&gt;0),0,IF(AND(V4=0,W4=0),"***",0))))</f>
        <v>***</v>
      </c>
      <c r="Y4" s="73"/>
      <c r="Z4" s="73">
        <f>+IFERROR(VLOOKUP($A4,'Goals &amp; Budget 2026'!$A$2:$EJ$49,96,FALSE),0)</f>
        <v>0</v>
      </c>
      <c r="AA4" s="84" t="str">
        <f t="shared" ref="AA4:AA32" si="9">IF(AND(Y4&gt;0,Z4&gt;0),Y4/Z4,IF(AND(Y4&gt;0,Z4=0),100%,IF(AND(Y4=0,Z4&gt;0),0,IF(AND(Y4=0,Z4=0),"***",0))))</f>
        <v>***</v>
      </c>
      <c r="AB4" s="73"/>
      <c r="AC4" s="73">
        <f>+IFERROR(VLOOKUP($A4,'Goals &amp; Budget 2026'!$A$2:$EJ$49,97,FALSE),0)</f>
        <v>0</v>
      </c>
      <c r="AD4" s="84" t="str">
        <f t="shared" ref="AD4:AD32" si="10">IF(AND(AB4&gt;0,AC4&gt;0),AB4/AC4,IF(AND(AB4&gt;0,AC4=0),100%,IF(AND(AB4=0,AC4&gt;0),0,IF(AND(AB4=0,AC4=0),"***",0))))</f>
        <v>***</v>
      </c>
      <c r="AE4" s="73"/>
      <c r="AF4" s="73">
        <f>+IFERROR(VLOOKUP($A4,'Goals &amp; Budget 2026'!$A$2:$EJ$49,98,FALSE),0)</f>
        <v>0</v>
      </c>
      <c r="AG4" s="231" t="str">
        <f t="shared" ref="AG4:AG32" si="11">IF(AND(AE4&gt;0,AF4&gt;0),AE4/AF4,IF(AND(AE4&gt;0,AF4=0),100%,IF(AND(AE4=0,AF4&gt;0),0,IF(AND(AE4=0,AF4=0),"***",0))))</f>
        <v>***</v>
      </c>
      <c r="AH4" s="73"/>
      <c r="AI4" s="73">
        <f>+IFERROR(VLOOKUP($A4,'Goals &amp; Budget 2026'!$A$2:$EJ$49,99,FALSE),0)</f>
        <v>0</v>
      </c>
      <c r="AJ4" s="84" t="str">
        <f t="shared" ref="AJ4:AJ32" si="12">IF(AND(AH4&gt;0,AI4&gt;0),AH4/AI4,IF(AND(AH4&gt;0,AI4=0),100%,IF(AND(AH4=0,AI4&gt;0),0,IF(AND(AH4=0,AI4=0),"***",0))))</f>
        <v>***</v>
      </c>
      <c r="AK4" s="73"/>
      <c r="AL4" s="73">
        <f>+IFERROR(VLOOKUP($A4,'Goals &amp; Budget 2026'!$A$2:$EJ$49,100,FALSE),0)</f>
        <v>0</v>
      </c>
      <c r="AM4" s="84" t="str">
        <f t="shared" ref="AM4:AM32" si="13">IF(AND(AK4&gt;0,AL4&gt;0),AK4/AL4,IF(AND(AK4&gt;0,AL4=0),100%,IF(AND(AK4=0,AL4&gt;0),0,IF(AND(AK4=0,AL4=0),"***",0))))</f>
        <v>***</v>
      </c>
      <c r="AN4" s="73"/>
      <c r="AO4" s="73">
        <f>+IFERROR(VLOOKUP($A4,'Goals &amp; Budget 2026'!$A$2:$EJ$49,101,FALSE),0)</f>
        <v>0</v>
      </c>
      <c r="AP4" s="85" t="str">
        <f t="shared" ref="AP4:AP32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0">
        <f t="shared" si="0"/>
        <v>0</v>
      </c>
      <c r="E5" s="73">
        <f t="shared" si="1"/>
        <v>0</v>
      </c>
      <c r="F5" s="231" t="str">
        <f t="shared" si="2"/>
        <v>***</v>
      </c>
      <c r="G5" s="73"/>
      <c r="H5" s="73">
        <f>+IFERROR(VLOOKUP($A5,'Goals &amp; Budget 2026'!$A$2:$EJ$49,90,FALSE),0)</f>
        <v>0</v>
      </c>
      <c r="I5" s="84" t="str">
        <f t="shared" si="3"/>
        <v>***</v>
      </c>
      <c r="J5" s="73"/>
      <c r="K5" s="73">
        <f>+IFERROR(VLOOKUP($A5,'Goals &amp; Budget 2026'!$A$2:$EJ$49,91,FALSE),0)</f>
        <v>0</v>
      </c>
      <c r="L5" s="84" t="str">
        <f t="shared" si="4"/>
        <v>***</v>
      </c>
      <c r="M5" s="73"/>
      <c r="N5" s="73">
        <f>+IFERROR(VLOOKUP($A5,'Goals &amp; Budget 2026'!$A$2:$EJ$49,92,FALSE),0)</f>
        <v>0</v>
      </c>
      <c r="O5" s="231" t="str">
        <f t="shared" si="5"/>
        <v>***</v>
      </c>
      <c r="P5" s="73"/>
      <c r="Q5" s="73">
        <f>+IFERROR(VLOOKUP($A5,'Goals &amp; Budget 2026'!$A$2:$EJ$49,93,FALSE),0)</f>
        <v>0</v>
      </c>
      <c r="R5" s="84" t="str">
        <f t="shared" si="6"/>
        <v>***</v>
      </c>
      <c r="S5" s="73"/>
      <c r="T5" s="73">
        <f>+IFERROR(VLOOKUP($A5,'Goals &amp; Budget 2026'!$A$2:$EJ$49,94,FALSE),0)</f>
        <v>0</v>
      </c>
      <c r="U5" s="84" t="str">
        <f t="shared" si="7"/>
        <v>***</v>
      </c>
      <c r="V5" s="73"/>
      <c r="W5" s="73">
        <f>+IFERROR(VLOOKUP($A5,'Goals &amp; Budget 2026'!$A$2:$EJ$49,95,FALSE),0)</f>
        <v>0</v>
      </c>
      <c r="X5" s="231" t="str">
        <f t="shared" si="8"/>
        <v>***</v>
      </c>
      <c r="Y5" s="73"/>
      <c r="Z5" s="73">
        <f>+IFERROR(VLOOKUP($A5,'Goals &amp; Budget 2026'!$A$2:$EJ$49,96,FALSE),0)</f>
        <v>0</v>
      </c>
      <c r="AA5" s="84" t="str">
        <f t="shared" si="9"/>
        <v>***</v>
      </c>
      <c r="AB5" s="73"/>
      <c r="AC5" s="73">
        <f>+IFERROR(VLOOKUP($A5,'Goals &amp; Budget 2026'!$A$2:$EJ$49,97,FALSE),0)</f>
        <v>0</v>
      </c>
      <c r="AD5" s="84" t="str">
        <f t="shared" si="10"/>
        <v>***</v>
      </c>
      <c r="AE5" s="73"/>
      <c r="AF5" s="73">
        <f>+IFERROR(VLOOKUP($A5,'Goals &amp; Budget 2026'!$A$2:$EJ$49,98,FALSE),0)</f>
        <v>0</v>
      </c>
      <c r="AG5" s="231" t="str">
        <f t="shared" si="11"/>
        <v>***</v>
      </c>
      <c r="AH5" s="73"/>
      <c r="AI5" s="73">
        <f>+IFERROR(VLOOKUP($A5,'Goals &amp; Budget 2026'!$A$2:$EJ$49,99,FALSE),0)</f>
        <v>0</v>
      </c>
      <c r="AJ5" s="84" t="str">
        <f t="shared" si="12"/>
        <v>***</v>
      </c>
      <c r="AK5" s="73"/>
      <c r="AL5" s="73">
        <f>+IFERROR(VLOOKUP($A5,'Goals &amp; Budget 2026'!$A$2:$EJ$49,100,FALSE),0)</f>
        <v>0</v>
      </c>
      <c r="AM5" s="84" t="str">
        <f t="shared" si="13"/>
        <v>***</v>
      </c>
      <c r="AN5" s="73"/>
      <c r="AO5" s="73">
        <f>+IFERROR(VLOOKUP($A5,'Goals &amp; Budget 2026'!$A$2:$EJ$49,101,FALSE),0)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0">
        <f t="shared" si="0"/>
        <v>0</v>
      </c>
      <c r="E6" s="73">
        <f t="shared" si="1"/>
        <v>0</v>
      </c>
      <c r="F6" s="231" t="str">
        <f t="shared" si="2"/>
        <v>***</v>
      </c>
      <c r="G6" s="73"/>
      <c r="H6" s="73">
        <f>+IFERROR(VLOOKUP($A6,'Goals &amp; Budget 2026'!$A$2:$EJ$49,90,FALSE),0)</f>
        <v>0</v>
      </c>
      <c r="I6" s="84" t="str">
        <f t="shared" si="3"/>
        <v>***</v>
      </c>
      <c r="J6" s="73"/>
      <c r="K6" s="73">
        <f>+IFERROR(VLOOKUP($A6,'Goals &amp; Budget 2026'!$A$2:$EJ$49,91,FALSE),0)</f>
        <v>0</v>
      </c>
      <c r="L6" s="84" t="str">
        <f t="shared" si="4"/>
        <v>***</v>
      </c>
      <c r="M6" s="73"/>
      <c r="N6" s="73">
        <f>+IFERROR(VLOOKUP($A6,'Goals &amp; Budget 2026'!$A$2:$EJ$49,92,FALSE),0)</f>
        <v>0</v>
      </c>
      <c r="O6" s="231" t="str">
        <f t="shared" si="5"/>
        <v>***</v>
      </c>
      <c r="P6" s="73"/>
      <c r="Q6" s="73">
        <f>+IFERROR(VLOOKUP($A6,'Goals &amp; Budget 2026'!$A$2:$EJ$49,93,FALSE),0)</f>
        <v>0</v>
      </c>
      <c r="R6" s="84" t="str">
        <f t="shared" si="6"/>
        <v>***</v>
      </c>
      <c r="S6" s="73"/>
      <c r="T6" s="73">
        <f>+IFERROR(VLOOKUP($A6,'Goals &amp; Budget 2026'!$A$2:$EJ$49,94,FALSE),0)</f>
        <v>0</v>
      </c>
      <c r="U6" s="84" t="str">
        <f t="shared" si="7"/>
        <v>***</v>
      </c>
      <c r="V6" s="73"/>
      <c r="W6" s="73">
        <f>+IFERROR(VLOOKUP($A6,'Goals &amp; Budget 2026'!$A$2:$EJ$49,95,FALSE),0)</f>
        <v>0</v>
      </c>
      <c r="X6" s="231" t="str">
        <f t="shared" si="8"/>
        <v>***</v>
      </c>
      <c r="Y6" s="73"/>
      <c r="Z6" s="73">
        <f>+IFERROR(VLOOKUP($A6,'Goals &amp; Budget 2026'!$A$2:$EJ$49,96,FALSE),0)</f>
        <v>0</v>
      </c>
      <c r="AA6" s="84" t="str">
        <f t="shared" si="9"/>
        <v>***</v>
      </c>
      <c r="AB6" s="73"/>
      <c r="AC6" s="73">
        <f>+IFERROR(VLOOKUP($A6,'Goals &amp; Budget 2026'!$A$2:$EJ$49,97,FALSE),0)</f>
        <v>0</v>
      </c>
      <c r="AD6" s="84" t="str">
        <f t="shared" si="10"/>
        <v>***</v>
      </c>
      <c r="AE6" s="73"/>
      <c r="AF6" s="73">
        <f>+IFERROR(VLOOKUP($A6,'Goals &amp; Budget 2026'!$A$2:$EJ$49,98,FALSE),0)</f>
        <v>0</v>
      </c>
      <c r="AG6" s="231" t="str">
        <f t="shared" si="11"/>
        <v>***</v>
      </c>
      <c r="AH6" s="73"/>
      <c r="AI6" s="73">
        <f>+IFERROR(VLOOKUP($A6,'Goals &amp; Budget 2026'!$A$2:$EJ$49,99,FALSE),0)</f>
        <v>0</v>
      </c>
      <c r="AJ6" s="84" t="str">
        <f t="shared" si="12"/>
        <v>***</v>
      </c>
      <c r="AK6" s="73"/>
      <c r="AL6" s="73">
        <f>+IFERROR(VLOOKUP($A6,'Goals &amp; Budget 2026'!$A$2:$EJ$49,100,FALSE),0)</f>
        <v>0</v>
      </c>
      <c r="AM6" s="84" t="str">
        <f t="shared" si="13"/>
        <v>***</v>
      </c>
      <c r="AN6" s="73"/>
      <c r="AO6" s="73">
        <f>+IFERROR(VLOOKUP($A6,'Goals &amp; Budget 2026'!$A$2:$EJ$49,101,FALSE),0)</f>
        <v>0</v>
      </c>
      <c r="AP6" s="85" t="str">
        <f t="shared" si="14"/>
        <v>***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0">
        <f t="shared" si="0"/>
        <v>0</v>
      </c>
      <c r="E7" s="73">
        <f t="shared" si="1"/>
        <v>0</v>
      </c>
      <c r="F7" s="231" t="str">
        <f t="shared" si="2"/>
        <v>***</v>
      </c>
      <c r="G7" s="73"/>
      <c r="H7" s="73">
        <f>+IFERROR(VLOOKUP($A7,'Goals &amp; Budget 2026'!$A$2:$EJ$49,90,FALSE),0)</f>
        <v>0</v>
      </c>
      <c r="I7" s="84" t="str">
        <f t="shared" si="3"/>
        <v>***</v>
      </c>
      <c r="J7" s="73"/>
      <c r="K7" s="73">
        <f>+IFERROR(VLOOKUP($A7,'Goals &amp; Budget 2026'!$A$2:$EJ$49,91,FALSE),0)</f>
        <v>0</v>
      </c>
      <c r="L7" s="84" t="str">
        <f t="shared" si="4"/>
        <v>***</v>
      </c>
      <c r="M7" s="73"/>
      <c r="N7" s="73">
        <f>+IFERROR(VLOOKUP($A7,'Goals &amp; Budget 2026'!$A$2:$EJ$49,92,FALSE),0)</f>
        <v>0</v>
      </c>
      <c r="O7" s="231" t="str">
        <f t="shared" si="5"/>
        <v>***</v>
      </c>
      <c r="P7" s="73"/>
      <c r="Q7" s="73">
        <f>+IFERROR(VLOOKUP($A7,'Goals &amp; Budget 2026'!$A$2:$EJ$49,93,FALSE),0)</f>
        <v>0</v>
      </c>
      <c r="R7" s="84" t="str">
        <f t="shared" si="6"/>
        <v>***</v>
      </c>
      <c r="S7" s="73"/>
      <c r="T7" s="73">
        <f>+IFERROR(VLOOKUP($A7,'Goals &amp; Budget 2026'!$A$2:$EJ$49,94,FALSE),0)</f>
        <v>0</v>
      </c>
      <c r="U7" s="84" t="str">
        <f t="shared" si="7"/>
        <v>***</v>
      </c>
      <c r="V7" s="73"/>
      <c r="W7" s="73">
        <f>+IFERROR(VLOOKUP($A7,'Goals &amp; Budget 2026'!$A$2:$EJ$49,95,FALSE),0)</f>
        <v>0</v>
      </c>
      <c r="X7" s="231" t="str">
        <f t="shared" si="8"/>
        <v>***</v>
      </c>
      <c r="Y7" s="73"/>
      <c r="Z7" s="73">
        <f>+IFERROR(VLOOKUP($A7,'Goals &amp; Budget 2026'!$A$2:$EJ$49,96,FALSE),0)</f>
        <v>0</v>
      </c>
      <c r="AA7" s="84" t="str">
        <f t="shared" si="9"/>
        <v>***</v>
      </c>
      <c r="AB7" s="73"/>
      <c r="AC7" s="73">
        <f>+IFERROR(VLOOKUP($A7,'Goals &amp; Budget 2026'!$A$2:$EJ$49,97,FALSE),0)</f>
        <v>0</v>
      </c>
      <c r="AD7" s="84" t="str">
        <f t="shared" si="10"/>
        <v>***</v>
      </c>
      <c r="AE7" s="73"/>
      <c r="AF7" s="73">
        <f>+IFERROR(VLOOKUP($A7,'Goals &amp; Budget 2026'!$A$2:$EJ$49,98,FALSE),0)</f>
        <v>0</v>
      </c>
      <c r="AG7" s="231" t="str">
        <f t="shared" si="11"/>
        <v>***</v>
      </c>
      <c r="AH7" s="73"/>
      <c r="AI7" s="73">
        <f>+IFERROR(VLOOKUP($A7,'Goals &amp; Budget 2026'!$A$2:$EJ$49,99,FALSE),0)</f>
        <v>0</v>
      </c>
      <c r="AJ7" s="84" t="str">
        <f t="shared" si="12"/>
        <v>***</v>
      </c>
      <c r="AK7" s="73"/>
      <c r="AL7" s="73">
        <f>+IFERROR(VLOOKUP($A7,'Goals &amp; Budget 2026'!$A$2:$EJ$49,100,FALSE),0)</f>
        <v>0</v>
      </c>
      <c r="AM7" s="84" t="str">
        <f t="shared" si="13"/>
        <v>***</v>
      </c>
      <c r="AN7" s="73"/>
      <c r="AO7" s="73">
        <f>+IFERROR(VLOOKUP($A7,'Goals &amp; Budget 2026'!$A$2:$EJ$49,101,FALSE),0)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0">
        <f t="shared" si="0"/>
        <v>0</v>
      </c>
      <c r="E8" s="73">
        <f t="shared" si="1"/>
        <v>0</v>
      </c>
      <c r="F8" s="231" t="str">
        <f t="shared" si="2"/>
        <v>***</v>
      </c>
      <c r="G8" s="73"/>
      <c r="H8" s="73">
        <f>+IFERROR(VLOOKUP($A8,'Goals &amp; Budget 2026'!$A$2:$EJ$49,90,FALSE),0)</f>
        <v>0</v>
      </c>
      <c r="I8" s="84" t="str">
        <f t="shared" si="3"/>
        <v>***</v>
      </c>
      <c r="J8" s="73"/>
      <c r="K8" s="73">
        <f>+IFERROR(VLOOKUP($A8,'Goals &amp; Budget 2026'!$A$2:$EJ$49,91,FALSE),0)</f>
        <v>0</v>
      </c>
      <c r="L8" s="84" t="str">
        <f t="shared" si="4"/>
        <v>***</v>
      </c>
      <c r="M8" s="73"/>
      <c r="N8" s="73">
        <f>+IFERROR(VLOOKUP($A8,'Goals &amp; Budget 2026'!$A$2:$EJ$49,92,FALSE),0)</f>
        <v>0</v>
      </c>
      <c r="O8" s="231" t="str">
        <f t="shared" si="5"/>
        <v>***</v>
      </c>
      <c r="P8" s="73"/>
      <c r="Q8" s="73">
        <f>+IFERROR(VLOOKUP($A8,'Goals &amp; Budget 2026'!$A$2:$EJ$49,93,FALSE),0)</f>
        <v>0</v>
      </c>
      <c r="R8" s="84" t="str">
        <f t="shared" si="6"/>
        <v>***</v>
      </c>
      <c r="S8" s="73"/>
      <c r="T8" s="73">
        <f>+IFERROR(VLOOKUP($A8,'Goals &amp; Budget 2026'!$A$2:$EJ$49,94,FALSE),0)</f>
        <v>0</v>
      </c>
      <c r="U8" s="84" t="str">
        <f t="shared" si="7"/>
        <v>***</v>
      </c>
      <c r="V8" s="73"/>
      <c r="W8" s="73">
        <f>+IFERROR(VLOOKUP($A8,'Goals &amp; Budget 2026'!$A$2:$EJ$49,95,FALSE),0)</f>
        <v>0</v>
      </c>
      <c r="X8" s="231" t="str">
        <f t="shared" si="8"/>
        <v>***</v>
      </c>
      <c r="Y8" s="73"/>
      <c r="Z8" s="73">
        <f>+IFERROR(VLOOKUP($A8,'Goals &amp; Budget 2026'!$A$2:$EJ$49,96,FALSE),0)</f>
        <v>0</v>
      </c>
      <c r="AA8" s="84" t="str">
        <f t="shared" si="9"/>
        <v>***</v>
      </c>
      <c r="AB8" s="73"/>
      <c r="AC8" s="73">
        <f>+IFERROR(VLOOKUP($A8,'Goals &amp; Budget 2026'!$A$2:$EJ$49,97,FALSE),0)</f>
        <v>0</v>
      </c>
      <c r="AD8" s="84" t="str">
        <f t="shared" si="10"/>
        <v>***</v>
      </c>
      <c r="AE8" s="73"/>
      <c r="AF8" s="73">
        <f>+IFERROR(VLOOKUP($A8,'Goals &amp; Budget 2026'!$A$2:$EJ$49,98,FALSE),0)</f>
        <v>0</v>
      </c>
      <c r="AG8" s="231" t="str">
        <f t="shared" si="11"/>
        <v>***</v>
      </c>
      <c r="AH8" s="73"/>
      <c r="AI8" s="73">
        <f>+IFERROR(VLOOKUP($A8,'Goals &amp; Budget 2026'!$A$2:$EJ$49,99,FALSE),0)</f>
        <v>0</v>
      </c>
      <c r="AJ8" s="84" t="str">
        <f t="shared" si="12"/>
        <v>***</v>
      </c>
      <c r="AK8" s="73"/>
      <c r="AL8" s="73">
        <f>+IFERROR(VLOOKUP($A8,'Goals &amp; Budget 2026'!$A$2:$EJ$49,100,FALSE),0)</f>
        <v>0</v>
      </c>
      <c r="AM8" s="84" t="str">
        <f t="shared" si="13"/>
        <v>***</v>
      </c>
      <c r="AN8" s="73"/>
      <c r="AO8" s="73">
        <f>+IFERROR(VLOOKUP($A8,'Goals &amp; Budget 2026'!$A$2:$EJ$49,101,FALSE),0)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0">
        <f t="shared" si="0"/>
        <v>0</v>
      </c>
      <c r="E9" s="73">
        <f t="shared" si="1"/>
        <v>0</v>
      </c>
      <c r="F9" s="231" t="str">
        <f t="shared" si="2"/>
        <v>***</v>
      </c>
      <c r="G9" s="73"/>
      <c r="H9" s="73">
        <f>+IFERROR(VLOOKUP($A9,'Goals &amp; Budget 2026'!$A$2:$EJ$49,90,FALSE),0)</f>
        <v>0</v>
      </c>
      <c r="I9" s="84" t="str">
        <f t="shared" si="3"/>
        <v>***</v>
      </c>
      <c r="J9" s="73"/>
      <c r="K9" s="73">
        <f>+IFERROR(VLOOKUP($A9,'Goals &amp; Budget 2026'!$A$2:$EJ$49,91,FALSE),0)</f>
        <v>0</v>
      </c>
      <c r="L9" s="84" t="str">
        <f t="shared" si="4"/>
        <v>***</v>
      </c>
      <c r="M9" s="73"/>
      <c r="N9" s="73">
        <f>+IFERROR(VLOOKUP($A9,'Goals &amp; Budget 2026'!$A$2:$EJ$49,92,FALSE),0)</f>
        <v>0</v>
      </c>
      <c r="O9" s="231" t="str">
        <f t="shared" si="5"/>
        <v>***</v>
      </c>
      <c r="P9" s="73"/>
      <c r="Q9" s="73">
        <f>+IFERROR(VLOOKUP($A9,'Goals &amp; Budget 2026'!$A$2:$EJ$49,93,FALSE),0)</f>
        <v>0</v>
      </c>
      <c r="R9" s="84" t="str">
        <f t="shared" si="6"/>
        <v>***</v>
      </c>
      <c r="S9" s="73"/>
      <c r="T9" s="73">
        <f>+IFERROR(VLOOKUP($A9,'Goals &amp; Budget 2026'!$A$2:$EJ$49,94,FALSE),0)</f>
        <v>0</v>
      </c>
      <c r="U9" s="84" t="str">
        <f t="shared" si="7"/>
        <v>***</v>
      </c>
      <c r="V9" s="73"/>
      <c r="W9" s="73">
        <f>+IFERROR(VLOOKUP($A9,'Goals &amp; Budget 2026'!$A$2:$EJ$49,95,FALSE),0)</f>
        <v>0</v>
      </c>
      <c r="X9" s="231" t="str">
        <f t="shared" si="8"/>
        <v>***</v>
      </c>
      <c r="Y9" s="73"/>
      <c r="Z9" s="73">
        <f>+IFERROR(VLOOKUP($A9,'Goals &amp; Budget 2026'!$A$2:$EJ$49,96,FALSE),0)</f>
        <v>0</v>
      </c>
      <c r="AA9" s="84" t="str">
        <f t="shared" si="9"/>
        <v>***</v>
      </c>
      <c r="AB9" s="73"/>
      <c r="AC9" s="73">
        <f>+IFERROR(VLOOKUP($A9,'Goals &amp; Budget 2026'!$A$2:$EJ$49,97,FALSE),0)</f>
        <v>0</v>
      </c>
      <c r="AD9" s="84" t="str">
        <f t="shared" si="10"/>
        <v>***</v>
      </c>
      <c r="AE9" s="73"/>
      <c r="AF9" s="73">
        <f>+IFERROR(VLOOKUP($A9,'Goals &amp; Budget 2026'!$A$2:$EJ$49,98,FALSE),0)</f>
        <v>0</v>
      </c>
      <c r="AG9" s="231" t="str">
        <f t="shared" si="11"/>
        <v>***</v>
      </c>
      <c r="AH9" s="73"/>
      <c r="AI9" s="73">
        <f>+IFERROR(VLOOKUP($A9,'Goals &amp; Budget 2026'!$A$2:$EJ$49,99,FALSE),0)</f>
        <v>0</v>
      </c>
      <c r="AJ9" s="84" t="str">
        <f t="shared" si="12"/>
        <v>***</v>
      </c>
      <c r="AK9" s="73"/>
      <c r="AL9" s="73">
        <f>+IFERROR(VLOOKUP($A9,'Goals &amp; Budget 2026'!$A$2:$EJ$49,100,FALSE),0)</f>
        <v>0</v>
      </c>
      <c r="AM9" s="84" t="str">
        <f t="shared" si="13"/>
        <v>***</v>
      </c>
      <c r="AN9" s="73"/>
      <c r="AO9" s="73">
        <f>+IFERROR(VLOOKUP($A9,'Goals &amp; Budget 2026'!$A$2:$EJ$49,101,FALSE),0)</f>
        <v>0</v>
      </c>
      <c r="AP9" s="85" t="str">
        <f t="shared" si="14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0">
        <f t="shared" si="0"/>
        <v>0</v>
      </c>
      <c r="E10" s="73">
        <f t="shared" si="1"/>
        <v>0</v>
      </c>
      <c r="F10" s="231" t="str">
        <f t="shared" si="2"/>
        <v>***</v>
      </c>
      <c r="G10" s="73"/>
      <c r="H10" s="73">
        <f>+IFERROR(VLOOKUP($A10,'Goals &amp; Budget 2026'!$A$2:$EJ$49,90,FALSE),0)</f>
        <v>0</v>
      </c>
      <c r="I10" s="84" t="str">
        <f t="shared" si="3"/>
        <v>***</v>
      </c>
      <c r="J10" s="73"/>
      <c r="K10" s="73">
        <f>+IFERROR(VLOOKUP($A10,'Goals &amp; Budget 2026'!$A$2:$EJ$49,91,FALSE),0)</f>
        <v>0</v>
      </c>
      <c r="L10" s="84" t="str">
        <f t="shared" si="4"/>
        <v>***</v>
      </c>
      <c r="M10" s="73"/>
      <c r="N10" s="73">
        <f>+IFERROR(VLOOKUP($A10,'Goals &amp; Budget 2026'!$A$2:$EJ$49,92,FALSE),0)</f>
        <v>0</v>
      </c>
      <c r="O10" s="231" t="str">
        <f t="shared" si="5"/>
        <v>***</v>
      </c>
      <c r="P10" s="73"/>
      <c r="Q10" s="73">
        <f>+IFERROR(VLOOKUP($A10,'Goals &amp; Budget 2026'!$A$2:$EJ$49,93,FALSE),0)</f>
        <v>0</v>
      </c>
      <c r="R10" s="84" t="str">
        <f t="shared" si="6"/>
        <v>***</v>
      </c>
      <c r="S10" s="73"/>
      <c r="T10" s="73">
        <f>+IFERROR(VLOOKUP($A10,'Goals &amp; Budget 2026'!$A$2:$EJ$49,94,FALSE),0)</f>
        <v>0</v>
      </c>
      <c r="U10" s="84" t="str">
        <f t="shared" si="7"/>
        <v>***</v>
      </c>
      <c r="V10" s="73"/>
      <c r="W10" s="73">
        <f>+IFERROR(VLOOKUP($A10,'Goals &amp; Budget 2026'!$A$2:$EJ$49,95,FALSE),0)</f>
        <v>0</v>
      </c>
      <c r="X10" s="231" t="str">
        <f t="shared" si="8"/>
        <v>***</v>
      </c>
      <c r="Y10" s="73"/>
      <c r="Z10" s="73">
        <f>+IFERROR(VLOOKUP($A10,'Goals &amp; Budget 2026'!$A$2:$EJ$49,96,FALSE),0)</f>
        <v>0</v>
      </c>
      <c r="AA10" s="84" t="str">
        <f t="shared" si="9"/>
        <v>***</v>
      </c>
      <c r="AB10" s="73"/>
      <c r="AC10" s="73">
        <f>+IFERROR(VLOOKUP($A10,'Goals &amp; Budget 2026'!$A$2:$EJ$49,97,FALSE),0)</f>
        <v>0</v>
      </c>
      <c r="AD10" s="84" t="str">
        <f t="shared" si="10"/>
        <v>***</v>
      </c>
      <c r="AE10" s="73"/>
      <c r="AF10" s="73">
        <f>+IFERROR(VLOOKUP($A10,'Goals &amp; Budget 2026'!$A$2:$EJ$49,98,FALSE),0)</f>
        <v>0</v>
      </c>
      <c r="AG10" s="231" t="str">
        <f t="shared" si="11"/>
        <v>***</v>
      </c>
      <c r="AH10" s="73"/>
      <c r="AI10" s="73">
        <f>+IFERROR(VLOOKUP($A10,'Goals &amp; Budget 2026'!$A$2:$EJ$49,99,FALSE),0)</f>
        <v>0</v>
      </c>
      <c r="AJ10" s="84" t="str">
        <f t="shared" si="12"/>
        <v>***</v>
      </c>
      <c r="AK10" s="73"/>
      <c r="AL10" s="73">
        <f>+IFERROR(VLOOKUP($A10,'Goals &amp; Budget 2026'!$A$2:$EJ$49,100,FALSE),0)</f>
        <v>0</v>
      </c>
      <c r="AM10" s="84" t="str">
        <f t="shared" si="13"/>
        <v>***</v>
      </c>
      <c r="AN10" s="73"/>
      <c r="AO10" s="73">
        <f>+IFERROR(VLOOKUP($A10,'Goals &amp; Budget 2026'!$A$2:$EJ$49,101,FALSE),0)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0">
        <f t="shared" si="0"/>
        <v>0</v>
      </c>
      <c r="E11" s="73">
        <f t="shared" si="1"/>
        <v>0</v>
      </c>
      <c r="F11" s="231" t="str">
        <f t="shared" si="2"/>
        <v>***</v>
      </c>
      <c r="G11" s="73"/>
      <c r="H11" s="73">
        <f>+IFERROR(VLOOKUP($A11,'Goals &amp; Budget 2026'!$A$2:$EJ$49,90,FALSE),0)</f>
        <v>0</v>
      </c>
      <c r="I11" s="84" t="str">
        <f t="shared" si="3"/>
        <v>***</v>
      </c>
      <c r="J11" s="73"/>
      <c r="K11" s="73">
        <f>+IFERROR(VLOOKUP($A11,'Goals &amp; Budget 2026'!$A$2:$EJ$49,91,FALSE),0)</f>
        <v>0</v>
      </c>
      <c r="L11" s="84" t="str">
        <f t="shared" si="4"/>
        <v>***</v>
      </c>
      <c r="M11" s="73"/>
      <c r="N11" s="73">
        <f>+IFERROR(VLOOKUP($A11,'Goals &amp; Budget 2026'!$A$2:$EJ$49,92,FALSE),0)</f>
        <v>0</v>
      </c>
      <c r="O11" s="231" t="str">
        <f t="shared" si="5"/>
        <v>***</v>
      </c>
      <c r="P11" s="73"/>
      <c r="Q11" s="73">
        <f>+IFERROR(VLOOKUP($A11,'Goals &amp; Budget 2026'!$A$2:$EJ$49,93,FALSE),0)</f>
        <v>0</v>
      </c>
      <c r="R11" s="84" t="str">
        <f t="shared" si="6"/>
        <v>***</v>
      </c>
      <c r="S11" s="73"/>
      <c r="T11" s="73">
        <f>+IFERROR(VLOOKUP($A11,'Goals &amp; Budget 2026'!$A$2:$EJ$49,94,FALSE),0)</f>
        <v>0</v>
      </c>
      <c r="U11" s="84" t="str">
        <f t="shared" si="7"/>
        <v>***</v>
      </c>
      <c r="V11" s="73"/>
      <c r="W11" s="73">
        <f>+IFERROR(VLOOKUP($A11,'Goals &amp; Budget 2026'!$A$2:$EJ$49,95,FALSE),0)</f>
        <v>0</v>
      </c>
      <c r="X11" s="231" t="str">
        <f t="shared" si="8"/>
        <v>***</v>
      </c>
      <c r="Y11" s="73"/>
      <c r="Z11" s="73">
        <f>+IFERROR(VLOOKUP($A11,'Goals &amp; Budget 2026'!$A$2:$EJ$49,96,FALSE),0)</f>
        <v>0</v>
      </c>
      <c r="AA11" s="84" t="str">
        <f t="shared" si="9"/>
        <v>***</v>
      </c>
      <c r="AB11" s="73"/>
      <c r="AC11" s="73">
        <f>+IFERROR(VLOOKUP($A11,'Goals &amp; Budget 2026'!$A$2:$EJ$49,97,FALSE),0)</f>
        <v>0</v>
      </c>
      <c r="AD11" s="84" t="str">
        <f t="shared" si="10"/>
        <v>***</v>
      </c>
      <c r="AE11" s="73"/>
      <c r="AF11" s="73">
        <f>+IFERROR(VLOOKUP($A11,'Goals &amp; Budget 2026'!$A$2:$EJ$49,98,FALSE),0)</f>
        <v>0</v>
      </c>
      <c r="AG11" s="231" t="str">
        <f t="shared" si="11"/>
        <v>***</v>
      </c>
      <c r="AH11" s="73"/>
      <c r="AI11" s="73">
        <f>+IFERROR(VLOOKUP($A11,'Goals &amp; Budget 2026'!$A$2:$EJ$49,99,FALSE),0)</f>
        <v>0</v>
      </c>
      <c r="AJ11" s="84" t="str">
        <f t="shared" si="12"/>
        <v>***</v>
      </c>
      <c r="AK11" s="73"/>
      <c r="AL11" s="73">
        <f>+IFERROR(VLOOKUP($A11,'Goals &amp; Budget 2026'!$A$2:$EJ$49,100,FALSE),0)</f>
        <v>0</v>
      </c>
      <c r="AM11" s="84" t="str">
        <f t="shared" si="13"/>
        <v>***</v>
      </c>
      <c r="AN11" s="73"/>
      <c r="AO11" s="73">
        <f>+IFERROR(VLOOKUP($A11,'Goals &amp; Budget 2026'!$A$2:$EJ$49,101,FALSE),0)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0">
        <f t="shared" si="0"/>
        <v>0</v>
      </c>
      <c r="E12" s="73">
        <f t="shared" si="1"/>
        <v>0</v>
      </c>
      <c r="F12" s="231" t="str">
        <f t="shared" si="2"/>
        <v>***</v>
      </c>
      <c r="G12" s="73"/>
      <c r="H12" s="73">
        <f>+IFERROR(VLOOKUP($A12,'Goals &amp; Budget 2026'!$A$2:$EJ$49,90,FALSE),0)</f>
        <v>0</v>
      </c>
      <c r="I12" s="84" t="str">
        <f t="shared" si="3"/>
        <v>***</v>
      </c>
      <c r="J12" s="73"/>
      <c r="K12" s="73">
        <f>+IFERROR(VLOOKUP($A12,'Goals &amp; Budget 2026'!$A$2:$EJ$49,91,FALSE),0)</f>
        <v>0</v>
      </c>
      <c r="L12" s="84" t="str">
        <f t="shared" si="4"/>
        <v>***</v>
      </c>
      <c r="M12" s="73"/>
      <c r="N12" s="73">
        <f>+IFERROR(VLOOKUP($A12,'Goals &amp; Budget 2026'!$A$2:$EJ$49,92,FALSE),0)</f>
        <v>0</v>
      </c>
      <c r="O12" s="231" t="str">
        <f t="shared" si="5"/>
        <v>***</v>
      </c>
      <c r="P12" s="73"/>
      <c r="Q12" s="73">
        <f>+IFERROR(VLOOKUP($A12,'Goals &amp; Budget 2026'!$A$2:$EJ$49,93,FALSE),0)</f>
        <v>0</v>
      </c>
      <c r="R12" s="84" t="str">
        <f t="shared" si="6"/>
        <v>***</v>
      </c>
      <c r="S12" s="73"/>
      <c r="T12" s="73">
        <f>+IFERROR(VLOOKUP($A12,'Goals &amp; Budget 2026'!$A$2:$EJ$49,94,FALSE),0)</f>
        <v>0</v>
      </c>
      <c r="U12" s="84" t="str">
        <f t="shared" si="7"/>
        <v>***</v>
      </c>
      <c r="V12" s="73"/>
      <c r="W12" s="73">
        <f>+IFERROR(VLOOKUP($A12,'Goals &amp; Budget 2026'!$A$2:$EJ$49,95,FALSE),0)</f>
        <v>0</v>
      </c>
      <c r="X12" s="231" t="str">
        <f t="shared" si="8"/>
        <v>***</v>
      </c>
      <c r="Y12" s="73"/>
      <c r="Z12" s="73">
        <f>+IFERROR(VLOOKUP($A12,'Goals &amp; Budget 2026'!$A$2:$EJ$49,96,FALSE),0)</f>
        <v>0</v>
      </c>
      <c r="AA12" s="84" t="str">
        <f t="shared" si="9"/>
        <v>***</v>
      </c>
      <c r="AB12" s="73"/>
      <c r="AC12" s="73">
        <f>+IFERROR(VLOOKUP($A12,'Goals &amp; Budget 2026'!$A$2:$EJ$49,97,FALSE),0)</f>
        <v>0</v>
      </c>
      <c r="AD12" s="84" t="str">
        <f t="shared" si="10"/>
        <v>***</v>
      </c>
      <c r="AE12" s="73"/>
      <c r="AF12" s="73">
        <f>+IFERROR(VLOOKUP($A12,'Goals &amp; Budget 2026'!$A$2:$EJ$49,98,FALSE),0)</f>
        <v>0</v>
      </c>
      <c r="AG12" s="231" t="str">
        <f t="shared" si="11"/>
        <v>***</v>
      </c>
      <c r="AH12" s="73"/>
      <c r="AI12" s="73">
        <f>+IFERROR(VLOOKUP($A12,'Goals &amp; Budget 2026'!$A$2:$EJ$49,99,FALSE),0)</f>
        <v>0</v>
      </c>
      <c r="AJ12" s="84" t="str">
        <f t="shared" si="12"/>
        <v>***</v>
      </c>
      <c r="AK12" s="73"/>
      <c r="AL12" s="73">
        <f>+IFERROR(VLOOKUP($A12,'Goals &amp; Budget 2026'!$A$2:$EJ$49,100,FALSE),0)</f>
        <v>0</v>
      </c>
      <c r="AM12" s="84" t="str">
        <f t="shared" si="13"/>
        <v>***</v>
      </c>
      <c r="AN12" s="73"/>
      <c r="AO12" s="73">
        <f>+IFERROR(VLOOKUP($A12,'Goals &amp; Budget 2026'!$A$2:$EJ$49,101,FALSE),0)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0">
        <f t="shared" si="0"/>
        <v>0</v>
      </c>
      <c r="E13" s="73">
        <f t="shared" si="1"/>
        <v>0</v>
      </c>
      <c r="F13" s="231" t="str">
        <f t="shared" si="2"/>
        <v>***</v>
      </c>
      <c r="G13" s="73"/>
      <c r="H13" s="73">
        <f>+IFERROR(VLOOKUP($A13,'Goals &amp; Budget 2026'!$A$2:$EJ$49,90,FALSE),0)</f>
        <v>0</v>
      </c>
      <c r="I13" s="84" t="str">
        <f t="shared" si="3"/>
        <v>***</v>
      </c>
      <c r="J13" s="73"/>
      <c r="K13" s="73">
        <f>+IFERROR(VLOOKUP($A13,'Goals &amp; Budget 2026'!$A$2:$EJ$49,91,FALSE),0)</f>
        <v>0</v>
      </c>
      <c r="L13" s="84" t="str">
        <f t="shared" si="4"/>
        <v>***</v>
      </c>
      <c r="M13" s="73"/>
      <c r="N13" s="73">
        <f>+IFERROR(VLOOKUP($A13,'Goals &amp; Budget 2026'!$A$2:$EJ$49,92,FALSE),0)</f>
        <v>0</v>
      </c>
      <c r="O13" s="231" t="str">
        <f t="shared" si="5"/>
        <v>***</v>
      </c>
      <c r="P13" s="73"/>
      <c r="Q13" s="73">
        <f>+IFERROR(VLOOKUP($A13,'Goals &amp; Budget 2026'!$A$2:$EJ$49,93,FALSE),0)</f>
        <v>0</v>
      </c>
      <c r="R13" s="84" t="str">
        <f t="shared" si="6"/>
        <v>***</v>
      </c>
      <c r="S13" s="73"/>
      <c r="T13" s="73">
        <f>+IFERROR(VLOOKUP($A13,'Goals &amp; Budget 2026'!$A$2:$EJ$49,94,FALSE),0)</f>
        <v>0</v>
      </c>
      <c r="U13" s="84" t="str">
        <f t="shared" si="7"/>
        <v>***</v>
      </c>
      <c r="V13" s="73"/>
      <c r="W13" s="73">
        <f>+IFERROR(VLOOKUP($A13,'Goals &amp; Budget 2026'!$A$2:$EJ$49,95,FALSE),0)</f>
        <v>0</v>
      </c>
      <c r="X13" s="231" t="str">
        <f t="shared" si="8"/>
        <v>***</v>
      </c>
      <c r="Y13" s="73"/>
      <c r="Z13" s="73">
        <f>+IFERROR(VLOOKUP($A13,'Goals &amp; Budget 2026'!$A$2:$EJ$49,96,FALSE),0)</f>
        <v>0</v>
      </c>
      <c r="AA13" s="84" t="str">
        <f t="shared" si="9"/>
        <v>***</v>
      </c>
      <c r="AB13" s="73"/>
      <c r="AC13" s="73">
        <f>+IFERROR(VLOOKUP($A13,'Goals &amp; Budget 2026'!$A$2:$EJ$49,97,FALSE),0)</f>
        <v>0</v>
      </c>
      <c r="AD13" s="84" t="str">
        <f t="shared" si="10"/>
        <v>***</v>
      </c>
      <c r="AE13" s="73"/>
      <c r="AF13" s="73">
        <f>+IFERROR(VLOOKUP($A13,'Goals &amp; Budget 2026'!$A$2:$EJ$49,98,FALSE),0)</f>
        <v>0</v>
      </c>
      <c r="AG13" s="231" t="str">
        <f t="shared" si="11"/>
        <v>***</v>
      </c>
      <c r="AH13" s="73"/>
      <c r="AI13" s="73">
        <f>+IFERROR(VLOOKUP($A13,'Goals &amp; Budget 2026'!$A$2:$EJ$49,99,FALSE),0)</f>
        <v>0</v>
      </c>
      <c r="AJ13" s="84" t="str">
        <f t="shared" si="12"/>
        <v>***</v>
      </c>
      <c r="AK13" s="73"/>
      <c r="AL13" s="73">
        <f>+IFERROR(VLOOKUP($A13,'Goals &amp; Budget 2026'!$A$2:$EJ$49,100,FALSE),0)</f>
        <v>0</v>
      </c>
      <c r="AM13" s="84" t="str">
        <f t="shared" si="13"/>
        <v>***</v>
      </c>
      <c r="AN13" s="73"/>
      <c r="AO13" s="73">
        <f>+IFERROR(VLOOKUP($A13,'Goals &amp; Budget 2026'!$A$2:$EJ$49,101,FALSE),0)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0">
        <f t="shared" si="0"/>
        <v>0</v>
      </c>
      <c r="E14" s="73">
        <f t="shared" si="1"/>
        <v>0</v>
      </c>
      <c r="F14" s="231" t="str">
        <f t="shared" si="2"/>
        <v>***</v>
      </c>
      <c r="G14" s="73"/>
      <c r="H14" s="73">
        <f>+IFERROR(VLOOKUP($A14,'Goals &amp; Budget 2026'!$A$2:$EJ$49,90,FALSE),0)</f>
        <v>0</v>
      </c>
      <c r="I14" s="84" t="str">
        <f t="shared" si="3"/>
        <v>***</v>
      </c>
      <c r="J14" s="73"/>
      <c r="K14" s="73">
        <f>+IFERROR(VLOOKUP($A14,'Goals &amp; Budget 2026'!$A$2:$EJ$49,91,FALSE),0)</f>
        <v>0</v>
      </c>
      <c r="L14" s="84" t="str">
        <f t="shared" si="4"/>
        <v>***</v>
      </c>
      <c r="M14" s="73"/>
      <c r="N14" s="73">
        <f>+IFERROR(VLOOKUP($A14,'Goals &amp; Budget 2026'!$A$2:$EJ$49,92,FALSE),0)</f>
        <v>0</v>
      </c>
      <c r="O14" s="231" t="str">
        <f t="shared" si="5"/>
        <v>***</v>
      </c>
      <c r="P14" s="73"/>
      <c r="Q14" s="73">
        <f>+IFERROR(VLOOKUP($A14,'Goals &amp; Budget 2026'!$A$2:$EJ$49,93,FALSE),0)</f>
        <v>0</v>
      </c>
      <c r="R14" s="84" t="str">
        <f t="shared" si="6"/>
        <v>***</v>
      </c>
      <c r="S14" s="73"/>
      <c r="T14" s="73">
        <f>+IFERROR(VLOOKUP($A14,'Goals &amp; Budget 2026'!$A$2:$EJ$49,94,FALSE),0)</f>
        <v>0</v>
      </c>
      <c r="U14" s="84" t="str">
        <f t="shared" si="7"/>
        <v>***</v>
      </c>
      <c r="V14" s="73"/>
      <c r="W14" s="73">
        <f>+IFERROR(VLOOKUP($A14,'Goals &amp; Budget 2026'!$A$2:$EJ$49,95,FALSE),0)</f>
        <v>0</v>
      </c>
      <c r="X14" s="231" t="str">
        <f t="shared" si="8"/>
        <v>***</v>
      </c>
      <c r="Y14" s="73"/>
      <c r="Z14" s="73">
        <f>+IFERROR(VLOOKUP($A14,'Goals &amp; Budget 2026'!$A$2:$EJ$49,96,FALSE),0)</f>
        <v>0</v>
      </c>
      <c r="AA14" s="84" t="str">
        <f t="shared" si="9"/>
        <v>***</v>
      </c>
      <c r="AB14" s="73"/>
      <c r="AC14" s="73">
        <f>+IFERROR(VLOOKUP($A14,'Goals &amp; Budget 2026'!$A$2:$EJ$49,97,FALSE),0)</f>
        <v>0</v>
      </c>
      <c r="AD14" s="84" t="str">
        <f t="shared" si="10"/>
        <v>***</v>
      </c>
      <c r="AE14" s="73"/>
      <c r="AF14" s="73">
        <f>+IFERROR(VLOOKUP($A14,'Goals &amp; Budget 2026'!$A$2:$EJ$49,98,FALSE),0)</f>
        <v>0</v>
      </c>
      <c r="AG14" s="231" t="str">
        <f t="shared" si="11"/>
        <v>***</v>
      </c>
      <c r="AH14" s="73"/>
      <c r="AI14" s="73">
        <f>+IFERROR(VLOOKUP($A14,'Goals &amp; Budget 2026'!$A$2:$EJ$49,99,FALSE),0)</f>
        <v>0</v>
      </c>
      <c r="AJ14" s="84" t="str">
        <f t="shared" si="12"/>
        <v>***</v>
      </c>
      <c r="AK14" s="73"/>
      <c r="AL14" s="73">
        <f>+IFERROR(VLOOKUP($A14,'Goals &amp; Budget 2026'!$A$2:$EJ$49,100,FALSE),0)</f>
        <v>0</v>
      </c>
      <c r="AM14" s="84" t="str">
        <f t="shared" si="13"/>
        <v>***</v>
      </c>
      <c r="AN14" s="73"/>
      <c r="AO14" s="73">
        <f>+IFERROR(VLOOKUP($A14,'Goals &amp; Budget 2026'!$A$2:$EJ$49,101,FALSE),0)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0">
        <f t="shared" si="0"/>
        <v>0</v>
      </c>
      <c r="E15" s="73">
        <f t="shared" si="1"/>
        <v>0</v>
      </c>
      <c r="F15" s="231" t="str">
        <f t="shared" si="2"/>
        <v>***</v>
      </c>
      <c r="G15" s="73"/>
      <c r="H15" s="73">
        <f>+IFERROR(VLOOKUP($A15,'Goals &amp; Budget 2026'!$A$2:$EJ$49,90,FALSE),0)</f>
        <v>0</v>
      </c>
      <c r="I15" s="84" t="str">
        <f t="shared" si="3"/>
        <v>***</v>
      </c>
      <c r="J15" s="73"/>
      <c r="K15" s="73">
        <f>+IFERROR(VLOOKUP($A15,'Goals &amp; Budget 2026'!$A$2:$EJ$49,91,FALSE),0)</f>
        <v>0</v>
      </c>
      <c r="L15" s="84" t="str">
        <f t="shared" si="4"/>
        <v>***</v>
      </c>
      <c r="M15" s="73"/>
      <c r="N15" s="73">
        <f>+IFERROR(VLOOKUP($A15,'Goals &amp; Budget 2026'!$A$2:$EJ$49,92,FALSE),0)</f>
        <v>0</v>
      </c>
      <c r="O15" s="231" t="str">
        <f t="shared" si="5"/>
        <v>***</v>
      </c>
      <c r="P15" s="73"/>
      <c r="Q15" s="73">
        <f>+IFERROR(VLOOKUP($A15,'Goals &amp; Budget 2026'!$A$2:$EJ$49,93,FALSE),0)</f>
        <v>0</v>
      </c>
      <c r="R15" s="84" t="str">
        <f t="shared" si="6"/>
        <v>***</v>
      </c>
      <c r="S15" s="73"/>
      <c r="T15" s="73">
        <f>+IFERROR(VLOOKUP($A15,'Goals &amp; Budget 2026'!$A$2:$EJ$49,94,FALSE),0)</f>
        <v>0</v>
      </c>
      <c r="U15" s="84" t="str">
        <f t="shared" si="7"/>
        <v>***</v>
      </c>
      <c r="V15" s="73"/>
      <c r="W15" s="73">
        <f>+IFERROR(VLOOKUP($A15,'Goals &amp; Budget 2026'!$A$2:$EJ$49,95,FALSE),0)</f>
        <v>0</v>
      </c>
      <c r="X15" s="231" t="str">
        <f t="shared" si="8"/>
        <v>***</v>
      </c>
      <c r="Y15" s="73"/>
      <c r="Z15" s="73">
        <f>+IFERROR(VLOOKUP($A15,'Goals &amp; Budget 2026'!$A$2:$EJ$49,96,FALSE),0)</f>
        <v>0</v>
      </c>
      <c r="AA15" s="84" t="str">
        <f t="shared" si="9"/>
        <v>***</v>
      </c>
      <c r="AB15" s="73"/>
      <c r="AC15" s="73">
        <f>+IFERROR(VLOOKUP($A15,'Goals &amp; Budget 2026'!$A$2:$EJ$49,97,FALSE),0)</f>
        <v>0</v>
      </c>
      <c r="AD15" s="84" t="str">
        <f t="shared" si="10"/>
        <v>***</v>
      </c>
      <c r="AE15" s="73"/>
      <c r="AF15" s="73">
        <f>+IFERROR(VLOOKUP($A15,'Goals &amp; Budget 2026'!$A$2:$EJ$49,98,FALSE),0)</f>
        <v>0</v>
      </c>
      <c r="AG15" s="231" t="str">
        <f t="shared" si="11"/>
        <v>***</v>
      </c>
      <c r="AH15" s="73"/>
      <c r="AI15" s="73">
        <f>+IFERROR(VLOOKUP($A15,'Goals &amp; Budget 2026'!$A$2:$EJ$49,99,FALSE),0)</f>
        <v>0</v>
      </c>
      <c r="AJ15" s="84" t="str">
        <f t="shared" si="12"/>
        <v>***</v>
      </c>
      <c r="AK15" s="73"/>
      <c r="AL15" s="73">
        <f>+IFERROR(VLOOKUP($A15,'Goals &amp; Budget 2026'!$A$2:$EJ$49,100,FALSE),0)</f>
        <v>0</v>
      </c>
      <c r="AM15" s="84" t="str">
        <f t="shared" si="13"/>
        <v>***</v>
      </c>
      <c r="AN15" s="73"/>
      <c r="AO15" s="73">
        <f>+IFERROR(VLOOKUP($A15,'Goals &amp; Budget 2026'!$A$2:$EJ$49,101,FALSE),0)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0">
        <f t="shared" si="0"/>
        <v>0</v>
      </c>
      <c r="E16" s="73">
        <f t="shared" si="1"/>
        <v>0</v>
      </c>
      <c r="F16" s="231" t="str">
        <f t="shared" si="2"/>
        <v>***</v>
      </c>
      <c r="G16" s="73"/>
      <c r="H16" s="73">
        <f>+IFERROR(VLOOKUP($A16,'Goals &amp; Budget 2026'!$A$2:$EJ$49,90,FALSE),0)</f>
        <v>0</v>
      </c>
      <c r="I16" s="84" t="str">
        <f t="shared" si="3"/>
        <v>***</v>
      </c>
      <c r="J16" s="73"/>
      <c r="K16" s="73">
        <f>+IFERROR(VLOOKUP($A16,'Goals &amp; Budget 2026'!$A$2:$EJ$49,91,FALSE),0)</f>
        <v>0</v>
      </c>
      <c r="L16" s="84" t="str">
        <f t="shared" si="4"/>
        <v>***</v>
      </c>
      <c r="M16" s="73"/>
      <c r="N16" s="73">
        <f>+IFERROR(VLOOKUP($A16,'Goals &amp; Budget 2026'!$A$2:$EJ$49,92,FALSE),0)</f>
        <v>0</v>
      </c>
      <c r="O16" s="231" t="str">
        <f t="shared" si="5"/>
        <v>***</v>
      </c>
      <c r="P16" s="73"/>
      <c r="Q16" s="73">
        <f>+IFERROR(VLOOKUP($A16,'Goals &amp; Budget 2026'!$A$2:$EJ$49,93,FALSE),0)</f>
        <v>0</v>
      </c>
      <c r="R16" s="84" t="str">
        <f t="shared" si="6"/>
        <v>***</v>
      </c>
      <c r="S16" s="73"/>
      <c r="T16" s="73">
        <f>+IFERROR(VLOOKUP($A16,'Goals &amp; Budget 2026'!$A$2:$EJ$49,94,FALSE),0)</f>
        <v>0</v>
      </c>
      <c r="U16" s="84" t="str">
        <f t="shared" si="7"/>
        <v>***</v>
      </c>
      <c r="V16" s="73"/>
      <c r="W16" s="73">
        <f>+IFERROR(VLOOKUP($A16,'Goals &amp; Budget 2026'!$A$2:$EJ$49,95,FALSE),0)</f>
        <v>0</v>
      </c>
      <c r="X16" s="231" t="str">
        <f t="shared" si="8"/>
        <v>***</v>
      </c>
      <c r="Y16" s="73"/>
      <c r="Z16" s="73">
        <f>+IFERROR(VLOOKUP($A16,'Goals &amp; Budget 2026'!$A$2:$EJ$49,96,FALSE),0)</f>
        <v>0</v>
      </c>
      <c r="AA16" s="84" t="str">
        <f t="shared" si="9"/>
        <v>***</v>
      </c>
      <c r="AB16" s="73"/>
      <c r="AC16" s="73">
        <f>+IFERROR(VLOOKUP($A16,'Goals &amp; Budget 2026'!$A$2:$EJ$49,97,FALSE),0)</f>
        <v>0</v>
      </c>
      <c r="AD16" s="84" t="str">
        <f t="shared" si="10"/>
        <v>***</v>
      </c>
      <c r="AE16" s="73"/>
      <c r="AF16" s="73">
        <f>+IFERROR(VLOOKUP($A16,'Goals &amp; Budget 2026'!$A$2:$EJ$49,98,FALSE),0)</f>
        <v>0</v>
      </c>
      <c r="AG16" s="231" t="str">
        <f t="shared" si="11"/>
        <v>***</v>
      </c>
      <c r="AH16" s="73"/>
      <c r="AI16" s="73">
        <f>+IFERROR(VLOOKUP($A16,'Goals &amp; Budget 2026'!$A$2:$EJ$49,99,FALSE),0)</f>
        <v>0</v>
      </c>
      <c r="AJ16" s="84" t="str">
        <f t="shared" si="12"/>
        <v>***</v>
      </c>
      <c r="AK16" s="73"/>
      <c r="AL16" s="73">
        <f>+IFERROR(VLOOKUP($A16,'Goals &amp; Budget 2026'!$A$2:$EJ$49,100,FALSE),0)</f>
        <v>0</v>
      </c>
      <c r="AM16" s="84" t="str">
        <f t="shared" si="13"/>
        <v>***</v>
      </c>
      <c r="AN16" s="73"/>
      <c r="AO16" s="73">
        <f>+IFERROR(VLOOKUP($A16,'Goals &amp; Budget 2026'!$A$2:$EJ$49,101,FALSE),0)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0">
        <f t="shared" si="0"/>
        <v>0</v>
      </c>
      <c r="E17" s="73">
        <f t="shared" si="1"/>
        <v>0</v>
      </c>
      <c r="F17" s="231" t="str">
        <f t="shared" si="2"/>
        <v>***</v>
      </c>
      <c r="G17" s="73"/>
      <c r="H17" s="73">
        <f>+IFERROR(VLOOKUP($A17,'Goals &amp; Budget 2026'!$A$2:$EJ$49,90,FALSE),0)</f>
        <v>0</v>
      </c>
      <c r="I17" s="84" t="str">
        <f t="shared" si="3"/>
        <v>***</v>
      </c>
      <c r="J17" s="73"/>
      <c r="K17" s="73">
        <f>+IFERROR(VLOOKUP($A17,'Goals &amp; Budget 2026'!$A$2:$EJ$49,91,FALSE),0)</f>
        <v>0</v>
      </c>
      <c r="L17" s="84" t="str">
        <f t="shared" si="4"/>
        <v>***</v>
      </c>
      <c r="M17" s="73"/>
      <c r="N17" s="73">
        <f>+IFERROR(VLOOKUP($A17,'Goals &amp; Budget 2026'!$A$2:$EJ$49,92,FALSE),0)</f>
        <v>0</v>
      </c>
      <c r="O17" s="231" t="str">
        <f t="shared" si="5"/>
        <v>***</v>
      </c>
      <c r="P17" s="73"/>
      <c r="Q17" s="73">
        <f>+IFERROR(VLOOKUP($A17,'Goals &amp; Budget 2026'!$A$2:$EJ$49,93,FALSE),0)</f>
        <v>0</v>
      </c>
      <c r="R17" s="84" t="str">
        <f t="shared" si="6"/>
        <v>***</v>
      </c>
      <c r="S17" s="73"/>
      <c r="T17" s="73">
        <f>+IFERROR(VLOOKUP($A17,'Goals &amp; Budget 2026'!$A$2:$EJ$49,94,FALSE),0)</f>
        <v>0</v>
      </c>
      <c r="U17" s="84" t="str">
        <f t="shared" si="7"/>
        <v>***</v>
      </c>
      <c r="V17" s="73"/>
      <c r="W17" s="73">
        <f>+IFERROR(VLOOKUP($A17,'Goals &amp; Budget 2026'!$A$2:$EJ$49,95,FALSE),0)</f>
        <v>0</v>
      </c>
      <c r="X17" s="231" t="str">
        <f t="shared" si="8"/>
        <v>***</v>
      </c>
      <c r="Y17" s="73"/>
      <c r="Z17" s="73">
        <f>+IFERROR(VLOOKUP($A17,'Goals &amp; Budget 2026'!$A$2:$EJ$49,96,FALSE),0)</f>
        <v>0</v>
      </c>
      <c r="AA17" s="84" t="str">
        <f t="shared" si="9"/>
        <v>***</v>
      </c>
      <c r="AB17" s="73"/>
      <c r="AC17" s="73">
        <f>+IFERROR(VLOOKUP($A17,'Goals &amp; Budget 2026'!$A$2:$EJ$49,97,FALSE),0)</f>
        <v>0</v>
      </c>
      <c r="AD17" s="84" t="str">
        <f t="shared" si="10"/>
        <v>***</v>
      </c>
      <c r="AE17" s="73"/>
      <c r="AF17" s="73">
        <f>+IFERROR(VLOOKUP($A17,'Goals &amp; Budget 2026'!$A$2:$EJ$49,98,FALSE),0)</f>
        <v>0</v>
      </c>
      <c r="AG17" s="231" t="str">
        <f t="shared" si="11"/>
        <v>***</v>
      </c>
      <c r="AH17" s="73"/>
      <c r="AI17" s="73">
        <f>+IFERROR(VLOOKUP($A17,'Goals &amp; Budget 2026'!$A$2:$EJ$49,99,FALSE),0)</f>
        <v>0</v>
      </c>
      <c r="AJ17" s="84" t="str">
        <f t="shared" si="12"/>
        <v>***</v>
      </c>
      <c r="AK17" s="73"/>
      <c r="AL17" s="73">
        <f>+IFERROR(VLOOKUP($A17,'Goals &amp; Budget 2026'!$A$2:$EJ$49,100,FALSE),0)</f>
        <v>0</v>
      </c>
      <c r="AM17" s="84" t="str">
        <f t="shared" si="13"/>
        <v>***</v>
      </c>
      <c r="AN17" s="73"/>
      <c r="AO17" s="73">
        <f>+IFERROR(VLOOKUP($A17,'Goals &amp; Budget 2026'!$A$2:$EJ$49,101,FALSE),0)</f>
        <v>0</v>
      </c>
      <c r="AP17" s="85" t="str">
        <f t="shared" si="14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0">
        <f t="shared" si="0"/>
        <v>0</v>
      </c>
      <c r="E18" s="73">
        <f t="shared" si="1"/>
        <v>0</v>
      </c>
      <c r="F18" s="231" t="str">
        <f t="shared" si="2"/>
        <v>***</v>
      </c>
      <c r="G18" s="73"/>
      <c r="H18" s="73">
        <f>+IFERROR(VLOOKUP($A18,'Goals &amp; Budget 2026'!$A$2:$EJ$49,90,FALSE),0)</f>
        <v>0</v>
      </c>
      <c r="I18" s="84" t="str">
        <f t="shared" si="3"/>
        <v>***</v>
      </c>
      <c r="J18" s="73"/>
      <c r="K18" s="73">
        <f>+IFERROR(VLOOKUP($A18,'Goals &amp; Budget 2026'!$A$2:$EJ$49,91,FALSE),0)</f>
        <v>0</v>
      </c>
      <c r="L18" s="84" t="str">
        <f t="shared" si="4"/>
        <v>***</v>
      </c>
      <c r="M18" s="73"/>
      <c r="N18" s="73">
        <f>+IFERROR(VLOOKUP($A18,'Goals &amp; Budget 2026'!$A$2:$EJ$49,92,FALSE),0)</f>
        <v>0</v>
      </c>
      <c r="O18" s="231" t="str">
        <f t="shared" si="5"/>
        <v>***</v>
      </c>
      <c r="P18" s="73"/>
      <c r="Q18" s="73">
        <f>+IFERROR(VLOOKUP($A18,'Goals &amp; Budget 2026'!$A$2:$EJ$49,93,FALSE),0)</f>
        <v>0</v>
      </c>
      <c r="R18" s="84" t="str">
        <f t="shared" si="6"/>
        <v>***</v>
      </c>
      <c r="S18" s="73"/>
      <c r="T18" s="73">
        <f>+IFERROR(VLOOKUP($A18,'Goals &amp; Budget 2026'!$A$2:$EJ$49,94,FALSE),0)</f>
        <v>28</v>
      </c>
      <c r="U18" s="84">
        <f t="shared" si="7"/>
        <v>0</v>
      </c>
      <c r="V18" s="73"/>
      <c r="W18" s="73">
        <f>+IFERROR(VLOOKUP($A18,'Goals &amp; Budget 2026'!$A$2:$EJ$49,95,FALSE),0)</f>
        <v>0</v>
      </c>
      <c r="X18" s="231" t="str">
        <f t="shared" si="8"/>
        <v>***</v>
      </c>
      <c r="Y18" s="73"/>
      <c r="Z18" s="73">
        <f>+IFERROR(VLOOKUP($A18,'Goals &amp; Budget 2026'!$A$2:$EJ$49,96,FALSE),0)</f>
        <v>0</v>
      </c>
      <c r="AA18" s="84" t="str">
        <f t="shared" si="9"/>
        <v>***</v>
      </c>
      <c r="AB18" s="73"/>
      <c r="AC18" s="73">
        <f>+IFERROR(VLOOKUP($A18,'Goals &amp; Budget 2026'!$A$2:$EJ$49,97,FALSE),0)</f>
        <v>0</v>
      </c>
      <c r="AD18" s="84" t="str">
        <f t="shared" si="10"/>
        <v>***</v>
      </c>
      <c r="AE18" s="73"/>
      <c r="AF18" s="73">
        <f>+IFERROR(VLOOKUP($A18,'Goals &amp; Budget 2026'!$A$2:$EJ$49,98,FALSE),0)</f>
        <v>0</v>
      </c>
      <c r="AG18" s="231" t="str">
        <f t="shared" si="11"/>
        <v>***</v>
      </c>
      <c r="AH18" s="73"/>
      <c r="AI18" s="73">
        <f>+IFERROR(VLOOKUP($A18,'Goals &amp; Budget 2026'!$A$2:$EJ$49,99,FALSE),0)</f>
        <v>0</v>
      </c>
      <c r="AJ18" s="84" t="str">
        <f t="shared" si="12"/>
        <v>***</v>
      </c>
      <c r="AK18" s="73"/>
      <c r="AL18" s="73">
        <f>+IFERROR(VLOOKUP($A18,'Goals &amp; Budget 2026'!$A$2:$EJ$49,100,FALSE),0)</f>
        <v>0</v>
      </c>
      <c r="AM18" s="84" t="str">
        <f t="shared" si="13"/>
        <v>***</v>
      </c>
      <c r="AN18" s="73"/>
      <c r="AO18" s="73">
        <f>+IFERROR(VLOOKUP($A18,'Goals &amp; Budget 2026'!$A$2:$EJ$49,101,FALSE),0)</f>
        <v>0</v>
      </c>
      <c r="AP18" s="85" t="str">
        <f t="shared" si="14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0">
        <f t="shared" si="0"/>
        <v>0</v>
      </c>
      <c r="E19" s="73">
        <f t="shared" si="1"/>
        <v>0</v>
      </c>
      <c r="F19" s="231" t="str">
        <f t="shared" si="2"/>
        <v>***</v>
      </c>
      <c r="G19" s="73"/>
      <c r="H19" s="73">
        <f>+IFERROR(VLOOKUP($A19,'Goals &amp; Budget 2026'!$A$2:$EJ$49,90,FALSE),0)</f>
        <v>0</v>
      </c>
      <c r="I19" s="84" t="str">
        <f t="shared" si="3"/>
        <v>***</v>
      </c>
      <c r="J19" s="73"/>
      <c r="K19" s="73">
        <f>+IFERROR(VLOOKUP($A19,'Goals &amp; Budget 2026'!$A$2:$EJ$49,91,FALSE),0)</f>
        <v>0</v>
      </c>
      <c r="L19" s="84" t="str">
        <f t="shared" si="4"/>
        <v>***</v>
      </c>
      <c r="M19" s="73"/>
      <c r="N19" s="73">
        <f>+IFERROR(VLOOKUP($A19,'Goals &amp; Budget 2026'!$A$2:$EJ$49,92,FALSE),0)</f>
        <v>0</v>
      </c>
      <c r="O19" s="231" t="str">
        <f t="shared" si="5"/>
        <v>***</v>
      </c>
      <c r="P19" s="73"/>
      <c r="Q19" s="73">
        <f>+IFERROR(VLOOKUP($A19,'Goals &amp; Budget 2026'!$A$2:$EJ$49,93,FALSE),0)</f>
        <v>0</v>
      </c>
      <c r="R19" s="84" t="str">
        <f t="shared" si="6"/>
        <v>***</v>
      </c>
      <c r="S19" s="73"/>
      <c r="T19" s="73">
        <f>+IFERROR(VLOOKUP($A19,'Goals &amp; Budget 2026'!$A$2:$EJ$49,94,FALSE),0)</f>
        <v>14</v>
      </c>
      <c r="U19" s="84">
        <f t="shared" si="7"/>
        <v>0</v>
      </c>
      <c r="V19" s="73"/>
      <c r="W19" s="73">
        <f>+IFERROR(VLOOKUP($A19,'Goals &amp; Budget 2026'!$A$2:$EJ$49,95,FALSE),0)</f>
        <v>0</v>
      </c>
      <c r="X19" s="231" t="str">
        <f t="shared" si="8"/>
        <v>***</v>
      </c>
      <c r="Y19" s="73"/>
      <c r="Z19" s="73">
        <f>+IFERROR(VLOOKUP($A19,'Goals &amp; Budget 2026'!$A$2:$EJ$49,96,FALSE),0)</f>
        <v>0</v>
      </c>
      <c r="AA19" s="84" t="str">
        <f t="shared" si="9"/>
        <v>***</v>
      </c>
      <c r="AB19" s="73"/>
      <c r="AC19" s="73">
        <f>+IFERROR(VLOOKUP($A19,'Goals &amp; Budget 2026'!$A$2:$EJ$49,97,FALSE),0)</f>
        <v>0</v>
      </c>
      <c r="AD19" s="84" t="str">
        <f t="shared" si="10"/>
        <v>***</v>
      </c>
      <c r="AE19" s="73"/>
      <c r="AF19" s="73">
        <f>+IFERROR(VLOOKUP($A19,'Goals &amp; Budget 2026'!$A$2:$EJ$49,98,FALSE),0)</f>
        <v>0</v>
      </c>
      <c r="AG19" s="231" t="str">
        <f t="shared" si="11"/>
        <v>***</v>
      </c>
      <c r="AH19" s="73"/>
      <c r="AI19" s="73">
        <f>+IFERROR(VLOOKUP($A19,'Goals &amp; Budget 2026'!$A$2:$EJ$49,99,FALSE),0)</f>
        <v>0</v>
      </c>
      <c r="AJ19" s="84" t="str">
        <f t="shared" si="12"/>
        <v>***</v>
      </c>
      <c r="AK19" s="73"/>
      <c r="AL19" s="73">
        <f>+IFERROR(VLOOKUP($A19,'Goals &amp; Budget 2026'!$A$2:$EJ$49,100,FALSE),0)</f>
        <v>0</v>
      </c>
      <c r="AM19" s="84" t="str">
        <f t="shared" si="13"/>
        <v>***</v>
      </c>
      <c r="AN19" s="73"/>
      <c r="AO19" s="73">
        <f>+IFERROR(VLOOKUP($A19,'Goals &amp; Budget 2026'!$A$2:$EJ$49,101,FALSE),0)</f>
        <v>0</v>
      </c>
      <c r="AP19" s="85" t="str">
        <f t="shared" si="14"/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0">
        <f t="shared" si="0"/>
        <v>0</v>
      </c>
      <c r="E20" s="73">
        <f t="shared" si="1"/>
        <v>0</v>
      </c>
      <c r="F20" s="231" t="str">
        <f t="shared" si="2"/>
        <v>***</v>
      </c>
      <c r="G20" s="73"/>
      <c r="H20" s="73">
        <f>+IFERROR(VLOOKUP($A20,'Goals &amp; Budget 2026'!$A$2:$EJ$49,90,FALSE),0)</f>
        <v>0</v>
      </c>
      <c r="I20" s="84" t="str">
        <f t="shared" si="3"/>
        <v>***</v>
      </c>
      <c r="J20" s="73"/>
      <c r="K20" s="73">
        <f>+IFERROR(VLOOKUP($A20,'Goals &amp; Budget 2026'!$A$2:$EJ$49,91,FALSE),0)</f>
        <v>0</v>
      </c>
      <c r="L20" s="84" t="str">
        <f t="shared" si="4"/>
        <v>***</v>
      </c>
      <c r="M20" s="73"/>
      <c r="N20" s="73">
        <f>+IFERROR(VLOOKUP($A20,'Goals &amp; Budget 2026'!$A$2:$EJ$49,92,FALSE),0)</f>
        <v>0</v>
      </c>
      <c r="O20" s="231" t="str">
        <f t="shared" si="5"/>
        <v>***</v>
      </c>
      <c r="P20" s="73"/>
      <c r="Q20" s="73">
        <f>+IFERROR(VLOOKUP($A20,'Goals &amp; Budget 2026'!$A$2:$EJ$49,93,FALSE),0)</f>
        <v>0</v>
      </c>
      <c r="R20" s="84" t="str">
        <f t="shared" si="6"/>
        <v>***</v>
      </c>
      <c r="S20" s="73"/>
      <c r="T20" s="73">
        <f>+IFERROR(VLOOKUP($A20,'Goals &amp; Budget 2026'!$A$2:$EJ$49,94,FALSE),0)</f>
        <v>14</v>
      </c>
      <c r="U20" s="84">
        <f t="shared" si="7"/>
        <v>0</v>
      </c>
      <c r="V20" s="73"/>
      <c r="W20" s="73">
        <f>+IFERROR(VLOOKUP($A20,'Goals &amp; Budget 2026'!$A$2:$EJ$49,95,FALSE),0)</f>
        <v>0</v>
      </c>
      <c r="X20" s="231" t="str">
        <f t="shared" si="8"/>
        <v>***</v>
      </c>
      <c r="Y20" s="73"/>
      <c r="Z20" s="73">
        <f>+IFERROR(VLOOKUP($A20,'Goals &amp; Budget 2026'!$A$2:$EJ$49,96,FALSE),0)</f>
        <v>0</v>
      </c>
      <c r="AA20" s="84" t="str">
        <f t="shared" si="9"/>
        <v>***</v>
      </c>
      <c r="AB20" s="73"/>
      <c r="AC20" s="73">
        <f>+IFERROR(VLOOKUP($A20,'Goals &amp; Budget 2026'!$A$2:$EJ$49,97,FALSE),0)</f>
        <v>0</v>
      </c>
      <c r="AD20" s="84" t="str">
        <f t="shared" si="10"/>
        <v>***</v>
      </c>
      <c r="AE20" s="73"/>
      <c r="AF20" s="73">
        <f>+IFERROR(VLOOKUP($A20,'Goals &amp; Budget 2026'!$A$2:$EJ$49,98,FALSE),0)</f>
        <v>0</v>
      </c>
      <c r="AG20" s="231" t="str">
        <f t="shared" si="11"/>
        <v>***</v>
      </c>
      <c r="AH20" s="73"/>
      <c r="AI20" s="73">
        <f>+IFERROR(VLOOKUP($A20,'Goals &amp; Budget 2026'!$A$2:$EJ$49,99,FALSE),0)</f>
        <v>0</v>
      </c>
      <c r="AJ20" s="84" t="str">
        <f t="shared" si="12"/>
        <v>***</v>
      </c>
      <c r="AK20" s="73"/>
      <c r="AL20" s="73">
        <f>+IFERROR(VLOOKUP($A20,'Goals &amp; Budget 2026'!$A$2:$EJ$49,100,FALSE),0)</f>
        <v>0</v>
      </c>
      <c r="AM20" s="84" t="str">
        <f t="shared" si="13"/>
        <v>***</v>
      </c>
      <c r="AN20" s="73"/>
      <c r="AO20" s="73">
        <f>+IFERROR(VLOOKUP($A20,'Goals &amp; Budget 2026'!$A$2:$EJ$49,101,FALSE),0)</f>
        <v>0</v>
      </c>
      <c r="AP20" s="85" t="str">
        <f t="shared" si="14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0">
        <f t="shared" si="0"/>
        <v>0</v>
      </c>
      <c r="E21" s="73">
        <f t="shared" si="1"/>
        <v>0</v>
      </c>
      <c r="F21" s="231" t="str">
        <f t="shared" si="2"/>
        <v>***</v>
      </c>
      <c r="G21" s="73"/>
      <c r="H21" s="73">
        <f>+IFERROR(VLOOKUP($A21,'Goals &amp; Budget 2026'!$A$2:$EJ$49,90,FALSE),0)</f>
        <v>0</v>
      </c>
      <c r="I21" s="84" t="str">
        <f t="shared" si="3"/>
        <v>***</v>
      </c>
      <c r="J21" s="73"/>
      <c r="K21" s="73">
        <f>+IFERROR(VLOOKUP($A21,'Goals &amp; Budget 2026'!$A$2:$EJ$49,91,FALSE),0)</f>
        <v>0</v>
      </c>
      <c r="L21" s="84" t="str">
        <f t="shared" si="4"/>
        <v>***</v>
      </c>
      <c r="M21" s="73"/>
      <c r="N21" s="73">
        <f>+IFERROR(VLOOKUP($A21,'Goals &amp; Budget 2026'!$A$2:$EJ$49,92,FALSE),0)</f>
        <v>0</v>
      </c>
      <c r="O21" s="231" t="str">
        <f t="shared" si="5"/>
        <v>***</v>
      </c>
      <c r="P21" s="73"/>
      <c r="Q21" s="73">
        <f>+IFERROR(VLOOKUP($A21,'Goals &amp; Budget 2026'!$A$2:$EJ$49,93,FALSE),0)</f>
        <v>0</v>
      </c>
      <c r="R21" s="84" t="str">
        <f t="shared" si="6"/>
        <v>***</v>
      </c>
      <c r="S21" s="73"/>
      <c r="T21" s="73">
        <f>+IFERROR(VLOOKUP($A21,'Goals &amp; Budget 2026'!$A$2:$EJ$49,94,FALSE),0)</f>
        <v>0</v>
      </c>
      <c r="U21" s="84" t="str">
        <f t="shared" si="7"/>
        <v>***</v>
      </c>
      <c r="V21" s="73"/>
      <c r="W21" s="73">
        <f>+IFERROR(VLOOKUP($A21,'Goals &amp; Budget 2026'!$A$2:$EJ$49,95,FALSE),0)</f>
        <v>0</v>
      </c>
      <c r="X21" s="231" t="str">
        <f t="shared" si="8"/>
        <v>***</v>
      </c>
      <c r="Y21" s="73"/>
      <c r="Z21" s="73">
        <f>+IFERROR(VLOOKUP($A21,'Goals &amp; Budget 2026'!$A$2:$EJ$49,96,FALSE),0)</f>
        <v>0</v>
      </c>
      <c r="AA21" s="84" t="str">
        <f t="shared" si="9"/>
        <v>***</v>
      </c>
      <c r="AB21" s="73"/>
      <c r="AC21" s="73">
        <f>+IFERROR(VLOOKUP($A21,'Goals &amp; Budget 2026'!$A$2:$EJ$49,97,FALSE),0)</f>
        <v>0</v>
      </c>
      <c r="AD21" s="84" t="str">
        <f t="shared" si="10"/>
        <v>***</v>
      </c>
      <c r="AE21" s="73"/>
      <c r="AF21" s="73">
        <f>+IFERROR(VLOOKUP($A21,'Goals &amp; Budget 2026'!$A$2:$EJ$49,98,FALSE),0)</f>
        <v>0</v>
      </c>
      <c r="AG21" s="231" t="str">
        <f t="shared" si="11"/>
        <v>***</v>
      </c>
      <c r="AH21" s="73"/>
      <c r="AI21" s="73">
        <f>+IFERROR(VLOOKUP($A21,'Goals &amp; Budget 2026'!$A$2:$EJ$49,99,FALSE),0)</f>
        <v>0</v>
      </c>
      <c r="AJ21" s="84" t="str">
        <f t="shared" si="12"/>
        <v>***</v>
      </c>
      <c r="AK21" s="73"/>
      <c r="AL21" s="73">
        <f>+IFERROR(VLOOKUP($A21,'Goals &amp; Budget 2026'!$A$2:$EJ$49,100,FALSE),0)</f>
        <v>0</v>
      </c>
      <c r="AM21" s="84" t="str">
        <f t="shared" si="13"/>
        <v>***</v>
      </c>
      <c r="AN21" s="73"/>
      <c r="AO21" s="73">
        <f>+IFERROR(VLOOKUP($A21,'Goals &amp; Budget 2026'!$A$2:$EJ$49,101,FALSE),0)</f>
        <v>0</v>
      </c>
      <c r="AP21" s="85" t="str">
        <f t="shared" si="14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0">
        <f t="shared" si="0"/>
        <v>0</v>
      </c>
      <c r="E22" s="73">
        <f t="shared" si="1"/>
        <v>0</v>
      </c>
      <c r="F22" s="231" t="str">
        <f t="shared" si="2"/>
        <v>***</v>
      </c>
      <c r="G22" s="73"/>
      <c r="H22" s="73">
        <f>+IFERROR(VLOOKUP($A22,'Goals &amp; Budget 2026'!$A$2:$EJ$49,90,FALSE),0)</f>
        <v>0</v>
      </c>
      <c r="I22" s="84" t="str">
        <f t="shared" si="3"/>
        <v>***</v>
      </c>
      <c r="J22" s="73"/>
      <c r="K22" s="73">
        <f>+IFERROR(VLOOKUP($A22,'Goals &amp; Budget 2026'!$A$2:$EJ$49,91,FALSE),0)</f>
        <v>0</v>
      </c>
      <c r="L22" s="84" t="str">
        <f t="shared" si="4"/>
        <v>***</v>
      </c>
      <c r="M22" s="73"/>
      <c r="N22" s="73">
        <f>+IFERROR(VLOOKUP($A22,'Goals &amp; Budget 2026'!$A$2:$EJ$49,92,FALSE),0)</f>
        <v>0</v>
      </c>
      <c r="O22" s="231" t="str">
        <f t="shared" si="5"/>
        <v>***</v>
      </c>
      <c r="P22" s="73"/>
      <c r="Q22" s="73">
        <f>+IFERROR(VLOOKUP($A22,'Goals &amp; Budget 2026'!$A$2:$EJ$49,93,FALSE),0)</f>
        <v>0</v>
      </c>
      <c r="R22" s="84" t="str">
        <f t="shared" si="6"/>
        <v>***</v>
      </c>
      <c r="S22" s="73"/>
      <c r="T22" s="73">
        <f>+IFERROR(VLOOKUP($A22,'Goals &amp; Budget 2026'!$A$2:$EJ$49,94,FALSE),0)</f>
        <v>0</v>
      </c>
      <c r="U22" s="84" t="str">
        <f t="shared" si="7"/>
        <v>***</v>
      </c>
      <c r="V22" s="73"/>
      <c r="W22" s="73">
        <f>+IFERROR(VLOOKUP($A22,'Goals &amp; Budget 2026'!$A$2:$EJ$49,95,FALSE),0)</f>
        <v>0</v>
      </c>
      <c r="X22" s="231" t="str">
        <f t="shared" si="8"/>
        <v>***</v>
      </c>
      <c r="Y22" s="73"/>
      <c r="Z22" s="73">
        <f>+IFERROR(VLOOKUP($A22,'Goals &amp; Budget 2026'!$A$2:$EJ$49,96,FALSE),0)</f>
        <v>0</v>
      </c>
      <c r="AA22" s="84" t="str">
        <f t="shared" si="9"/>
        <v>***</v>
      </c>
      <c r="AB22" s="73"/>
      <c r="AC22" s="73">
        <f>+IFERROR(VLOOKUP($A22,'Goals &amp; Budget 2026'!$A$2:$EJ$49,97,FALSE),0)</f>
        <v>0</v>
      </c>
      <c r="AD22" s="84" t="str">
        <f t="shared" si="10"/>
        <v>***</v>
      </c>
      <c r="AE22" s="73"/>
      <c r="AF22" s="73">
        <f>+IFERROR(VLOOKUP($A22,'Goals &amp; Budget 2026'!$A$2:$EJ$49,98,FALSE),0)</f>
        <v>0</v>
      </c>
      <c r="AG22" s="231" t="str">
        <f t="shared" si="11"/>
        <v>***</v>
      </c>
      <c r="AH22" s="73"/>
      <c r="AI22" s="73">
        <f>+IFERROR(VLOOKUP($A22,'Goals &amp; Budget 2026'!$A$2:$EJ$49,99,FALSE),0)</f>
        <v>0</v>
      </c>
      <c r="AJ22" s="84" t="str">
        <f t="shared" si="12"/>
        <v>***</v>
      </c>
      <c r="AK22" s="73"/>
      <c r="AL22" s="73">
        <f>+IFERROR(VLOOKUP($A22,'Goals &amp; Budget 2026'!$A$2:$EJ$49,100,FALSE),0)</f>
        <v>0</v>
      </c>
      <c r="AM22" s="84" t="str">
        <f t="shared" si="13"/>
        <v>***</v>
      </c>
      <c r="AN22" s="73"/>
      <c r="AO22" s="73">
        <f>+IFERROR(VLOOKUP($A22,'Goals &amp; Budget 2026'!$A$2:$EJ$49,101,FALSE),0)</f>
        <v>0</v>
      </c>
      <c r="AP22" s="85" t="str">
        <f t="shared" si="14"/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0">
        <f t="shared" si="0"/>
        <v>0</v>
      </c>
      <c r="E23" s="73">
        <f t="shared" si="1"/>
        <v>0</v>
      </c>
      <c r="F23" s="231" t="str">
        <f t="shared" si="2"/>
        <v>***</v>
      </c>
      <c r="G23" s="73"/>
      <c r="H23" s="73">
        <f>+IFERROR(VLOOKUP($A23,'Goals &amp; Budget 2026'!$A$2:$EJ$49,90,FALSE),0)</f>
        <v>0</v>
      </c>
      <c r="I23" s="84" t="str">
        <f t="shared" si="3"/>
        <v>***</v>
      </c>
      <c r="J23" s="73"/>
      <c r="K23" s="73">
        <f>+IFERROR(VLOOKUP($A23,'Goals &amp; Budget 2026'!$A$2:$EJ$49,91,FALSE),0)</f>
        <v>0</v>
      </c>
      <c r="L23" s="84" t="str">
        <f t="shared" si="4"/>
        <v>***</v>
      </c>
      <c r="M23" s="73"/>
      <c r="N23" s="73">
        <f>+IFERROR(VLOOKUP($A23,'Goals &amp; Budget 2026'!$A$2:$EJ$49,92,FALSE),0)</f>
        <v>0</v>
      </c>
      <c r="O23" s="231" t="str">
        <f t="shared" si="5"/>
        <v>***</v>
      </c>
      <c r="P23" s="73"/>
      <c r="Q23" s="73">
        <f>+IFERROR(VLOOKUP($A23,'Goals &amp; Budget 2026'!$A$2:$EJ$49,93,FALSE),0)</f>
        <v>0</v>
      </c>
      <c r="R23" s="84" t="str">
        <f t="shared" si="6"/>
        <v>***</v>
      </c>
      <c r="S23" s="73"/>
      <c r="T23" s="73">
        <f>+IFERROR(VLOOKUP($A23,'Goals &amp; Budget 2026'!$A$2:$EJ$49,94,FALSE),0)</f>
        <v>0</v>
      </c>
      <c r="U23" s="84" t="str">
        <f t="shared" si="7"/>
        <v>***</v>
      </c>
      <c r="V23" s="73"/>
      <c r="W23" s="73">
        <f>+IFERROR(VLOOKUP($A23,'Goals &amp; Budget 2026'!$A$2:$EJ$49,95,FALSE),0)</f>
        <v>0</v>
      </c>
      <c r="X23" s="231" t="str">
        <f t="shared" si="8"/>
        <v>***</v>
      </c>
      <c r="Y23" s="73"/>
      <c r="Z23" s="73">
        <f>+IFERROR(VLOOKUP($A23,'Goals &amp; Budget 2026'!$A$2:$EJ$49,96,FALSE),0)</f>
        <v>0</v>
      </c>
      <c r="AA23" s="84" t="str">
        <f t="shared" si="9"/>
        <v>***</v>
      </c>
      <c r="AB23" s="73"/>
      <c r="AC23" s="73">
        <f>+IFERROR(VLOOKUP($A23,'Goals &amp; Budget 2026'!$A$2:$EJ$49,97,FALSE),0)</f>
        <v>0</v>
      </c>
      <c r="AD23" s="84" t="str">
        <f t="shared" si="10"/>
        <v>***</v>
      </c>
      <c r="AE23" s="73"/>
      <c r="AF23" s="73">
        <f>+IFERROR(VLOOKUP($A23,'Goals &amp; Budget 2026'!$A$2:$EJ$49,98,FALSE),0)</f>
        <v>0</v>
      </c>
      <c r="AG23" s="231" t="str">
        <f t="shared" si="11"/>
        <v>***</v>
      </c>
      <c r="AH23" s="73"/>
      <c r="AI23" s="73">
        <f>+IFERROR(VLOOKUP($A23,'Goals &amp; Budget 2026'!$A$2:$EJ$49,99,FALSE),0)</f>
        <v>0</v>
      </c>
      <c r="AJ23" s="84" t="str">
        <f t="shared" si="12"/>
        <v>***</v>
      </c>
      <c r="AK23" s="73"/>
      <c r="AL23" s="73">
        <f>+IFERROR(VLOOKUP($A23,'Goals &amp; Budget 2026'!$A$2:$EJ$49,100,FALSE),0)</f>
        <v>0</v>
      </c>
      <c r="AM23" s="84" t="str">
        <f t="shared" si="13"/>
        <v>***</v>
      </c>
      <c r="AN23" s="73"/>
      <c r="AO23" s="73">
        <f>+IFERROR(VLOOKUP($A23,'Goals &amp; Budget 2026'!$A$2:$EJ$49,101,FALSE),0)</f>
        <v>0</v>
      </c>
      <c r="AP23" s="85" t="str">
        <f t="shared" si="14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0">
        <f t="shared" si="0"/>
        <v>0</v>
      </c>
      <c r="E24" s="73">
        <f t="shared" si="1"/>
        <v>0</v>
      </c>
      <c r="F24" s="231" t="str">
        <f t="shared" si="2"/>
        <v>***</v>
      </c>
      <c r="G24" s="73"/>
      <c r="H24" s="73">
        <f>+IFERROR(VLOOKUP($A24,'Goals &amp; Budget 2026'!$A$2:$EJ$49,90,FALSE),0)</f>
        <v>0</v>
      </c>
      <c r="I24" s="84" t="str">
        <f t="shared" si="3"/>
        <v>***</v>
      </c>
      <c r="J24" s="73"/>
      <c r="K24" s="73">
        <f>+IFERROR(VLOOKUP($A24,'Goals &amp; Budget 2026'!$A$2:$EJ$49,91,FALSE),0)</f>
        <v>0</v>
      </c>
      <c r="L24" s="84" t="str">
        <f t="shared" si="4"/>
        <v>***</v>
      </c>
      <c r="M24" s="73"/>
      <c r="N24" s="73">
        <f>+IFERROR(VLOOKUP($A24,'Goals &amp; Budget 2026'!$A$2:$EJ$49,92,FALSE),0)</f>
        <v>0</v>
      </c>
      <c r="O24" s="231" t="str">
        <f t="shared" si="5"/>
        <v>***</v>
      </c>
      <c r="P24" s="73"/>
      <c r="Q24" s="73">
        <f>+IFERROR(VLOOKUP($A24,'Goals &amp; Budget 2026'!$A$2:$EJ$49,93,FALSE),0)</f>
        <v>0</v>
      </c>
      <c r="R24" s="84" t="str">
        <f t="shared" si="6"/>
        <v>***</v>
      </c>
      <c r="S24" s="73"/>
      <c r="T24" s="73">
        <f>+IFERROR(VLOOKUP($A24,'Goals &amp; Budget 2026'!$A$2:$EJ$49,94,FALSE),0)</f>
        <v>0</v>
      </c>
      <c r="U24" s="84" t="str">
        <f t="shared" si="7"/>
        <v>***</v>
      </c>
      <c r="V24" s="73"/>
      <c r="W24" s="73">
        <f>+IFERROR(VLOOKUP($A24,'Goals &amp; Budget 2026'!$A$2:$EJ$49,95,FALSE),0)</f>
        <v>0</v>
      </c>
      <c r="X24" s="231" t="str">
        <f t="shared" si="8"/>
        <v>***</v>
      </c>
      <c r="Y24" s="73"/>
      <c r="Z24" s="73">
        <f>+IFERROR(VLOOKUP($A24,'Goals &amp; Budget 2026'!$A$2:$EJ$49,96,FALSE),0)</f>
        <v>0</v>
      </c>
      <c r="AA24" s="84" t="str">
        <f t="shared" si="9"/>
        <v>***</v>
      </c>
      <c r="AB24" s="73"/>
      <c r="AC24" s="73">
        <f>+IFERROR(VLOOKUP($A24,'Goals &amp; Budget 2026'!$A$2:$EJ$49,97,FALSE),0)</f>
        <v>0</v>
      </c>
      <c r="AD24" s="84" t="str">
        <f t="shared" si="10"/>
        <v>***</v>
      </c>
      <c r="AE24" s="73"/>
      <c r="AF24" s="73">
        <f>+IFERROR(VLOOKUP($A24,'Goals &amp; Budget 2026'!$A$2:$EJ$49,98,FALSE),0)</f>
        <v>0</v>
      </c>
      <c r="AG24" s="231" t="str">
        <f t="shared" si="11"/>
        <v>***</v>
      </c>
      <c r="AH24" s="73"/>
      <c r="AI24" s="73">
        <f>+IFERROR(VLOOKUP($A24,'Goals &amp; Budget 2026'!$A$2:$EJ$49,99,FALSE),0)</f>
        <v>0</v>
      </c>
      <c r="AJ24" s="84" t="str">
        <f t="shared" si="12"/>
        <v>***</v>
      </c>
      <c r="AK24" s="73"/>
      <c r="AL24" s="73">
        <f>+IFERROR(VLOOKUP($A24,'Goals &amp; Budget 2026'!$A$2:$EJ$49,100,FALSE),0)</f>
        <v>0</v>
      </c>
      <c r="AM24" s="84" t="str">
        <f t="shared" si="13"/>
        <v>***</v>
      </c>
      <c r="AN24" s="73"/>
      <c r="AO24" s="73">
        <f>+IFERROR(VLOOKUP($A24,'Goals &amp; Budget 2026'!$A$2:$EJ$49,101,FALSE),0)</f>
        <v>58</v>
      </c>
      <c r="AP24" s="85">
        <f t="shared" si="14"/>
        <v>0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0">
        <f t="shared" si="0"/>
        <v>0</v>
      </c>
      <c r="E25" s="73">
        <f t="shared" si="1"/>
        <v>0</v>
      </c>
      <c r="F25" s="231" t="str">
        <f t="shared" si="2"/>
        <v>***</v>
      </c>
      <c r="G25" s="73"/>
      <c r="H25" s="73">
        <f>+IFERROR(VLOOKUP($A25,'Goals &amp; Budget 2026'!$A$2:$EJ$49,90,FALSE),0)</f>
        <v>0</v>
      </c>
      <c r="I25" s="84" t="str">
        <f t="shared" si="3"/>
        <v>***</v>
      </c>
      <c r="J25" s="73"/>
      <c r="K25" s="73">
        <f>+IFERROR(VLOOKUP($A25,'Goals &amp; Budget 2026'!$A$2:$EJ$49,91,FALSE),0)</f>
        <v>0</v>
      </c>
      <c r="L25" s="84" t="str">
        <f t="shared" si="4"/>
        <v>***</v>
      </c>
      <c r="M25" s="73"/>
      <c r="N25" s="73">
        <f>+IFERROR(VLOOKUP($A25,'Goals &amp; Budget 2026'!$A$2:$EJ$49,92,FALSE),0)</f>
        <v>0</v>
      </c>
      <c r="O25" s="231" t="str">
        <f t="shared" si="5"/>
        <v>***</v>
      </c>
      <c r="P25" s="73"/>
      <c r="Q25" s="73">
        <f>+IFERROR(VLOOKUP($A25,'Goals &amp; Budget 2026'!$A$2:$EJ$49,93,FALSE),0)</f>
        <v>0</v>
      </c>
      <c r="R25" s="84" t="str">
        <f t="shared" si="6"/>
        <v>***</v>
      </c>
      <c r="S25" s="73"/>
      <c r="T25" s="73">
        <f>+IFERROR(VLOOKUP($A25,'Goals &amp; Budget 2026'!$A$2:$EJ$49,94,FALSE),0)</f>
        <v>0</v>
      </c>
      <c r="U25" s="84" t="str">
        <f t="shared" si="7"/>
        <v>***</v>
      </c>
      <c r="V25" s="73"/>
      <c r="W25" s="73">
        <f>+IFERROR(VLOOKUP($A25,'Goals &amp; Budget 2026'!$A$2:$EJ$49,95,FALSE),0)</f>
        <v>0</v>
      </c>
      <c r="X25" s="231" t="str">
        <f t="shared" si="8"/>
        <v>***</v>
      </c>
      <c r="Y25" s="73"/>
      <c r="Z25" s="73">
        <f>+IFERROR(VLOOKUP($A25,'Goals &amp; Budget 2026'!$A$2:$EJ$49,96,FALSE),0)</f>
        <v>0</v>
      </c>
      <c r="AA25" s="84" t="str">
        <f t="shared" si="9"/>
        <v>***</v>
      </c>
      <c r="AB25" s="73"/>
      <c r="AC25" s="73">
        <f>+IFERROR(VLOOKUP($A25,'Goals &amp; Budget 2026'!$A$2:$EJ$49,97,FALSE),0)</f>
        <v>0</v>
      </c>
      <c r="AD25" s="84" t="str">
        <f t="shared" si="10"/>
        <v>***</v>
      </c>
      <c r="AE25" s="73"/>
      <c r="AF25" s="73">
        <f>+IFERROR(VLOOKUP($A25,'Goals &amp; Budget 2026'!$A$2:$EJ$49,98,FALSE),0)</f>
        <v>0</v>
      </c>
      <c r="AG25" s="231" t="str">
        <f t="shared" si="11"/>
        <v>***</v>
      </c>
      <c r="AH25" s="73"/>
      <c r="AI25" s="73">
        <f>+IFERROR(VLOOKUP($A25,'Goals &amp; Budget 2026'!$A$2:$EJ$49,99,FALSE),0)</f>
        <v>0</v>
      </c>
      <c r="AJ25" s="84" t="str">
        <f t="shared" si="12"/>
        <v>***</v>
      </c>
      <c r="AK25" s="73"/>
      <c r="AL25" s="73">
        <f>+IFERROR(VLOOKUP($A25,'Goals &amp; Budget 2026'!$A$2:$EJ$49,100,FALSE),0)</f>
        <v>0</v>
      </c>
      <c r="AM25" s="84" t="str">
        <f t="shared" si="13"/>
        <v>***</v>
      </c>
      <c r="AN25" s="73"/>
      <c r="AO25" s="73">
        <f>+IFERROR(VLOOKUP($A25,'Goals &amp; Budget 2026'!$A$2:$EJ$49,101,FALSE),0)</f>
        <v>58</v>
      </c>
      <c r="AP25" s="85">
        <f t="shared" si="14"/>
        <v>0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51">
        <f t="shared" si="0"/>
        <v>0</v>
      </c>
      <c r="E26" s="54">
        <f t="shared" si="1"/>
        <v>0</v>
      </c>
      <c r="F26" s="232" t="str">
        <f t="shared" si="2"/>
        <v>***</v>
      </c>
      <c r="G26" s="54"/>
      <c r="H26" s="54">
        <f>+IFERROR(VLOOKUP($A26,'Goals &amp; Budget 2026'!$A$2:$EJ$49,90,FALSE),0)</f>
        <v>0</v>
      </c>
      <c r="I26" s="65" t="str">
        <f t="shared" si="3"/>
        <v>***</v>
      </c>
      <c r="J26" s="54"/>
      <c r="K26" s="54">
        <f>+IFERROR(VLOOKUP($A26,'Goals &amp; Budget 2026'!$A$2:$EJ$49,91,FALSE),0)</f>
        <v>0</v>
      </c>
      <c r="L26" s="65" t="str">
        <f t="shared" si="4"/>
        <v>***</v>
      </c>
      <c r="M26" s="54"/>
      <c r="N26" s="54">
        <f>+IFERROR(VLOOKUP($A26,'Goals &amp; Budget 2026'!$A$2:$EJ$49,92,FALSE),0)</f>
        <v>0</v>
      </c>
      <c r="O26" s="232" t="str">
        <f t="shared" si="5"/>
        <v>***</v>
      </c>
      <c r="P26" s="54"/>
      <c r="Q26" s="54">
        <f>+IFERROR(VLOOKUP($A26,'Goals &amp; Budget 2026'!$A$2:$EJ$49,93,FALSE),0)</f>
        <v>0</v>
      </c>
      <c r="R26" s="65" t="str">
        <f t="shared" si="6"/>
        <v>***</v>
      </c>
      <c r="S26" s="54"/>
      <c r="T26" s="54">
        <f>+IFERROR(VLOOKUP($A26,'Goals &amp; Budget 2026'!$A$2:$EJ$49,94,FALSE),0)</f>
        <v>0</v>
      </c>
      <c r="U26" s="65" t="str">
        <f t="shared" si="7"/>
        <v>***</v>
      </c>
      <c r="V26" s="54"/>
      <c r="W26" s="54">
        <f>+IFERROR(VLOOKUP($A26,'Goals &amp; Budget 2026'!$A$2:$EJ$49,95,FALSE),0)</f>
        <v>0</v>
      </c>
      <c r="X26" s="232" t="str">
        <f t="shared" si="8"/>
        <v>***</v>
      </c>
      <c r="Y26" s="54"/>
      <c r="Z26" s="54">
        <f>+IFERROR(VLOOKUP($A26,'Goals &amp; Budget 2026'!$A$2:$EJ$49,96,FALSE),0)</f>
        <v>0</v>
      </c>
      <c r="AA26" s="65" t="str">
        <f t="shared" si="9"/>
        <v>***</v>
      </c>
      <c r="AB26" s="54"/>
      <c r="AC26" s="54">
        <f>+IFERROR(VLOOKUP($A26,'Goals &amp; Budget 2026'!$A$2:$EJ$49,97,FALSE),0)</f>
        <v>0</v>
      </c>
      <c r="AD26" s="65" t="str">
        <f t="shared" si="10"/>
        <v>***</v>
      </c>
      <c r="AE26" s="54"/>
      <c r="AF26" s="54">
        <f>+IFERROR(VLOOKUP($A26,'Goals &amp; Budget 2026'!$A$2:$EJ$49,98,FALSE),0)</f>
        <v>0</v>
      </c>
      <c r="AG26" s="232" t="str">
        <f t="shared" si="11"/>
        <v>***</v>
      </c>
      <c r="AH26" s="54"/>
      <c r="AI26" s="54">
        <f>+IFERROR(VLOOKUP($A26,'Goals &amp; Budget 2026'!$A$2:$EJ$49,99,FALSE),0)</f>
        <v>0</v>
      </c>
      <c r="AJ26" s="65" t="str">
        <f t="shared" si="12"/>
        <v>***</v>
      </c>
      <c r="AK26" s="54"/>
      <c r="AL26" s="54">
        <f>+IFERROR(VLOOKUP($A26,'Goals &amp; Budget 2026'!$A$2:$EJ$49,100,FALSE),0)</f>
        <v>0</v>
      </c>
      <c r="AM26" s="65" t="str">
        <f t="shared" si="13"/>
        <v>***</v>
      </c>
      <c r="AN26" s="54"/>
      <c r="AO26" s="54">
        <f>+IFERROR(VLOOKUP($A26,'Goals &amp; Budget 2026'!$A$2:$EJ$49,101,FALSE),0)</f>
        <v>58</v>
      </c>
      <c r="AP26" s="66">
        <f t="shared" si="14"/>
        <v>0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51">
        <f t="shared" si="0"/>
        <v>0</v>
      </c>
      <c r="E27" s="54">
        <f t="shared" si="1"/>
        <v>0</v>
      </c>
      <c r="F27" s="232" t="str">
        <f t="shared" si="2"/>
        <v>***</v>
      </c>
      <c r="G27" s="54"/>
      <c r="H27" s="54">
        <f>+IFERROR(VLOOKUP($A27,'Goals &amp; Budget 2026'!$A$2:$EJ$49,90,FALSE),0)</f>
        <v>0</v>
      </c>
      <c r="I27" s="65" t="str">
        <f t="shared" si="3"/>
        <v>***</v>
      </c>
      <c r="J27" s="54"/>
      <c r="K27" s="54">
        <f>+IFERROR(VLOOKUP($A27,'Goals &amp; Budget 2026'!$A$2:$EJ$49,91,FALSE),0)</f>
        <v>0</v>
      </c>
      <c r="L27" s="65" t="str">
        <f t="shared" si="4"/>
        <v>***</v>
      </c>
      <c r="M27" s="54"/>
      <c r="N27" s="54">
        <f>+IFERROR(VLOOKUP($A27,'Goals &amp; Budget 2026'!$A$2:$EJ$49,92,FALSE),0)</f>
        <v>0</v>
      </c>
      <c r="O27" s="232" t="str">
        <f t="shared" si="5"/>
        <v>***</v>
      </c>
      <c r="P27" s="54"/>
      <c r="Q27" s="54">
        <f>+IFERROR(VLOOKUP($A27,'Goals &amp; Budget 2026'!$A$2:$EJ$49,93,FALSE),0)</f>
        <v>0</v>
      </c>
      <c r="R27" s="65" t="str">
        <f t="shared" si="6"/>
        <v>***</v>
      </c>
      <c r="S27" s="54"/>
      <c r="T27" s="54">
        <f>+IFERROR(VLOOKUP($A27,'Goals &amp; Budget 2026'!$A$2:$EJ$49,94,FALSE),0)</f>
        <v>0</v>
      </c>
      <c r="U27" s="65" t="str">
        <f t="shared" si="7"/>
        <v>***</v>
      </c>
      <c r="V27" s="54"/>
      <c r="W27" s="54">
        <f>+IFERROR(VLOOKUP($A27,'Goals &amp; Budget 2026'!$A$2:$EJ$49,95,FALSE),0)</f>
        <v>0</v>
      </c>
      <c r="X27" s="232" t="str">
        <f t="shared" si="8"/>
        <v>***</v>
      </c>
      <c r="Y27" s="54"/>
      <c r="Z27" s="54">
        <f>+IFERROR(VLOOKUP($A27,'Goals &amp; Budget 2026'!$A$2:$EJ$49,96,FALSE),0)</f>
        <v>0</v>
      </c>
      <c r="AA27" s="65" t="str">
        <f t="shared" si="9"/>
        <v>***</v>
      </c>
      <c r="AB27" s="54"/>
      <c r="AC27" s="54">
        <f>+IFERROR(VLOOKUP($A27,'Goals &amp; Budget 2026'!$A$2:$EJ$49,97,FALSE),0)</f>
        <v>0</v>
      </c>
      <c r="AD27" s="65" t="str">
        <f t="shared" si="10"/>
        <v>***</v>
      </c>
      <c r="AE27" s="54"/>
      <c r="AF27" s="54">
        <f>+IFERROR(VLOOKUP($A27,'Goals &amp; Budget 2026'!$A$2:$EJ$49,98,FALSE),0)</f>
        <v>0</v>
      </c>
      <c r="AG27" s="232" t="str">
        <f t="shared" si="11"/>
        <v>***</v>
      </c>
      <c r="AH27" s="54"/>
      <c r="AI27" s="54">
        <f>+IFERROR(VLOOKUP($A27,'Goals &amp; Budget 2026'!$A$2:$EJ$49,99,FALSE),0)</f>
        <v>0</v>
      </c>
      <c r="AJ27" s="65" t="str">
        <f t="shared" si="12"/>
        <v>***</v>
      </c>
      <c r="AK27" s="54"/>
      <c r="AL27" s="54">
        <f>+IFERROR(VLOOKUP($A27,'Goals &amp; Budget 2026'!$A$2:$EJ$49,100,FALSE),0)</f>
        <v>0</v>
      </c>
      <c r="AM27" s="65" t="str">
        <f t="shared" si="13"/>
        <v>***</v>
      </c>
      <c r="AN27" s="54"/>
      <c r="AO27" s="54">
        <f>+IFERROR(VLOOKUP($A27,'Goals &amp; Budget 2026'!$A$2:$EJ$49,101,FALSE),0)</f>
        <v>58</v>
      </c>
      <c r="AP27" s="66">
        <f t="shared" si="14"/>
        <v>0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51">
        <f t="shared" ref="D28:D47" si="15">+G28</f>
        <v>0</v>
      </c>
      <c r="E28" s="54">
        <f t="shared" ref="E28:E47" si="16">+H28</f>
        <v>0</v>
      </c>
      <c r="F28" s="232" t="str">
        <f t="shared" ref="F28:F47" si="17">IF(AND(D28&gt;0,E28&gt;0),D28/E28,IF(AND(D28&gt;0,E28=0),100%,IF(AND(D28=0,E28&gt;0),0,IF(AND(D28=0,E28=0),"***",0))))</f>
        <v>***</v>
      </c>
      <c r="G28" s="54"/>
      <c r="H28" s="54">
        <f>+IFERROR(VLOOKUP($A28,'Goals &amp; Budget 2026'!$A$2:$EJ$49,90,FALSE),0)</f>
        <v>0</v>
      </c>
      <c r="I28" s="65" t="str">
        <f t="shared" ref="I28:I47" si="18">IF(AND(G28&gt;0,H28&gt;0),G28/H28,IF(AND(G28&gt;0,H28=0),100%,IF(AND(G28=0,H28&gt;0),0,IF(AND(G28=0,H28=0),"***",0))))</f>
        <v>***</v>
      </c>
      <c r="J28" s="54"/>
      <c r="K28" s="54">
        <f>+IFERROR(VLOOKUP($A28,'Goals &amp; Budget 2026'!$A$2:$EJ$49,91,FALSE),0)</f>
        <v>0</v>
      </c>
      <c r="L28" s="65" t="str">
        <f t="shared" ref="L28:L47" si="19">IF(AND(J28&gt;0,K28&gt;0),J28/K28,IF(AND(J28&gt;0,K28=0),100%,IF(AND(J28=0,K28&gt;0),0,IF(AND(J28=0,K28=0),"***",0))))</f>
        <v>***</v>
      </c>
      <c r="M28" s="54"/>
      <c r="N28" s="54">
        <f>+IFERROR(VLOOKUP($A28,'Goals &amp; Budget 2026'!$A$2:$EJ$49,92,FALSE),0)</f>
        <v>0</v>
      </c>
      <c r="O28" s="232" t="str">
        <f t="shared" ref="O28:O47" si="20">IF(AND(M28&gt;0,N28&gt;0),M28/N28,IF(AND(M28&gt;0,N28=0),100%,IF(AND(M28=0,N28&gt;0),0,IF(AND(M28=0,N28=0),"***",0))))</f>
        <v>***</v>
      </c>
      <c r="P28" s="54"/>
      <c r="Q28" s="54">
        <f>+IFERROR(VLOOKUP($A28,'Goals &amp; Budget 2026'!$A$2:$EJ$49,93,FALSE),0)</f>
        <v>0</v>
      </c>
      <c r="R28" s="65" t="str">
        <f t="shared" ref="R28:R47" si="21">IF(AND(P28&gt;0,Q28&gt;0),P28/Q28,IF(AND(P28&gt;0,Q28=0),100%,IF(AND(P28=0,Q28&gt;0),0,IF(AND(P28=0,Q28=0),"***",0))))</f>
        <v>***</v>
      </c>
      <c r="S28" s="54"/>
      <c r="T28" s="54">
        <f>+IFERROR(VLOOKUP($A28,'Goals &amp; Budget 2026'!$A$2:$EJ$49,94,FALSE),0)</f>
        <v>0</v>
      </c>
      <c r="U28" s="65" t="str">
        <f t="shared" ref="U28:U47" si="22">IF(AND(S28&gt;0,T28&gt;0),S28/T28,IF(AND(S28&gt;0,T28=0),100%,IF(AND(S28=0,T28&gt;0),0,IF(AND(S28=0,T28=0),"***",0))))</f>
        <v>***</v>
      </c>
      <c r="V28" s="54"/>
      <c r="W28" s="54">
        <f>+IFERROR(VLOOKUP($A28,'Goals &amp; Budget 2026'!$A$2:$EJ$49,95,FALSE),0)</f>
        <v>0</v>
      </c>
      <c r="X28" s="232" t="str">
        <f t="shared" ref="X28:X47" si="23">IF(AND(V28&gt;0,W28&gt;0),V28/W28,IF(AND(V28&gt;0,W28=0),100%,IF(AND(V28=0,W28&gt;0),0,IF(AND(V28=0,W28=0),"***",0))))</f>
        <v>***</v>
      </c>
      <c r="Y28" s="54"/>
      <c r="Z28" s="54">
        <f>+IFERROR(VLOOKUP($A28,'Goals &amp; Budget 2026'!$A$2:$EJ$49,96,FALSE),0)</f>
        <v>0</v>
      </c>
      <c r="AA28" s="65" t="str">
        <f t="shared" ref="AA28:AA47" si="24">IF(AND(Y28&gt;0,Z28&gt;0),Y28/Z28,IF(AND(Y28&gt;0,Z28=0),100%,IF(AND(Y28=0,Z28&gt;0),0,IF(AND(Y28=0,Z28=0),"***",0))))</f>
        <v>***</v>
      </c>
      <c r="AB28" s="54"/>
      <c r="AC28" s="54">
        <f>+IFERROR(VLOOKUP($A28,'Goals &amp; Budget 2026'!$A$2:$EJ$49,97,FALSE),0)</f>
        <v>0</v>
      </c>
      <c r="AD28" s="65" t="str">
        <f t="shared" ref="AD28:AD47" si="25">IF(AND(AB28&gt;0,AC28&gt;0),AB28/AC28,IF(AND(AB28&gt;0,AC28=0),100%,IF(AND(AB28=0,AC28&gt;0),0,IF(AND(AB28=0,AC28=0),"***",0))))</f>
        <v>***</v>
      </c>
      <c r="AE28" s="54"/>
      <c r="AF28" s="54">
        <f>+IFERROR(VLOOKUP($A28,'Goals &amp; Budget 2026'!$A$2:$EJ$49,98,FALSE),0)</f>
        <v>0</v>
      </c>
      <c r="AG28" s="232" t="str">
        <f t="shared" ref="AG28:AG47" si="26">IF(AND(AE28&gt;0,AF28&gt;0),AE28/AF28,IF(AND(AE28&gt;0,AF28=0),100%,IF(AND(AE28=0,AF28&gt;0),0,IF(AND(AE28=0,AF28=0),"***",0))))</f>
        <v>***</v>
      </c>
      <c r="AH28" s="54"/>
      <c r="AI28" s="54">
        <f>+IFERROR(VLOOKUP($A28,'Goals &amp; Budget 2026'!$A$2:$EJ$49,99,FALSE),0)</f>
        <v>0</v>
      </c>
      <c r="AJ28" s="65" t="str">
        <f t="shared" ref="AJ28:AJ47" si="27">IF(AND(AH28&gt;0,AI28&gt;0),AH28/AI28,IF(AND(AH28&gt;0,AI28=0),100%,IF(AND(AH28=0,AI28&gt;0),0,IF(AND(AH28=0,AI28=0),"***",0))))</f>
        <v>***</v>
      </c>
      <c r="AK28" s="54"/>
      <c r="AL28" s="54">
        <f>+IFERROR(VLOOKUP($A28,'Goals &amp; Budget 2026'!$A$2:$EJ$49,100,FALSE),0)</f>
        <v>0</v>
      </c>
      <c r="AM28" s="65" t="str">
        <f t="shared" ref="AM28:AM47" si="28">IF(AND(AK28&gt;0,AL28&gt;0),AK28/AL28,IF(AND(AK28&gt;0,AL28=0),100%,IF(AND(AK28=0,AL28&gt;0),0,IF(AND(AK28=0,AL28=0),"***",0))))</f>
        <v>***</v>
      </c>
      <c r="AN28" s="54"/>
      <c r="AO28" s="54">
        <f>+IFERROR(VLOOKUP($A28,'Goals &amp; Budget 2026'!$A$2:$EJ$49,101,FALSE),0)</f>
        <v>0</v>
      </c>
      <c r="AP28" s="66" t="str">
        <f t="shared" ref="AP28:AP47" si="29">IF(AND(AN28&gt;0,AO28&gt;0),AN28/AO28,IF(AND(AN28&gt;0,AO28=0),100%,IF(AND(AN28=0,AO28&gt;0),0,IF(AND(AN28=0,AO28=0),"***",0))))</f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51">
        <f t="shared" si="15"/>
        <v>0</v>
      </c>
      <c r="E29" s="54">
        <f t="shared" si="16"/>
        <v>0</v>
      </c>
      <c r="F29" s="232" t="str">
        <f t="shared" si="17"/>
        <v>***</v>
      </c>
      <c r="G29" s="54"/>
      <c r="H29" s="54">
        <f>+IFERROR(VLOOKUP($A29,'Goals &amp; Budget 2026'!$A$2:$EJ$49,90,FALSE),0)</f>
        <v>0</v>
      </c>
      <c r="I29" s="65" t="str">
        <f t="shared" si="18"/>
        <v>***</v>
      </c>
      <c r="J29" s="54"/>
      <c r="K29" s="54">
        <f>+IFERROR(VLOOKUP($A29,'Goals &amp; Budget 2026'!$A$2:$EJ$49,91,FALSE),0)</f>
        <v>0</v>
      </c>
      <c r="L29" s="65" t="str">
        <f t="shared" si="19"/>
        <v>***</v>
      </c>
      <c r="M29" s="54"/>
      <c r="N29" s="54">
        <f>+IFERROR(VLOOKUP($A29,'Goals &amp; Budget 2026'!$A$2:$EJ$49,92,FALSE),0)</f>
        <v>0</v>
      </c>
      <c r="O29" s="232" t="str">
        <f t="shared" si="20"/>
        <v>***</v>
      </c>
      <c r="P29" s="54"/>
      <c r="Q29" s="54">
        <f>+IFERROR(VLOOKUP($A29,'Goals &amp; Budget 2026'!$A$2:$EJ$49,93,FALSE),0)</f>
        <v>0</v>
      </c>
      <c r="R29" s="65" t="str">
        <f t="shared" si="21"/>
        <v>***</v>
      </c>
      <c r="S29" s="54"/>
      <c r="T29" s="54">
        <f>+IFERROR(VLOOKUP($A29,'Goals &amp; Budget 2026'!$A$2:$EJ$49,94,FALSE),0)</f>
        <v>0</v>
      </c>
      <c r="U29" s="65" t="str">
        <f t="shared" si="22"/>
        <v>***</v>
      </c>
      <c r="V29" s="54"/>
      <c r="W29" s="54">
        <f>+IFERROR(VLOOKUP($A29,'Goals &amp; Budget 2026'!$A$2:$EJ$49,95,FALSE),0)</f>
        <v>0</v>
      </c>
      <c r="X29" s="232" t="str">
        <f t="shared" si="23"/>
        <v>***</v>
      </c>
      <c r="Y29" s="54"/>
      <c r="Z29" s="54">
        <f>+IFERROR(VLOOKUP($A29,'Goals &amp; Budget 2026'!$A$2:$EJ$49,96,FALSE),0)</f>
        <v>0</v>
      </c>
      <c r="AA29" s="65" t="str">
        <f t="shared" si="24"/>
        <v>***</v>
      </c>
      <c r="AB29" s="54"/>
      <c r="AC29" s="54">
        <f>+IFERROR(VLOOKUP($A29,'Goals &amp; Budget 2026'!$A$2:$EJ$49,97,FALSE),0)</f>
        <v>0</v>
      </c>
      <c r="AD29" s="65" t="str">
        <f t="shared" si="25"/>
        <v>***</v>
      </c>
      <c r="AE29" s="54"/>
      <c r="AF29" s="54">
        <f>+IFERROR(VLOOKUP($A29,'Goals &amp; Budget 2026'!$A$2:$EJ$49,98,FALSE),0)</f>
        <v>0</v>
      </c>
      <c r="AG29" s="232" t="str">
        <f t="shared" si="26"/>
        <v>***</v>
      </c>
      <c r="AH29" s="54"/>
      <c r="AI29" s="54">
        <f>+IFERROR(VLOOKUP($A29,'Goals &amp; Budget 2026'!$A$2:$EJ$49,99,FALSE),0)</f>
        <v>0</v>
      </c>
      <c r="AJ29" s="65" t="str">
        <f t="shared" si="27"/>
        <v>***</v>
      </c>
      <c r="AK29" s="54"/>
      <c r="AL29" s="54">
        <f>+IFERROR(VLOOKUP($A29,'Goals &amp; Budget 2026'!$A$2:$EJ$49,100,FALSE),0)</f>
        <v>0</v>
      </c>
      <c r="AM29" s="65" t="str">
        <f t="shared" si="28"/>
        <v>***</v>
      </c>
      <c r="AN29" s="54"/>
      <c r="AO29" s="54">
        <f>+IFERROR(VLOOKUP($A29,'Goals &amp; Budget 2026'!$A$2:$EJ$49,101,FALSE),0)</f>
        <v>0</v>
      </c>
      <c r="AP29" s="66" t="str">
        <f t="shared" si="29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51">
        <f t="shared" si="15"/>
        <v>0</v>
      </c>
      <c r="E30" s="54">
        <f t="shared" si="16"/>
        <v>0</v>
      </c>
      <c r="F30" s="232" t="str">
        <f t="shared" si="17"/>
        <v>***</v>
      </c>
      <c r="G30" s="54"/>
      <c r="H30" s="54">
        <f>+IFERROR(VLOOKUP($A30,'Goals &amp; Budget 2026'!$A$2:$EJ$49,90,FALSE),0)</f>
        <v>0</v>
      </c>
      <c r="I30" s="65" t="str">
        <f t="shared" si="18"/>
        <v>***</v>
      </c>
      <c r="J30" s="54"/>
      <c r="K30" s="54">
        <f>+IFERROR(VLOOKUP($A30,'Goals &amp; Budget 2026'!$A$2:$EJ$49,91,FALSE),0)</f>
        <v>0</v>
      </c>
      <c r="L30" s="65" t="str">
        <f t="shared" si="19"/>
        <v>***</v>
      </c>
      <c r="M30" s="54"/>
      <c r="N30" s="54">
        <f>+IFERROR(VLOOKUP($A30,'Goals &amp; Budget 2026'!$A$2:$EJ$49,92,FALSE),0)</f>
        <v>0</v>
      </c>
      <c r="O30" s="232" t="str">
        <f t="shared" si="20"/>
        <v>***</v>
      </c>
      <c r="P30" s="54"/>
      <c r="Q30" s="54">
        <f>+IFERROR(VLOOKUP($A30,'Goals &amp; Budget 2026'!$A$2:$EJ$49,93,FALSE),0)</f>
        <v>0</v>
      </c>
      <c r="R30" s="65" t="str">
        <f t="shared" si="21"/>
        <v>***</v>
      </c>
      <c r="S30" s="54"/>
      <c r="T30" s="54">
        <f>+IFERROR(VLOOKUP($A30,'Goals &amp; Budget 2026'!$A$2:$EJ$49,94,FALSE),0)</f>
        <v>0</v>
      </c>
      <c r="U30" s="65" t="str">
        <f t="shared" si="22"/>
        <v>***</v>
      </c>
      <c r="V30" s="54"/>
      <c r="W30" s="54">
        <f>+IFERROR(VLOOKUP($A30,'Goals &amp; Budget 2026'!$A$2:$EJ$49,95,FALSE),0)</f>
        <v>0</v>
      </c>
      <c r="X30" s="232" t="str">
        <f t="shared" si="23"/>
        <v>***</v>
      </c>
      <c r="Y30" s="54"/>
      <c r="Z30" s="54">
        <f>+IFERROR(VLOOKUP($A30,'Goals &amp; Budget 2026'!$A$2:$EJ$49,96,FALSE),0)</f>
        <v>0</v>
      </c>
      <c r="AA30" s="65" t="str">
        <f t="shared" si="24"/>
        <v>***</v>
      </c>
      <c r="AB30" s="54"/>
      <c r="AC30" s="54">
        <f>+IFERROR(VLOOKUP($A30,'Goals &amp; Budget 2026'!$A$2:$EJ$49,97,FALSE),0)</f>
        <v>0</v>
      </c>
      <c r="AD30" s="65" t="str">
        <f t="shared" si="25"/>
        <v>***</v>
      </c>
      <c r="AE30" s="54"/>
      <c r="AF30" s="54">
        <f>+IFERROR(VLOOKUP($A30,'Goals &amp; Budget 2026'!$A$2:$EJ$49,98,FALSE),0)</f>
        <v>0</v>
      </c>
      <c r="AG30" s="232" t="str">
        <f t="shared" si="26"/>
        <v>***</v>
      </c>
      <c r="AH30" s="54"/>
      <c r="AI30" s="54">
        <f>+IFERROR(VLOOKUP($A30,'Goals &amp; Budget 2026'!$A$2:$EJ$49,99,FALSE),0)</f>
        <v>0</v>
      </c>
      <c r="AJ30" s="65" t="str">
        <f t="shared" si="27"/>
        <v>***</v>
      </c>
      <c r="AK30" s="54"/>
      <c r="AL30" s="54">
        <f>+IFERROR(VLOOKUP($A30,'Goals &amp; Budget 2026'!$A$2:$EJ$49,100,FALSE),0)</f>
        <v>0</v>
      </c>
      <c r="AM30" s="65" t="str">
        <f t="shared" si="28"/>
        <v>***</v>
      </c>
      <c r="AN30" s="54"/>
      <c r="AO30" s="54">
        <f>+IFERROR(VLOOKUP($A30,'Goals &amp; Budget 2026'!$A$2:$EJ$49,101,FALSE),0)</f>
        <v>0</v>
      </c>
      <c r="AP30" s="66" t="str">
        <f t="shared" si="29"/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51">
        <f t="shared" si="15"/>
        <v>0</v>
      </c>
      <c r="E31" s="54">
        <f t="shared" si="16"/>
        <v>0</v>
      </c>
      <c r="F31" s="232" t="str">
        <f t="shared" si="17"/>
        <v>***</v>
      </c>
      <c r="G31" s="54"/>
      <c r="H31" s="54">
        <f>+IFERROR(VLOOKUP($A31,'Goals &amp; Budget 2026'!$A$2:$EJ$49,90,FALSE),0)</f>
        <v>0</v>
      </c>
      <c r="I31" s="65" t="str">
        <f t="shared" si="18"/>
        <v>***</v>
      </c>
      <c r="J31" s="54"/>
      <c r="K31" s="54">
        <f>+IFERROR(VLOOKUP($A31,'Goals &amp; Budget 2026'!$A$2:$EJ$49,91,FALSE),0)</f>
        <v>0</v>
      </c>
      <c r="L31" s="65" t="str">
        <f t="shared" si="19"/>
        <v>***</v>
      </c>
      <c r="M31" s="54"/>
      <c r="N31" s="54">
        <f>+IFERROR(VLOOKUP($A31,'Goals &amp; Budget 2026'!$A$2:$EJ$49,92,FALSE),0)</f>
        <v>0</v>
      </c>
      <c r="O31" s="232" t="str">
        <f t="shared" si="20"/>
        <v>***</v>
      </c>
      <c r="P31" s="54"/>
      <c r="Q31" s="54">
        <f>+IFERROR(VLOOKUP($A31,'Goals &amp; Budget 2026'!$A$2:$EJ$49,93,FALSE),0)</f>
        <v>0</v>
      </c>
      <c r="R31" s="65" t="str">
        <f t="shared" si="21"/>
        <v>***</v>
      </c>
      <c r="S31" s="54"/>
      <c r="T31" s="54">
        <f>+IFERROR(VLOOKUP($A31,'Goals &amp; Budget 2026'!$A$2:$EJ$49,94,FALSE),0)</f>
        <v>0</v>
      </c>
      <c r="U31" s="65" t="str">
        <f t="shared" si="22"/>
        <v>***</v>
      </c>
      <c r="V31" s="54"/>
      <c r="W31" s="54">
        <f>+IFERROR(VLOOKUP($A31,'Goals &amp; Budget 2026'!$A$2:$EJ$49,95,FALSE),0)</f>
        <v>0</v>
      </c>
      <c r="X31" s="232" t="str">
        <f t="shared" si="23"/>
        <v>***</v>
      </c>
      <c r="Y31" s="54"/>
      <c r="Z31" s="54">
        <f>+IFERROR(VLOOKUP($A31,'Goals &amp; Budget 2026'!$A$2:$EJ$49,96,FALSE),0)</f>
        <v>0</v>
      </c>
      <c r="AA31" s="65" t="str">
        <f t="shared" si="24"/>
        <v>***</v>
      </c>
      <c r="AB31" s="54"/>
      <c r="AC31" s="54">
        <f>+IFERROR(VLOOKUP($A31,'Goals &amp; Budget 2026'!$A$2:$EJ$49,97,FALSE),0)</f>
        <v>0</v>
      </c>
      <c r="AD31" s="65" t="str">
        <f t="shared" si="25"/>
        <v>***</v>
      </c>
      <c r="AE31" s="54"/>
      <c r="AF31" s="54">
        <f>+IFERROR(VLOOKUP($A31,'Goals &amp; Budget 2026'!$A$2:$EJ$49,98,FALSE),0)</f>
        <v>0</v>
      </c>
      <c r="AG31" s="232" t="str">
        <f t="shared" si="26"/>
        <v>***</v>
      </c>
      <c r="AH31" s="54"/>
      <c r="AI31" s="54">
        <f>+IFERROR(VLOOKUP($A31,'Goals &amp; Budget 2026'!$A$2:$EJ$49,99,FALSE),0)</f>
        <v>0</v>
      </c>
      <c r="AJ31" s="65" t="str">
        <f t="shared" si="27"/>
        <v>***</v>
      </c>
      <c r="AK31" s="54"/>
      <c r="AL31" s="54">
        <f>+IFERROR(VLOOKUP($A31,'Goals &amp; Budget 2026'!$A$2:$EJ$49,100,FALSE),0)</f>
        <v>0</v>
      </c>
      <c r="AM31" s="65" t="str">
        <f t="shared" si="28"/>
        <v>***</v>
      </c>
      <c r="AN31" s="54"/>
      <c r="AO31" s="54">
        <f>+IFERROR(VLOOKUP($A31,'Goals &amp; Budget 2026'!$A$2:$EJ$49,101,FALSE),0)</f>
        <v>0</v>
      </c>
      <c r="AP31" s="66" t="str">
        <f t="shared" si="29"/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51">
        <f t="shared" si="15"/>
        <v>0</v>
      </c>
      <c r="E32" s="54">
        <f t="shared" si="16"/>
        <v>0</v>
      </c>
      <c r="F32" s="232" t="str">
        <f t="shared" si="17"/>
        <v>***</v>
      </c>
      <c r="G32" s="54"/>
      <c r="H32" s="54">
        <f>+IFERROR(VLOOKUP($A32,'Goals &amp; Budget 2026'!$A$2:$EJ$49,90,FALSE),0)</f>
        <v>0</v>
      </c>
      <c r="I32" s="65" t="str">
        <f t="shared" si="18"/>
        <v>***</v>
      </c>
      <c r="J32" s="54"/>
      <c r="K32" s="54">
        <f>+IFERROR(VLOOKUP($A32,'Goals &amp; Budget 2026'!$A$2:$EJ$49,91,FALSE),0)</f>
        <v>159</v>
      </c>
      <c r="L32" s="65">
        <f t="shared" si="19"/>
        <v>0</v>
      </c>
      <c r="M32" s="54"/>
      <c r="N32" s="54">
        <f>+IFERROR(VLOOKUP($A32,'Goals &amp; Budget 2026'!$A$2:$EJ$49,92,FALSE),0)</f>
        <v>0</v>
      </c>
      <c r="O32" s="232" t="str">
        <f t="shared" si="20"/>
        <v>***</v>
      </c>
      <c r="P32" s="54"/>
      <c r="Q32" s="54">
        <f>+IFERROR(VLOOKUP($A32,'Goals &amp; Budget 2026'!$A$2:$EJ$49,93,FALSE),0)</f>
        <v>0</v>
      </c>
      <c r="R32" s="65" t="str">
        <f t="shared" si="21"/>
        <v>***</v>
      </c>
      <c r="S32" s="54"/>
      <c r="T32" s="54">
        <f>+IFERROR(VLOOKUP($A32,'Goals &amp; Budget 2026'!$A$2:$EJ$49,94,FALSE),0)</f>
        <v>0</v>
      </c>
      <c r="U32" s="65" t="str">
        <f t="shared" si="22"/>
        <v>***</v>
      </c>
      <c r="V32" s="54"/>
      <c r="W32" s="54">
        <f>+IFERROR(VLOOKUP($A32,'Goals &amp; Budget 2026'!$A$2:$EJ$49,95,FALSE),0)</f>
        <v>0</v>
      </c>
      <c r="X32" s="232" t="str">
        <f t="shared" si="23"/>
        <v>***</v>
      </c>
      <c r="Y32" s="54"/>
      <c r="Z32" s="54">
        <f>+IFERROR(VLOOKUP($A32,'Goals &amp; Budget 2026'!$A$2:$EJ$49,96,FALSE),0)</f>
        <v>0</v>
      </c>
      <c r="AA32" s="65" t="str">
        <f t="shared" si="24"/>
        <v>***</v>
      </c>
      <c r="AB32" s="54"/>
      <c r="AC32" s="54">
        <f>+IFERROR(VLOOKUP($A32,'Goals &amp; Budget 2026'!$A$2:$EJ$49,97,FALSE),0)</f>
        <v>0</v>
      </c>
      <c r="AD32" s="65" t="str">
        <f t="shared" si="25"/>
        <v>***</v>
      </c>
      <c r="AE32" s="54"/>
      <c r="AF32" s="54">
        <f>+IFERROR(VLOOKUP($A32,'Goals &amp; Budget 2026'!$A$2:$EJ$49,98,FALSE),0)</f>
        <v>0</v>
      </c>
      <c r="AG32" s="232" t="str">
        <f t="shared" si="26"/>
        <v>***</v>
      </c>
      <c r="AH32" s="54"/>
      <c r="AI32" s="54">
        <f>+IFERROR(VLOOKUP($A32,'Goals &amp; Budget 2026'!$A$2:$EJ$49,99,FALSE),0)</f>
        <v>0</v>
      </c>
      <c r="AJ32" s="65" t="str">
        <f t="shared" si="27"/>
        <v>***</v>
      </c>
      <c r="AK32" s="54"/>
      <c r="AL32" s="54">
        <f>+IFERROR(VLOOKUP($A32,'Goals &amp; Budget 2026'!$A$2:$EJ$49,100,FALSE),0)</f>
        <v>0</v>
      </c>
      <c r="AM32" s="65" t="str">
        <f t="shared" si="28"/>
        <v>***</v>
      </c>
      <c r="AN32" s="54"/>
      <c r="AO32" s="54">
        <f>+IFERROR(VLOOKUP($A32,'Goals &amp; Budget 2026'!$A$2:$EJ$49,101,FALSE),0)</f>
        <v>0</v>
      </c>
      <c r="AP32" s="66" t="str">
        <f t="shared" si="29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51">
        <f t="shared" si="15"/>
        <v>0</v>
      </c>
      <c r="E33" s="54">
        <f t="shared" si="16"/>
        <v>0</v>
      </c>
      <c r="F33" s="232" t="str">
        <f t="shared" si="17"/>
        <v>***</v>
      </c>
      <c r="G33" s="54"/>
      <c r="H33" s="54">
        <f>+IFERROR(VLOOKUP($A33,'Goals &amp; Budget 2026'!$A$2:$EJ$49,90,FALSE),0)</f>
        <v>0</v>
      </c>
      <c r="I33" s="65" t="str">
        <f t="shared" si="18"/>
        <v>***</v>
      </c>
      <c r="J33" s="54"/>
      <c r="K33" s="54">
        <f>+IFERROR(VLOOKUP($A33,'Goals &amp; Budget 2026'!$A$2:$EJ$49,91,FALSE),0)</f>
        <v>0</v>
      </c>
      <c r="L33" s="65" t="str">
        <f t="shared" si="19"/>
        <v>***</v>
      </c>
      <c r="M33" s="54"/>
      <c r="N33" s="54">
        <f>+IFERROR(VLOOKUP($A33,'Goals &amp; Budget 2026'!$A$2:$EJ$49,92,FALSE),0)</f>
        <v>0</v>
      </c>
      <c r="O33" s="232" t="str">
        <f t="shared" si="20"/>
        <v>***</v>
      </c>
      <c r="P33" s="54"/>
      <c r="Q33" s="54">
        <f>+IFERROR(VLOOKUP($A33,'Goals &amp; Budget 2026'!$A$2:$EJ$49,93,FALSE),0)</f>
        <v>0</v>
      </c>
      <c r="R33" s="65" t="str">
        <f t="shared" si="21"/>
        <v>***</v>
      </c>
      <c r="S33" s="54"/>
      <c r="T33" s="54">
        <f>+IFERROR(VLOOKUP($A33,'Goals &amp; Budget 2026'!$A$2:$EJ$49,94,FALSE),0)</f>
        <v>0</v>
      </c>
      <c r="U33" s="65" t="str">
        <f t="shared" si="22"/>
        <v>***</v>
      </c>
      <c r="V33" s="54"/>
      <c r="W33" s="54">
        <f>+IFERROR(VLOOKUP($A33,'Goals &amp; Budget 2026'!$A$2:$EJ$49,95,FALSE),0)</f>
        <v>0</v>
      </c>
      <c r="X33" s="232" t="str">
        <f t="shared" si="23"/>
        <v>***</v>
      </c>
      <c r="Y33" s="54"/>
      <c r="Z33" s="54">
        <f>+IFERROR(VLOOKUP($A33,'Goals &amp; Budget 2026'!$A$2:$EJ$49,96,FALSE),0)</f>
        <v>0</v>
      </c>
      <c r="AA33" s="65" t="str">
        <f t="shared" si="24"/>
        <v>***</v>
      </c>
      <c r="AB33" s="54"/>
      <c r="AC33" s="54">
        <f>+IFERROR(VLOOKUP($A33,'Goals &amp; Budget 2026'!$A$2:$EJ$49,97,FALSE),0)</f>
        <v>0</v>
      </c>
      <c r="AD33" s="65" t="str">
        <f t="shared" si="25"/>
        <v>***</v>
      </c>
      <c r="AE33" s="54"/>
      <c r="AF33" s="54">
        <f>+IFERROR(VLOOKUP($A33,'Goals &amp; Budget 2026'!$A$2:$EJ$49,98,FALSE),0)</f>
        <v>0</v>
      </c>
      <c r="AG33" s="232" t="str">
        <f t="shared" si="26"/>
        <v>***</v>
      </c>
      <c r="AH33" s="54"/>
      <c r="AI33" s="54">
        <f>+IFERROR(VLOOKUP($A33,'Goals &amp; Budget 2026'!$A$2:$EJ$49,99,FALSE),0)</f>
        <v>0</v>
      </c>
      <c r="AJ33" s="65" t="str">
        <f t="shared" si="27"/>
        <v>***</v>
      </c>
      <c r="AK33" s="54"/>
      <c r="AL33" s="54">
        <f>+IFERROR(VLOOKUP($A33,'Goals &amp; Budget 2026'!$A$2:$EJ$49,100,FALSE),0)</f>
        <v>39</v>
      </c>
      <c r="AM33" s="65">
        <f t="shared" si="28"/>
        <v>0</v>
      </c>
      <c r="AN33" s="54"/>
      <c r="AO33" s="54">
        <f>+IFERROR(VLOOKUP($A33,'Goals &amp; Budget 2026'!$A$2:$EJ$49,101,FALSE),0)</f>
        <v>0</v>
      </c>
      <c r="AP33" s="66" t="str">
        <f t="shared" si="29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51">
        <f t="shared" si="15"/>
        <v>0</v>
      </c>
      <c r="E34" s="54">
        <f t="shared" si="16"/>
        <v>0</v>
      </c>
      <c r="F34" s="232" t="str">
        <f t="shared" si="17"/>
        <v>***</v>
      </c>
      <c r="G34" s="54"/>
      <c r="H34" s="54">
        <f>+IFERROR(VLOOKUP($A34,'Goals &amp; Budget 2026'!$A$2:$EJ$49,90,FALSE),0)</f>
        <v>0</v>
      </c>
      <c r="I34" s="65" t="str">
        <f t="shared" si="18"/>
        <v>***</v>
      </c>
      <c r="J34" s="54"/>
      <c r="K34" s="54">
        <f>+IFERROR(VLOOKUP($A34,'Goals &amp; Budget 2026'!$A$2:$EJ$49,91,FALSE),0)</f>
        <v>0</v>
      </c>
      <c r="L34" s="65" t="str">
        <f t="shared" si="19"/>
        <v>***</v>
      </c>
      <c r="M34" s="54"/>
      <c r="N34" s="54">
        <f>+IFERROR(VLOOKUP($A34,'Goals &amp; Budget 2026'!$A$2:$EJ$49,92,FALSE),0)</f>
        <v>0</v>
      </c>
      <c r="O34" s="232" t="str">
        <f t="shared" si="20"/>
        <v>***</v>
      </c>
      <c r="P34" s="54"/>
      <c r="Q34" s="54">
        <f>+IFERROR(VLOOKUP($A34,'Goals &amp; Budget 2026'!$A$2:$EJ$49,93,FALSE),0)</f>
        <v>0</v>
      </c>
      <c r="R34" s="65" t="str">
        <f t="shared" si="21"/>
        <v>***</v>
      </c>
      <c r="S34" s="54"/>
      <c r="T34" s="54">
        <f>+IFERROR(VLOOKUP($A34,'Goals &amp; Budget 2026'!$A$2:$EJ$49,94,FALSE),0)</f>
        <v>0</v>
      </c>
      <c r="U34" s="65" t="str">
        <f t="shared" si="22"/>
        <v>***</v>
      </c>
      <c r="V34" s="54"/>
      <c r="W34" s="54">
        <f>+IFERROR(VLOOKUP($A34,'Goals &amp; Budget 2026'!$A$2:$EJ$49,95,FALSE),0)</f>
        <v>0</v>
      </c>
      <c r="X34" s="232" t="str">
        <f t="shared" si="23"/>
        <v>***</v>
      </c>
      <c r="Y34" s="54"/>
      <c r="Z34" s="54">
        <f>+IFERROR(VLOOKUP($A34,'Goals &amp; Budget 2026'!$A$2:$EJ$49,96,FALSE),0)</f>
        <v>0</v>
      </c>
      <c r="AA34" s="65" t="str">
        <f t="shared" si="24"/>
        <v>***</v>
      </c>
      <c r="AB34" s="54"/>
      <c r="AC34" s="54">
        <f>+IFERROR(VLOOKUP($A34,'Goals &amp; Budget 2026'!$A$2:$EJ$49,97,FALSE),0)</f>
        <v>0</v>
      </c>
      <c r="AD34" s="65" t="str">
        <f t="shared" si="25"/>
        <v>***</v>
      </c>
      <c r="AE34" s="54"/>
      <c r="AF34" s="54">
        <f>+IFERROR(VLOOKUP($A34,'Goals &amp; Budget 2026'!$A$2:$EJ$49,98,FALSE),0)</f>
        <v>63</v>
      </c>
      <c r="AG34" s="232">
        <f t="shared" si="26"/>
        <v>0</v>
      </c>
      <c r="AH34" s="54"/>
      <c r="AI34" s="54">
        <f>+IFERROR(VLOOKUP($A34,'Goals &amp; Budget 2026'!$A$2:$EJ$49,99,FALSE),0)</f>
        <v>0</v>
      </c>
      <c r="AJ34" s="65" t="str">
        <f t="shared" si="27"/>
        <v>***</v>
      </c>
      <c r="AK34" s="54"/>
      <c r="AL34" s="54">
        <f>+IFERROR(VLOOKUP($A34,'Goals &amp; Budget 2026'!$A$2:$EJ$49,100,FALSE),0)</f>
        <v>0</v>
      </c>
      <c r="AM34" s="65" t="str">
        <f t="shared" si="28"/>
        <v>***</v>
      </c>
      <c r="AN34" s="54"/>
      <c r="AO34" s="54">
        <f>+IFERROR(VLOOKUP($A34,'Goals &amp; Budget 2026'!$A$2:$EJ$49,101,FALSE),0)</f>
        <v>0</v>
      </c>
      <c r="AP34" s="66" t="str">
        <f t="shared" si="29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51">
        <f t="shared" si="15"/>
        <v>0</v>
      </c>
      <c r="E35" s="54">
        <f t="shared" si="16"/>
        <v>0</v>
      </c>
      <c r="F35" s="232" t="str">
        <f t="shared" si="17"/>
        <v>***</v>
      </c>
      <c r="G35" s="54"/>
      <c r="H35" s="54">
        <f>+IFERROR(VLOOKUP($A35,'Goals &amp; Budget 2026'!$A$2:$EJ$49,90,FALSE),0)</f>
        <v>0</v>
      </c>
      <c r="I35" s="65" t="str">
        <f t="shared" si="18"/>
        <v>***</v>
      </c>
      <c r="J35" s="54"/>
      <c r="K35" s="54">
        <f>+IFERROR(VLOOKUP($A35,'Goals &amp; Budget 2026'!$A$2:$EJ$49,91,FALSE),0)</f>
        <v>0</v>
      </c>
      <c r="L35" s="65" t="str">
        <f t="shared" si="19"/>
        <v>***</v>
      </c>
      <c r="M35" s="54"/>
      <c r="N35" s="54">
        <f>+IFERROR(VLOOKUP($A35,'Goals &amp; Budget 2026'!$A$2:$EJ$49,92,FALSE),0)</f>
        <v>0</v>
      </c>
      <c r="O35" s="232" t="str">
        <f t="shared" si="20"/>
        <v>***</v>
      </c>
      <c r="P35" s="54"/>
      <c r="Q35" s="54">
        <f>+IFERROR(VLOOKUP($A35,'Goals &amp; Budget 2026'!$A$2:$EJ$49,93,FALSE),0)</f>
        <v>0</v>
      </c>
      <c r="R35" s="65" t="str">
        <f t="shared" si="21"/>
        <v>***</v>
      </c>
      <c r="S35" s="54"/>
      <c r="T35" s="54">
        <f>+IFERROR(VLOOKUP($A35,'Goals &amp; Budget 2026'!$A$2:$EJ$49,94,FALSE),0)</f>
        <v>0</v>
      </c>
      <c r="U35" s="65" t="str">
        <f t="shared" si="22"/>
        <v>***</v>
      </c>
      <c r="V35" s="54"/>
      <c r="W35" s="54">
        <f>+IFERROR(VLOOKUP($A35,'Goals &amp; Budget 2026'!$A$2:$EJ$49,95,FALSE),0)</f>
        <v>0</v>
      </c>
      <c r="X35" s="232" t="str">
        <f t="shared" si="23"/>
        <v>***</v>
      </c>
      <c r="Y35" s="54"/>
      <c r="Z35" s="54">
        <f>+IFERROR(VLOOKUP($A35,'Goals &amp; Budget 2026'!$A$2:$EJ$49,96,FALSE),0)</f>
        <v>0</v>
      </c>
      <c r="AA35" s="65" t="str">
        <f t="shared" si="24"/>
        <v>***</v>
      </c>
      <c r="AB35" s="54"/>
      <c r="AC35" s="54">
        <f>+IFERROR(VLOOKUP($A35,'Goals &amp; Budget 2026'!$A$2:$EJ$49,97,FALSE),0)</f>
        <v>0</v>
      </c>
      <c r="AD35" s="65" t="str">
        <f t="shared" si="25"/>
        <v>***</v>
      </c>
      <c r="AE35" s="54"/>
      <c r="AF35" s="54">
        <f>+IFERROR(VLOOKUP($A35,'Goals &amp; Budget 2026'!$A$2:$EJ$49,98,FALSE),0)</f>
        <v>0</v>
      </c>
      <c r="AG35" s="232" t="str">
        <f t="shared" si="26"/>
        <v>***</v>
      </c>
      <c r="AH35" s="54"/>
      <c r="AI35" s="54">
        <f>+IFERROR(VLOOKUP($A35,'Goals &amp; Budget 2026'!$A$2:$EJ$49,99,FALSE),0)</f>
        <v>0</v>
      </c>
      <c r="AJ35" s="65" t="str">
        <f t="shared" si="27"/>
        <v>***</v>
      </c>
      <c r="AK35" s="54"/>
      <c r="AL35" s="54">
        <f>+IFERROR(VLOOKUP($A35,'Goals &amp; Budget 2026'!$A$2:$EJ$49,100,FALSE),0)</f>
        <v>0</v>
      </c>
      <c r="AM35" s="65" t="str">
        <f t="shared" si="28"/>
        <v>***</v>
      </c>
      <c r="AN35" s="54"/>
      <c r="AO35" s="54">
        <f>+IFERROR(VLOOKUP($A35,'Goals &amp; Budget 2026'!$A$2:$EJ$49,101,FALSE),0)</f>
        <v>0</v>
      </c>
      <c r="AP35" s="66" t="str">
        <f t="shared" si="29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51">
        <f t="shared" si="15"/>
        <v>0</v>
      </c>
      <c r="E36" s="54">
        <f t="shared" si="16"/>
        <v>0</v>
      </c>
      <c r="F36" s="232" t="str">
        <f t="shared" si="17"/>
        <v>***</v>
      </c>
      <c r="G36" s="54"/>
      <c r="H36" s="54">
        <f>+IFERROR(VLOOKUP($A36,'Goals &amp; Budget 2026'!$A$2:$EJ$49,90,FALSE),0)</f>
        <v>0</v>
      </c>
      <c r="I36" s="65" t="str">
        <f t="shared" si="18"/>
        <v>***</v>
      </c>
      <c r="J36" s="54"/>
      <c r="K36" s="54">
        <f>+IFERROR(VLOOKUP($A36,'Goals &amp; Budget 2026'!$A$2:$EJ$49,91,FALSE),0)</f>
        <v>0</v>
      </c>
      <c r="L36" s="65" t="str">
        <f t="shared" si="19"/>
        <v>***</v>
      </c>
      <c r="M36" s="54"/>
      <c r="N36" s="54">
        <f>+IFERROR(VLOOKUP($A36,'Goals &amp; Budget 2026'!$A$2:$EJ$49,92,FALSE),0)</f>
        <v>0</v>
      </c>
      <c r="O36" s="232" t="str">
        <f t="shared" si="20"/>
        <v>***</v>
      </c>
      <c r="P36" s="54"/>
      <c r="Q36" s="54">
        <f>+IFERROR(VLOOKUP($A36,'Goals &amp; Budget 2026'!$A$2:$EJ$49,93,FALSE),0)</f>
        <v>0</v>
      </c>
      <c r="R36" s="65" t="str">
        <f t="shared" si="21"/>
        <v>***</v>
      </c>
      <c r="S36" s="54"/>
      <c r="T36" s="54">
        <f>+IFERROR(VLOOKUP($A36,'Goals &amp; Budget 2026'!$A$2:$EJ$49,94,FALSE),0)</f>
        <v>0</v>
      </c>
      <c r="U36" s="65" t="str">
        <f t="shared" si="22"/>
        <v>***</v>
      </c>
      <c r="V36" s="54"/>
      <c r="W36" s="54">
        <f>+IFERROR(VLOOKUP($A36,'Goals &amp; Budget 2026'!$A$2:$EJ$49,95,FALSE),0)</f>
        <v>0</v>
      </c>
      <c r="X36" s="232" t="str">
        <f t="shared" si="23"/>
        <v>***</v>
      </c>
      <c r="Y36" s="54"/>
      <c r="Z36" s="54">
        <f>+IFERROR(VLOOKUP($A36,'Goals &amp; Budget 2026'!$A$2:$EJ$49,96,FALSE),0)</f>
        <v>0</v>
      </c>
      <c r="AA36" s="65" t="str">
        <f t="shared" si="24"/>
        <v>***</v>
      </c>
      <c r="AB36" s="54"/>
      <c r="AC36" s="54">
        <f>+IFERROR(VLOOKUP($A36,'Goals &amp; Budget 2026'!$A$2:$EJ$49,97,FALSE),0)</f>
        <v>0</v>
      </c>
      <c r="AD36" s="65" t="str">
        <f t="shared" si="25"/>
        <v>***</v>
      </c>
      <c r="AE36" s="54"/>
      <c r="AF36" s="54">
        <f>+IFERROR(VLOOKUP($A36,'Goals &amp; Budget 2026'!$A$2:$EJ$49,98,FALSE),0)</f>
        <v>0</v>
      </c>
      <c r="AG36" s="232" t="str">
        <f t="shared" si="26"/>
        <v>***</v>
      </c>
      <c r="AH36" s="54"/>
      <c r="AI36" s="54">
        <f>+IFERROR(VLOOKUP($A36,'Goals &amp; Budget 2026'!$A$2:$EJ$49,99,FALSE),0)</f>
        <v>0</v>
      </c>
      <c r="AJ36" s="65" t="str">
        <f t="shared" si="27"/>
        <v>***</v>
      </c>
      <c r="AK36" s="54"/>
      <c r="AL36" s="54">
        <f>+IFERROR(VLOOKUP($A36,'Goals &amp; Budget 2026'!$A$2:$EJ$49,100,FALSE),0)</f>
        <v>0</v>
      </c>
      <c r="AM36" s="65" t="str">
        <f t="shared" si="28"/>
        <v>***</v>
      </c>
      <c r="AN36" s="54"/>
      <c r="AO36" s="54">
        <f>+IFERROR(VLOOKUP($A36,'Goals &amp; Budget 2026'!$A$2:$EJ$49,101,FALSE),0)</f>
        <v>0</v>
      </c>
      <c r="AP36" s="66" t="str">
        <f t="shared" si="29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51">
        <f t="shared" si="15"/>
        <v>0</v>
      </c>
      <c r="E37" s="54">
        <f t="shared" si="16"/>
        <v>0</v>
      </c>
      <c r="F37" s="232" t="str">
        <f t="shared" si="17"/>
        <v>***</v>
      </c>
      <c r="G37" s="54"/>
      <c r="H37" s="54">
        <f>+IFERROR(VLOOKUP($A37,'Goals &amp; Budget 2026'!$A$2:$EJ$49,90,FALSE),0)</f>
        <v>0</v>
      </c>
      <c r="I37" s="65" t="str">
        <f t="shared" si="18"/>
        <v>***</v>
      </c>
      <c r="J37" s="54"/>
      <c r="K37" s="54">
        <f>+IFERROR(VLOOKUP($A37,'Goals &amp; Budget 2026'!$A$2:$EJ$49,91,FALSE),0)</f>
        <v>0</v>
      </c>
      <c r="L37" s="65" t="str">
        <f t="shared" si="19"/>
        <v>***</v>
      </c>
      <c r="M37" s="54"/>
      <c r="N37" s="54">
        <f>+IFERROR(VLOOKUP($A37,'Goals &amp; Budget 2026'!$A$2:$EJ$49,92,FALSE),0)</f>
        <v>0</v>
      </c>
      <c r="O37" s="232" t="str">
        <f t="shared" si="20"/>
        <v>***</v>
      </c>
      <c r="P37" s="54"/>
      <c r="Q37" s="54">
        <f>+IFERROR(VLOOKUP($A37,'Goals &amp; Budget 2026'!$A$2:$EJ$49,93,FALSE),0)</f>
        <v>0</v>
      </c>
      <c r="R37" s="65" t="str">
        <f t="shared" si="21"/>
        <v>***</v>
      </c>
      <c r="S37" s="54"/>
      <c r="T37" s="54">
        <f>+IFERROR(VLOOKUP($A37,'Goals &amp; Budget 2026'!$A$2:$EJ$49,94,FALSE),0)</f>
        <v>0</v>
      </c>
      <c r="U37" s="65" t="str">
        <f t="shared" si="22"/>
        <v>***</v>
      </c>
      <c r="V37" s="54"/>
      <c r="W37" s="54">
        <f>+IFERROR(VLOOKUP($A37,'Goals &amp; Budget 2026'!$A$2:$EJ$49,95,FALSE),0)</f>
        <v>0</v>
      </c>
      <c r="X37" s="232" t="str">
        <f t="shared" si="23"/>
        <v>***</v>
      </c>
      <c r="Y37" s="54"/>
      <c r="Z37" s="54">
        <f>+IFERROR(VLOOKUP($A37,'Goals &amp; Budget 2026'!$A$2:$EJ$49,96,FALSE),0)</f>
        <v>0</v>
      </c>
      <c r="AA37" s="65" t="str">
        <f t="shared" si="24"/>
        <v>***</v>
      </c>
      <c r="AB37" s="54"/>
      <c r="AC37" s="54">
        <f>+IFERROR(VLOOKUP($A37,'Goals &amp; Budget 2026'!$A$2:$EJ$49,97,FALSE),0)</f>
        <v>0</v>
      </c>
      <c r="AD37" s="65" t="str">
        <f t="shared" si="25"/>
        <v>***</v>
      </c>
      <c r="AE37" s="54"/>
      <c r="AF37" s="54">
        <f>+IFERROR(VLOOKUP($A37,'Goals &amp; Budget 2026'!$A$2:$EJ$49,98,FALSE),0)</f>
        <v>0</v>
      </c>
      <c r="AG37" s="232" t="str">
        <f t="shared" si="26"/>
        <v>***</v>
      </c>
      <c r="AH37" s="54"/>
      <c r="AI37" s="54">
        <f>+IFERROR(VLOOKUP($A37,'Goals &amp; Budget 2026'!$A$2:$EJ$49,99,FALSE),0)</f>
        <v>0</v>
      </c>
      <c r="AJ37" s="65" t="str">
        <f t="shared" si="27"/>
        <v>***</v>
      </c>
      <c r="AK37" s="54"/>
      <c r="AL37" s="54">
        <f>+IFERROR(VLOOKUP($A37,'Goals &amp; Budget 2026'!$A$2:$EJ$49,100,FALSE),0)</f>
        <v>0</v>
      </c>
      <c r="AM37" s="65" t="str">
        <f t="shared" si="28"/>
        <v>***</v>
      </c>
      <c r="AN37" s="54"/>
      <c r="AO37" s="54">
        <f>+IFERROR(VLOOKUP($A37,'Goals &amp; Budget 2026'!$A$2:$EJ$49,101,FALSE),0)</f>
        <v>0</v>
      </c>
      <c r="AP37" s="66" t="str">
        <f t="shared" si="29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51">
        <f t="shared" si="15"/>
        <v>0</v>
      </c>
      <c r="E38" s="54">
        <f t="shared" si="16"/>
        <v>0</v>
      </c>
      <c r="F38" s="232" t="str">
        <f t="shared" si="17"/>
        <v>***</v>
      </c>
      <c r="G38" s="54"/>
      <c r="H38" s="54">
        <f>+IFERROR(VLOOKUP($A38,'Goals &amp; Budget 2026'!$A$2:$EJ$49,90,FALSE),0)</f>
        <v>0</v>
      </c>
      <c r="I38" s="65" t="str">
        <f t="shared" si="18"/>
        <v>***</v>
      </c>
      <c r="J38" s="54"/>
      <c r="K38" s="54">
        <f>+IFERROR(VLOOKUP($A38,'Goals &amp; Budget 2026'!$A$2:$EJ$49,91,FALSE),0)</f>
        <v>0</v>
      </c>
      <c r="L38" s="65" t="str">
        <f t="shared" si="19"/>
        <v>***</v>
      </c>
      <c r="M38" s="54"/>
      <c r="N38" s="54">
        <f>+IFERROR(VLOOKUP($A38,'Goals &amp; Budget 2026'!$A$2:$EJ$49,92,FALSE),0)</f>
        <v>0</v>
      </c>
      <c r="O38" s="232" t="str">
        <f t="shared" si="20"/>
        <v>***</v>
      </c>
      <c r="P38" s="54"/>
      <c r="Q38" s="54">
        <f>+IFERROR(VLOOKUP($A38,'Goals &amp; Budget 2026'!$A$2:$EJ$49,93,FALSE),0)</f>
        <v>0</v>
      </c>
      <c r="R38" s="65" t="str">
        <f t="shared" si="21"/>
        <v>***</v>
      </c>
      <c r="S38" s="54"/>
      <c r="T38" s="54">
        <f>+IFERROR(VLOOKUP($A38,'Goals &amp; Budget 2026'!$A$2:$EJ$49,94,FALSE),0)</f>
        <v>0</v>
      </c>
      <c r="U38" s="65" t="str">
        <f t="shared" si="22"/>
        <v>***</v>
      </c>
      <c r="V38" s="54"/>
      <c r="W38" s="54">
        <f>+IFERROR(VLOOKUP($A38,'Goals &amp; Budget 2026'!$A$2:$EJ$49,95,FALSE),0)</f>
        <v>0</v>
      </c>
      <c r="X38" s="232" t="str">
        <f t="shared" si="23"/>
        <v>***</v>
      </c>
      <c r="Y38" s="54"/>
      <c r="Z38" s="54">
        <f>+IFERROR(VLOOKUP($A38,'Goals &amp; Budget 2026'!$A$2:$EJ$49,96,FALSE),0)</f>
        <v>0</v>
      </c>
      <c r="AA38" s="65" t="str">
        <f t="shared" si="24"/>
        <v>***</v>
      </c>
      <c r="AB38" s="54"/>
      <c r="AC38" s="54">
        <f>+IFERROR(VLOOKUP($A38,'Goals &amp; Budget 2026'!$A$2:$EJ$49,97,FALSE),0)</f>
        <v>0</v>
      </c>
      <c r="AD38" s="65" t="str">
        <f t="shared" si="25"/>
        <v>***</v>
      </c>
      <c r="AE38" s="54"/>
      <c r="AF38" s="54">
        <f>+IFERROR(VLOOKUP($A38,'Goals &amp; Budget 2026'!$A$2:$EJ$49,98,FALSE),0)</f>
        <v>0</v>
      </c>
      <c r="AG38" s="232" t="str">
        <f t="shared" si="26"/>
        <v>***</v>
      </c>
      <c r="AH38" s="54"/>
      <c r="AI38" s="54">
        <f>+IFERROR(VLOOKUP($A38,'Goals &amp; Budget 2026'!$A$2:$EJ$49,99,FALSE),0)</f>
        <v>0</v>
      </c>
      <c r="AJ38" s="65" t="str">
        <f t="shared" si="27"/>
        <v>***</v>
      </c>
      <c r="AK38" s="54"/>
      <c r="AL38" s="54">
        <f>+IFERROR(VLOOKUP($A38,'Goals &amp; Budget 2026'!$A$2:$EJ$49,100,FALSE),0)</f>
        <v>0</v>
      </c>
      <c r="AM38" s="65" t="str">
        <f t="shared" si="28"/>
        <v>***</v>
      </c>
      <c r="AN38" s="54"/>
      <c r="AO38" s="54">
        <f>+IFERROR(VLOOKUP($A38,'Goals &amp; Budget 2026'!$A$2:$EJ$49,101,FALSE),0)</f>
        <v>0</v>
      </c>
      <c r="AP38" s="66" t="str">
        <f t="shared" si="29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51">
        <f t="shared" si="15"/>
        <v>0</v>
      </c>
      <c r="E39" s="54">
        <f t="shared" si="16"/>
        <v>0</v>
      </c>
      <c r="F39" s="232" t="str">
        <f t="shared" si="17"/>
        <v>***</v>
      </c>
      <c r="G39" s="54"/>
      <c r="H39" s="54">
        <f>+IFERROR(VLOOKUP($A39,'Goals &amp; Budget 2026'!$A$2:$EJ$49,90,FALSE),0)</f>
        <v>0</v>
      </c>
      <c r="I39" s="65" t="str">
        <f t="shared" si="18"/>
        <v>***</v>
      </c>
      <c r="J39" s="54"/>
      <c r="K39" s="54">
        <f>+IFERROR(VLOOKUP($A39,'Goals &amp; Budget 2026'!$A$2:$EJ$49,91,FALSE),0)</f>
        <v>0</v>
      </c>
      <c r="L39" s="65" t="str">
        <f t="shared" si="19"/>
        <v>***</v>
      </c>
      <c r="M39" s="54"/>
      <c r="N39" s="54">
        <f>+IFERROR(VLOOKUP($A39,'Goals &amp; Budget 2026'!$A$2:$EJ$49,92,FALSE),0)</f>
        <v>0</v>
      </c>
      <c r="O39" s="232" t="str">
        <f t="shared" si="20"/>
        <v>***</v>
      </c>
      <c r="P39" s="54"/>
      <c r="Q39" s="54">
        <f>+IFERROR(VLOOKUP($A39,'Goals &amp; Budget 2026'!$A$2:$EJ$49,93,FALSE),0)</f>
        <v>0</v>
      </c>
      <c r="R39" s="65" t="str">
        <f t="shared" si="21"/>
        <v>***</v>
      </c>
      <c r="S39" s="54"/>
      <c r="T39" s="54">
        <f>+IFERROR(VLOOKUP($A39,'Goals &amp; Budget 2026'!$A$2:$EJ$49,94,FALSE),0)</f>
        <v>0</v>
      </c>
      <c r="U39" s="65" t="str">
        <f t="shared" si="22"/>
        <v>***</v>
      </c>
      <c r="V39" s="54"/>
      <c r="W39" s="54">
        <f>+IFERROR(VLOOKUP($A39,'Goals &amp; Budget 2026'!$A$2:$EJ$49,95,FALSE),0)</f>
        <v>0</v>
      </c>
      <c r="X39" s="232" t="str">
        <f t="shared" si="23"/>
        <v>***</v>
      </c>
      <c r="Y39" s="54"/>
      <c r="Z39" s="54">
        <f>+IFERROR(VLOOKUP($A39,'Goals &amp; Budget 2026'!$A$2:$EJ$49,96,FALSE),0)</f>
        <v>0</v>
      </c>
      <c r="AA39" s="65" t="str">
        <f t="shared" si="24"/>
        <v>***</v>
      </c>
      <c r="AB39" s="54"/>
      <c r="AC39" s="54">
        <f>+IFERROR(VLOOKUP($A39,'Goals &amp; Budget 2026'!$A$2:$EJ$49,97,FALSE),0)</f>
        <v>0</v>
      </c>
      <c r="AD39" s="65" t="str">
        <f t="shared" si="25"/>
        <v>***</v>
      </c>
      <c r="AE39" s="54"/>
      <c r="AF39" s="54">
        <f>+IFERROR(VLOOKUP($A39,'Goals &amp; Budget 2026'!$A$2:$EJ$49,98,FALSE),0)</f>
        <v>0</v>
      </c>
      <c r="AG39" s="232" t="str">
        <f t="shared" si="26"/>
        <v>***</v>
      </c>
      <c r="AH39" s="54"/>
      <c r="AI39" s="54">
        <f>+IFERROR(VLOOKUP($A39,'Goals &amp; Budget 2026'!$A$2:$EJ$49,99,FALSE),0)</f>
        <v>0</v>
      </c>
      <c r="AJ39" s="65" t="str">
        <f t="shared" si="27"/>
        <v>***</v>
      </c>
      <c r="AK39" s="54"/>
      <c r="AL39" s="54">
        <f>+IFERROR(VLOOKUP($A39,'Goals &amp; Budget 2026'!$A$2:$EJ$49,100,FALSE),0)</f>
        <v>0</v>
      </c>
      <c r="AM39" s="65" t="str">
        <f t="shared" si="28"/>
        <v>***</v>
      </c>
      <c r="AN39" s="54"/>
      <c r="AO39" s="54">
        <f>+IFERROR(VLOOKUP($A39,'Goals &amp; Budget 2026'!$A$2:$EJ$49,101,FALSE),0)</f>
        <v>0</v>
      </c>
      <c r="AP39" s="66" t="str">
        <f t="shared" si="29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51">
        <f t="shared" si="15"/>
        <v>0</v>
      </c>
      <c r="E40" s="54">
        <f t="shared" si="16"/>
        <v>0</v>
      </c>
      <c r="F40" s="232" t="str">
        <f t="shared" si="17"/>
        <v>***</v>
      </c>
      <c r="G40" s="54"/>
      <c r="H40" s="54">
        <f>+IFERROR(VLOOKUP($A40,'Goals &amp; Budget 2026'!$A$2:$EJ$49,90,FALSE),0)</f>
        <v>0</v>
      </c>
      <c r="I40" s="65" t="str">
        <f t="shared" si="18"/>
        <v>***</v>
      </c>
      <c r="J40" s="54"/>
      <c r="K40" s="54">
        <f>+IFERROR(VLOOKUP($A40,'Goals &amp; Budget 2026'!$A$2:$EJ$49,91,FALSE),0)</f>
        <v>0</v>
      </c>
      <c r="L40" s="65" t="str">
        <f t="shared" si="19"/>
        <v>***</v>
      </c>
      <c r="M40" s="54"/>
      <c r="N40" s="54">
        <f>+IFERROR(VLOOKUP($A40,'Goals &amp; Budget 2026'!$A$2:$EJ$49,92,FALSE),0)</f>
        <v>0</v>
      </c>
      <c r="O40" s="232" t="str">
        <f t="shared" si="20"/>
        <v>***</v>
      </c>
      <c r="P40" s="54"/>
      <c r="Q40" s="54">
        <f>+IFERROR(VLOOKUP($A40,'Goals &amp; Budget 2026'!$A$2:$EJ$49,93,FALSE),0)</f>
        <v>0</v>
      </c>
      <c r="R40" s="65" t="str">
        <f t="shared" si="21"/>
        <v>***</v>
      </c>
      <c r="S40" s="54"/>
      <c r="T40" s="54">
        <f>+IFERROR(VLOOKUP($A40,'Goals &amp; Budget 2026'!$A$2:$EJ$49,94,FALSE),0)</f>
        <v>0</v>
      </c>
      <c r="U40" s="65" t="str">
        <f t="shared" si="22"/>
        <v>***</v>
      </c>
      <c r="V40" s="54"/>
      <c r="W40" s="54">
        <f>+IFERROR(VLOOKUP($A40,'Goals &amp; Budget 2026'!$A$2:$EJ$49,95,FALSE),0)</f>
        <v>0</v>
      </c>
      <c r="X40" s="232" t="str">
        <f t="shared" si="23"/>
        <v>***</v>
      </c>
      <c r="Y40" s="54"/>
      <c r="Z40" s="54">
        <f>+IFERROR(VLOOKUP($A40,'Goals &amp; Budget 2026'!$A$2:$EJ$49,96,FALSE),0)</f>
        <v>0</v>
      </c>
      <c r="AA40" s="65" t="str">
        <f t="shared" si="24"/>
        <v>***</v>
      </c>
      <c r="AB40" s="54"/>
      <c r="AC40" s="54">
        <f>+IFERROR(VLOOKUP($A40,'Goals &amp; Budget 2026'!$A$2:$EJ$49,97,FALSE),0)</f>
        <v>0</v>
      </c>
      <c r="AD40" s="65" t="str">
        <f t="shared" si="25"/>
        <v>***</v>
      </c>
      <c r="AE40" s="54"/>
      <c r="AF40" s="54">
        <f>+IFERROR(VLOOKUP($A40,'Goals &amp; Budget 2026'!$A$2:$EJ$49,98,FALSE),0)</f>
        <v>0</v>
      </c>
      <c r="AG40" s="232" t="str">
        <f t="shared" si="26"/>
        <v>***</v>
      </c>
      <c r="AH40" s="54"/>
      <c r="AI40" s="54">
        <f>+IFERROR(VLOOKUP($A40,'Goals &amp; Budget 2026'!$A$2:$EJ$49,99,FALSE),0)</f>
        <v>0</v>
      </c>
      <c r="AJ40" s="65" t="str">
        <f t="shared" si="27"/>
        <v>***</v>
      </c>
      <c r="AK40" s="54"/>
      <c r="AL40" s="54">
        <f>+IFERROR(VLOOKUP($A40,'Goals &amp; Budget 2026'!$A$2:$EJ$49,100,FALSE),0)</f>
        <v>0</v>
      </c>
      <c r="AM40" s="65" t="str">
        <f t="shared" si="28"/>
        <v>***</v>
      </c>
      <c r="AN40" s="54"/>
      <c r="AO40" s="54">
        <f>+IFERROR(VLOOKUP($A40,'Goals &amp; Budget 2026'!$A$2:$EJ$49,101,FALSE),0)</f>
        <v>0</v>
      </c>
      <c r="AP40" s="66" t="str">
        <f t="shared" si="29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1">
        <f t="shared" si="15"/>
        <v>0</v>
      </c>
      <c r="E41" s="54">
        <f t="shared" si="16"/>
        <v>0</v>
      </c>
      <c r="F41" s="232" t="str">
        <f t="shared" si="17"/>
        <v>***</v>
      </c>
      <c r="G41" s="54"/>
      <c r="H41" s="54">
        <f>+IFERROR(VLOOKUP($A41,'Goals &amp; Budget 2026'!$A$2:$EJ$49,90,FALSE),0)</f>
        <v>0</v>
      </c>
      <c r="I41" s="65" t="str">
        <f t="shared" si="18"/>
        <v>***</v>
      </c>
      <c r="J41" s="54"/>
      <c r="K41" s="54">
        <f>+IFERROR(VLOOKUP($A41,'Goals &amp; Budget 2026'!$A$2:$EJ$49,91,FALSE),0)</f>
        <v>0</v>
      </c>
      <c r="L41" s="65" t="str">
        <f t="shared" si="19"/>
        <v>***</v>
      </c>
      <c r="M41" s="54"/>
      <c r="N41" s="54">
        <f>+IFERROR(VLOOKUP($A41,'Goals &amp; Budget 2026'!$A$2:$EJ$49,92,FALSE),0)</f>
        <v>0</v>
      </c>
      <c r="O41" s="232" t="str">
        <f t="shared" si="20"/>
        <v>***</v>
      </c>
      <c r="P41" s="54"/>
      <c r="Q41" s="54">
        <f>+IFERROR(VLOOKUP($A41,'Goals &amp; Budget 2026'!$A$2:$EJ$49,93,FALSE),0)</f>
        <v>0</v>
      </c>
      <c r="R41" s="65" t="str">
        <f t="shared" si="21"/>
        <v>***</v>
      </c>
      <c r="S41" s="54"/>
      <c r="T41" s="54">
        <f>+IFERROR(VLOOKUP($A41,'Goals &amp; Budget 2026'!$A$2:$EJ$49,94,FALSE),0)</f>
        <v>0</v>
      </c>
      <c r="U41" s="65" t="str">
        <f t="shared" si="22"/>
        <v>***</v>
      </c>
      <c r="V41" s="54"/>
      <c r="W41" s="54">
        <f>+IFERROR(VLOOKUP($A41,'Goals &amp; Budget 2026'!$A$2:$EJ$49,95,FALSE),0)</f>
        <v>0</v>
      </c>
      <c r="X41" s="232" t="str">
        <f t="shared" si="23"/>
        <v>***</v>
      </c>
      <c r="Y41" s="54"/>
      <c r="Z41" s="54">
        <f>+IFERROR(VLOOKUP($A41,'Goals &amp; Budget 2026'!$A$2:$EJ$49,96,FALSE),0)</f>
        <v>0</v>
      </c>
      <c r="AA41" s="65" t="str">
        <f t="shared" si="24"/>
        <v>***</v>
      </c>
      <c r="AB41" s="54"/>
      <c r="AC41" s="54">
        <f>+IFERROR(VLOOKUP($A41,'Goals &amp; Budget 2026'!$A$2:$EJ$49,97,FALSE),0)</f>
        <v>0</v>
      </c>
      <c r="AD41" s="65" t="str">
        <f t="shared" si="25"/>
        <v>***</v>
      </c>
      <c r="AE41" s="54"/>
      <c r="AF41" s="54">
        <f>+IFERROR(VLOOKUP($A41,'Goals &amp; Budget 2026'!$A$2:$EJ$49,98,FALSE),0)</f>
        <v>0</v>
      </c>
      <c r="AG41" s="232" t="str">
        <f t="shared" si="26"/>
        <v>***</v>
      </c>
      <c r="AH41" s="54"/>
      <c r="AI41" s="54">
        <f>+IFERROR(VLOOKUP($A41,'Goals &amp; Budget 2026'!$A$2:$EJ$49,99,FALSE),0)</f>
        <v>0</v>
      </c>
      <c r="AJ41" s="65" t="str">
        <f t="shared" si="27"/>
        <v>***</v>
      </c>
      <c r="AK41" s="54"/>
      <c r="AL41" s="54">
        <f>+IFERROR(VLOOKUP($A41,'Goals &amp; Budget 2026'!$A$2:$EJ$49,100,FALSE),0)</f>
        <v>0</v>
      </c>
      <c r="AM41" s="65" t="str">
        <f t="shared" si="28"/>
        <v>***</v>
      </c>
      <c r="AN41" s="54"/>
      <c r="AO41" s="54">
        <f>+IFERROR(VLOOKUP($A41,'Goals &amp; Budget 2026'!$A$2:$EJ$49,101,FALSE),0)</f>
        <v>0</v>
      </c>
      <c r="AP41" s="66" t="str">
        <f t="shared" si="29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1">
        <f t="shared" si="15"/>
        <v>0</v>
      </c>
      <c r="E42" s="54">
        <f t="shared" si="16"/>
        <v>0</v>
      </c>
      <c r="F42" s="232" t="str">
        <f t="shared" si="17"/>
        <v>***</v>
      </c>
      <c r="G42" s="54"/>
      <c r="H42" s="54">
        <f>+IFERROR(VLOOKUP($A42,'Goals &amp; Budget 2026'!$A$2:$EJ$49,90,FALSE),0)</f>
        <v>0</v>
      </c>
      <c r="I42" s="65" t="str">
        <f t="shared" si="18"/>
        <v>***</v>
      </c>
      <c r="J42" s="54"/>
      <c r="K42" s="54">
        <f>+IFERROR(VLOOKUP($A42,'Goals &amp; Budget 2026'!$A$2:$EJ$49,91,FALSE),0)</f>
        <v>0</v>
      </c>
      <c r="L42" s="65" t="str">
        <f t="shared" si="19"/>
        <v>***</v>
      </c>
      <c r="M42" s="54"/>
      <c r="N42" s="54">
        <f>+IFERROR(VLOOKUP($A42,'Goals &amp; Budget 2026'!$A$2:$EJ$49,92,FALSE),0)</f>
        <v>0</v>
      </c>
      <c r="O42" s="232" t="str">
        <f t="shared" si="20"/>
        <v>***</v>
      </c>
      <c r="P42" s="54"/>
      <c r="Q42" s="54">
        <f>+IFERROR(VLOOKUP($A42,'Goals &amp; Budget 2026'!$A$2:$EJ$49,93,FALSE),0)</f>
        <v>0</v>
      </c>
      <c r="R42" s="65" t="str">
        <f t="shared" si="21"/>
        <v>***</v>
      </c>
      <c r="S42" s="54"/>
      <c r="T42" s="54">
        <f>+IFERROR(VLOOKUP($A42,'Goals &amp; Budget 2026'!$A$2:$EJ$49,94,FALSE),0)</f>
        <v>0</v>
      </c>
      <c r="U42" s="65" t="str">
        <f t="shared" si="22"/>
        <v>***</v>
      </c>
      <c r="V42" s="54"/>
      <c r="W42" s="54">
        <f>+IFERROR(VLOOKUP($A42,'Goals &amp; Budget 2026'!$A$2:$EJ$49,95,FALSE),0)</f>
        <v>0</v>
      </c>
      <c r="X42" s="232" t="str">
        <f t="shared" si="23"/>
        <v>***</v>
      </c>
      <c r="Y42" s="54"/>
      <c r="Z42" s="54">
        <f>+IFERROR(VLOOKUP($A42,'Goals &amp; Budget 2026'!$A$2:$EJ$49,96,FALSE),0)</f>
        <v>0</v>
      </c>
      <c r="AA42" s="65" t="str">
        <f t="shared" si="24"/>
        <v>***</v>
      </c>
      <c r="AB42" s="54"/>
      <c r="AC42" s="54">
        <f>+IFERROR(VLOOKUP($A42,'Goals &amp; Budget 2026'!$A$2:$EJ$49,97,FALSE),0)</f>
        <v>0</v>
      </c>
      <c r="AD42" s="65" t="str">
        <f t="shared" si="25"/>
        <v>***</v>
      </c>
      <c r="AE42" s="54"/>
      <c r="AF42" s="54">
        <f>+IFERROR(VLOOKUP($A42,'Goals &amp; Budget 2026'!$A$2:$EJ$49,98,FALSE),0)</f>
        <v>0</v>
      </c>
      <c r="AG42" s="232" t="str">
        <f t="shared" si="26"/>
        <v>***</v>
      </c>
      <c r="AH42" s="54"/>
      <c r="AI42" s="54">
        <f>+IFERROR(VLOOKUP($A42,'Goals &amp; Budget 2026'!$A$2:$EJ$49,99,FALSE),0)</f>
        <v>0</v>
      </c>
      <c r="AJ42" s="65" t="str">
        <f t="shared" si="27"/>
        <v>***</v>
      </c>
      <c r="AK42" s="54"/>
      <c r="AL42" s="54">
        <f>+IFERROR(VLOOKUP($A42,'Goals &amp; Budget 2026'!$A$2:$EJ$49,100,FALSE),0)</f>
        <v>0</v>
      </c>
      <c r="AM42" s="65" t="str">
        <f t="shared" si="28"/>
        <v>***</v>
      </c>
      <c r="AN42" s="54"/>
      <c r="AO42" s="54">
        <f>+IFERROR(VLOOKUP($A42,'Goals &amp; Budget 2026'!$A$2:$EJ$49,101,FALSE),0)</f>
        <v>0</v>
      </c>
      <c r="AP42" s="66" t="str">
        <f t="shared" si="29"/>
        <v>***</v>
      </c>
    </row>
    <row r="43" spans="1:42" ht="19.5" customHeight="1" x14ac:dyDescent="0.25">
      <c r="A43" s="51" t="s">
        <v>104</v>
      </c>
      <c r="B43" s="52">
        <v>1</v>
      </c>
      <c r="C43" s="53">
        <v>90</v>
      </c>
      <c r="D43" s="51">
        <f t="shared" si="15"/>
        <v>0</v>
      </c>
      <c r="E43" s="54">
        <f t="shared" si="16"/>
        <v>0</v>
      </c>
      <c r="F43" s="232" t="str">
        <f t="shared" si="17"/>
        <v>***</v>
      </c>
      <c r="G43" s="54"/>
      <c r="H43" s="54">
        <f>+IFERROR(VLOOKUP($A43,'Goals &amp; Budget 2026'!$A$2:$EJ$49,90,FALSE),0)</f>
        <v>0</v>
      </c>
      <c r="I43" s="65" t="str">
        <f t="shared" si="18"/>
        <v>***</v>
      </c>
      <c r="J43" s="54"/>
      <c r="K43" s="54">
        <f>+IFERROR(VLOOKUP($A43,'Goals &amp; Budget 2026'!$A$2:$EJ$49,91,FALSE),0)</f>
        <v>0</v>
      </c>
      <c r="L43" s="65" t="str">
        <f t="shared" si="19"/>
        <v>***</v>
      </c>
      <c r="M43" s="54"/>
      <c r="N43" s="54">
        <f>+IFERROR(VLOOKUP($A43,'Goals &amp; Budget 2026'!$A$2:$EJ$49,92,FALSE),0)</f>
        <v>0</v>
      </c>
      <c r="O43" s="232" t="str">
        <f t="shared" si="20"/>
        <v>***</v>
      </c>
      <c r="P43" s="54"/>
      <c r="Q43" s="54">
        <f>+IFERROR(VLOOKUP($A43,'Goals &amp; Budget 2026'!$A$2:$EJ$49,93,FALSE),0)</f>
        <v>0</v>
      </c>
      <c r="R43" s="65" t="str">
        <f t="shared" si="21"/>
        <v>***</v>
      </c>
      <c r="S43" s="54"/>
      <c r="T43" s="54">
        <f>+IFERROR(VLOOKUP($A43,'Goals &amp; Budget 2026'!$A$2:$EJ$49,94,FALSE),0)</f>
        <v>0</v>
      </c>
      <c r="U43" s="65" t="str">
        <f t="shared" si="22"/>
        <v>***</v>
      </c>
      <c r="V43" s="54"/>
      <c r="W43" s="54">
        <f>+IFERROR(VLOOKUP($A43,'Goals &amp; Budget 2026'!$A$2:$EJ$49,95,FALSE),0)</f>
        <v>0</v>
      </c>
      <c r="X43" s="232" t="str">
        <f t="shared" si="23"/>
        <v>***</v>
      </c>
      <c r="Y43" s="54"/>
      <c r="Z43" s="54">
        <f>+IFERROR(VLOOKUP($A43,'Goals &amp; Budget 2026'!$A$2:$EJ$49,96,FALSE),0)</f>
        <v>0</v>
      </c>
      <c r="AA43" s="65" t="str">
        <f t="shared" si="24"/>
        <v>***</v>
      </c>
      <c r="AB43" s="54"/>
      <c r="AC43" s="54">
        <f>+IFERROR(VLOOKUP($A43,'Goals &amp; Budget 2026'!$A$2:$EJ$49,97,FALSE),0)</f>
        <v>0</v>
      </c>
      <c r="AD43" s="65" t="str">
        <f t="shared" si="25"/>
        <v>***</v>
      </c>
      <c r="AE43" s="54"/>
      <c r="AF43" s="54">
        <f>+IFERROR(VLOOKUP($A43,'Goals &amp; Budget 2026'!$A$2:$EJ$49,98,FALSE),0)</f>
        <v>0</v>
      </c>
      <c r="AG43" s="232" t="str">
        <f t="shared" si="26"/>
        <v>***</v>
      </c>
      <c r="AH43" s="54"/>
      <c r="AI43" s="54">
        <f>+IFERROR(VLOOKUP($A43,'Goals &amp; Budget 2026'!$A$2:$EJ$49,99,FALSE),0)</f>
        <v>0</v>
      </c>
      <c r="AJ43" s="65" t="str">
        <f t="shared" si="27"/>
        <v>***</v>
      </c>
      <c r="AK43" s="54"/>
      <c r="AL43" s="54">
        <f>+IFERROR(VLOOKUP($A43,'Goals &amp; Budget 2026'!$A$2:$EJ$49,100,FALSE),0)</f>
        <v>0</v>
      </c>
      <c r="AM43" s="65" t="str">
        <f t="shared" si="28"/>
        <v>***</v>
      </c>
      <c r="AN43" s="54"/>
      <c r="AO43" s="54">
        <f>+IFERROR(VLOOKUP($A43,'Goals &amp; Budget 2026'!$A$2:$EJ$49,101,FALSE),0)</f>
        <v>0</v>
      </c>
      <c r="AP43" s="66" t="str">
        <f t="shared" si="29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15"/>
        <v>0</v>
      </c>
      <c r="E44" s="54">
        <f t="shared" si="16"/>
        <v>0</v>
      </c>
      <c r="F44" s="232" t="str">
        <f t="shared" si="17"/>
        <v>***</v>
      </c>
      <c r="G44" s="54"/>
      <c r="H44" s="54">
        <f>+IFERROR(VLOOKUP($A44,'Goals &amp; Budget 2026'!$A$2:$EJ$49,90,FALSE),0)</f>
        <v>0</v>
      </c>
      <c r="I44" s="65" t="str">
        <f t="shared" si="18"/>
        <v>***</v>
      </c>
      <c r="J44" s="54"/>
      <c r="K44" s="54">
        <f>+IFERROR(VLOOKUP($A44,'Goals &amp; Budget 2026'!$A$2:$EJ$49,91,FALSE),0)</f>
        <v>0</v>
      </c>
      <c r="L44" s="65" t="str">
        <f t="shared" si="19"/>
        <v>***</v>
      </c>
      <c r="M44" s="54"/>
      <c r="N44" s="54">
        <f>+IFERROR(VLOOKUP($A44,'Goals &amp; Budget 2026'!$A$2:$EJ$49,92,FALSE),0)</f>
        <v>0</v>
      </c>
      <c r="O44" s="232" t="str">
        <f t="shared" si="20"/>
        <v>***</v>
      </c>
      <c r="P44" s="54"/>
      <c r="Q44" s="54">
        <f>+IFERROR(VLOOKUP($A44,'Goals &amp; Budget 2026'!$A$2:$EJ$49,93,FALSE),0)</f>
        <v>0</v>
      </c>
      <c r="R44" s="65" t="str">
        <f t="shared" si="21"/>
        <v>***</v>
      </c>
      <c r="S44" s="54"/>
      <c r="T44" s="54">
        <f>+IFERROR(VLOOKUP($A44,'Goals &amp; Budget 2026'!$A$2:$EJ$49,94,FALSE),0)</f>
        <v>0</v>
      </c>
      <c r="U44" s="65" t="str">
        <f t="shared" si="22"/>
        <v>***</v>
      </c>
      <c r="V44" s="54"/>
      <c r="W44" s="54">
        <f>+IFERROR(VLOOKUP($A44,'Goals &amp; Budget 2026'!$A$2:$EJ$49,95,FALSE),0)</f>
        <v>0</v>
      </c>
      <c r="X44" s="232" t="str">
        <f t="shared" si="23"/>
        <v>***</v>
      </c>
      <c r="Y44" s="54"/>
      <c r="Z44" s="54">
        <f>+IFERROR(VLOOKUP($A44,'Goals &amp; Budget 2026'!$A$2:$EJ$49,96,FALSE),0)</f>
        <v>0</v>
      </c>
      <c r="AA44" s="65" t="str">
        <f t="shared" si="24"/>
        <v>***</v>
      </c>
      <c r="AB44" s="54"/>
      <c r="AC44" s="54">
        <f>+IFERROR(VLOOKUP($A44,'Goals &amp; Budget 2026'!$A$2:$EJ$49,97,FALSE),0)</f>
        <v>0</v>
      </c>
      <c r="AD44" s="65" t="str">
        <f t="shared" si="25"/>
        <v>***</v>
      </c>
      <c r="AE44" s="54"/>
      <c r="AF44" s="54">
        <f>+IFERROR(VLOOKUP($A44,'Goals &amp; Budget 2026'!$A$2:$EJ$49,98,FALSE),0)</f>
        <v>0</v>
      </c>
      <c r="AG44" s="232" t="str">
        <f t="shared" si="26"/>
        <v>***</v>
      </c>
      <c r="AH44" s="54"/>
      <c r="AI44" s="54">
        <f>+IFERROR(VLOOKUP($A44,'Goals &amp; Budget 2026'!$A$2:$EJ$49,99,FALSE),0)</f>
        <v>0</v>
      </c>
      <c r="AJ44" s="65" t="str">
        <f t="shared" si="27"/>
        <v>***</v>
      </c>
      <c r="AK44" s="54"/>
      <c r="AL44" s="54">
        <f>+IFERROR(VLOOKUP($A44,'Goals &amp; Budget 2026'!$A$2:$EJ$49,100,FALSE),0)</f>
        <v>0</v>
      </c>
      <c r="AM44" s="65" t="str">
        <f t="shared" si="28"/>
        <v>***</v>
      </c>
      <c r="AN44" s="54"/>
      <c r="AO44" s="54">
        <f>+IFERROR(VLOOKUP($A44,'Goals &amp; Budget 2026'!$A$2:$EJ$49,101,FALSE),0)</f>
        <v>0</v>
      </c>
      <c r="AP44" s="66" t="str">
        <f t="shared" si="29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15"/>
        <v>0</v>
      </c>
      <c r="E45" s="54">
        <f t="shared" si="16"/>
        <v>0</v>
      </c>
      <c r="F45" s="232" t="str">
        <f t="shared" si="17"/>
        <v>***</v>
      </c>
      <c r="G45" s="54"/>
      <c r="H45" s="54">
        <f>+IFERROR(VLOOKUP($A45,'Goals &amp; Budget 2026'!$A$2:$EJ$49,90,FALSE),0)</f>
        <v>0</v>
      </c>
      <c r="I45" s="65" t="str">
        <f t="shared" si="18"/>
        <v>***</v>
      </c>
      <c r="J45" s="54"/>
      <c r="K45" s="54">
        <f>+IFERROR(VLOOKUP($A45,'Goals &amp; Budget 2026'!$A$2:$EJ$49,91,FALSE),0)</f>
        <v>0</v>
      </c>
      <c r="L45" s="65" t="str">
        <f t="shared" si="19"/>
        <v>***</v>
      </c>
      <c r="M45" s="54"/>
      <c r="N45" s="54">
        <f>+IFERROR(VLOOKUP($A45,'Goals &amp; Budget 2026'!$A$2:$EJ$49,92,FALSE),0)</f>
        <v>0</v>
      </c>
      <c r="O45" s="232" t="str">
        <f t="shared" si="20"/>
        <v>***</v>
      </c>
      <c r="P45" s="54"/>
      <c r="Q45" s="54">
        <f>+IFERROR(VLOOKUP($A45,'Goals &amp; Budget 2026'!$A$2:$EJ$49,93,FALSE),0)</f>
        <v>0</v>
      </c>
      <c r="R45" s="65" t="str">
        <f t="shared" si="21"/>
        <v>***</v>
      </c>
      <c r="S45" s="54"/>
      <c r="T45" s="54">
        <f>+IFERROR(VLOOKUP($A45,'Goals &amp; Budget 2026'!$A$2:$EJ$49,94,FALSE),0)</f>
        <v>0</v>
      </c>
      <c r="U45" s="65" t="str">
        <f t="shared" si="22"/>
        <v>***</v>
      </c>
      <c r="V45" s="54"/>
      <c r="W45" s="54">
        <f>+IFERROR(VLOOKUP($A45,'Goals &amp; Budget 2026'!$A$2:$EJ$49,95,FALSE),0)</f>
        <v>46</v>
      </c>
      <c r="X45" s="232">
        <f t="shared" si="23"/>
        <v>0</v>
      </c>
      <c r="Y45" s="54"/>
      <c r="Z45" s="54">
        <f>+IFERROR(VLOOKUP($A45,'Goals &amp; Budget 2026'!$A$2:$EJ$49,96,FALSE),0)</f>
        <v>0</v>
      </c>
      <c r="AA45" s="65" t="str">
        <f t="shared" si="24"/>
        <v>***</v>
      </c>
      <c r="AB45" s="54"/>
      <c r="AC45" s="54">
        <f>+IFERROR(VLOOKUP($A45,'Goals &amp; Budget 2026'!$A$2:$EJ$49,97,FALSE),0)</f>
        <v>0</v>
      </c>
      <c r="AD45" s="65" t="str">
        <f t="shared" si="25"/>
        <v>***</v>
      </c>
      <c r="AE45" s="54"/>
      <c r="AF45" s="54">
        <f>+IFERROR(VLOOKUP($A45,'Goals &amp; Budget 2026'!$A$2:$EJ$49,98,FALSE),0)</f>
        <v>0</v>
      </c>
      <c r="AG45" s="232" t="str">
        <f t="shared" si="26"/>
        <v>***</v>
      </c>
      <c r="AH45" s="54"/>
      <c r="AI45" s="54">
        <f>+IFERROR(VLOOKUP($A45,'Goals &amp; Budget 2026'!$A$2:$EJ$49,99,FALSE),0)</f>
        <v>0</v>
      </c>
      <c r="AJ45" s="65" t="str">
        <f t="shared" si="27"/>
        <v>***</v>
      </c>
      <c r="AK45" s="54"/>
      <c r="AL45" s="54">
        <f>+IFERROR(VLOOKUP($A45,'Goals &amp; Budget 2026'!$A$2:$EJ$49,100,FALSE),0)</f>
        <v>0</v>
      </c>
      <c r="AM45" s="65" t="str">
        <f t="shared" si="28"/>
        <v>***</v>
      </c>
      <c r="AN45" s="54"/>
      <c r="AO45" s="54">
        <f>+IFERROR(VLOOKUP($A45,'Goals &amp; Budget 2026'!$A$2:$EJ$49,101,FALSE),0)</f>
        <v>0</v>
      </c>
      <c r="AP45" s="66" t="str">
        <f t="shared" si="29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1">
        <f t="shared" si="15"/>
        <v>0</v>
      </c>
      <c r="E46" s="54">
        <f t="shared" si="16"/>
        <v>0</v>
      </c>
      <c r="F46" s="232" t="str">
        <f t="shared" si="17"/>
        <v>***</v>
      </c>
      <c r="G46" s="54"/>
      <c r="H46" s="54">
        <f>+IFERROR(VLOOKUP($A46,'Goals &amp; Budget 2026'!$A$2:$EJ$49,90,FALSE),0)</f>
        <v>0</v>
      </c>
      <c r="I46" s="65" t="str">
        <f t="shared" si="18"/>
        <v>***</v>
      </c>
      <c r="J46" s="54"/>
      <c r="K46" s="54">
        <f>+IFERROR(VLOOKUP($A46,'Goals &amp; Budget 2026'!$A$2:$EJ$49,91,FALSE),0)</f>
        <v>0</v>
      </c>
      <c r="L46" s="65" t="str">
        <f t="shared" si="19"/>
        <v>***</v>
      </c>
      <c r="M46" s="54"/>
      <c r="N46" s="54">
        <f>+IFERROR(VLOOKUP($A46,'Goals &amp; Budget 2026'!$A$2:$EJ$49,92,FALSE),0)</f>
        <v>0</v>
      </c>
      <c r="O46" s="232" t="str">
        <f t="shared" si="20"/>
        <v>***</v>
      </c>
      <c r="P46" s="54"/>
      <c r="Q46" s="54">
        <f>+IFERROR(VLOOKUP($A46,'Goals &amp; Budget 2026'!$A$2:$EJ$49,93,FALSE),0)</f>
        <v>0</v>
      </c>
      <c r="R46" s="65" t="str">
        <f t="shared" si="21"/>
        <v>***</v>
      </c>
      <c r="S46" s="54"/>
      <c r="T46" s="54">
        <f>+IFERROR(VLOOKUP($A46,'Goals &amp; Budget 2026'!$A$2:$EJ$49,94,FALSE),0)</f>
        <v>0</v>
      </c>
      <c r="U46" s="65" t="str">
        <f t="shared" si="22"/>
        <v>***</v>
      </c>
      <c r="V46" s="54"/>
      <c r="W46" s="54">
        <f>+IFERROR(VLOOKUP($A46,'Goals &amp; Budget 2026'!$A$2:$EJ$49,95,FALSE),0)</f>
        <v>0</v>
      </c>
      <c r="X46" s="232" t="str">
        <f t="shared" si="23"/>
        <v>***</v>
      </c>
      <c r="Y46" s="54"/>
      <c r="Z46" s="54">
        <f>+IFERROR(VLOOKUP($A46,'Goals &amp; Budget 2026'!$A$2:$EJ$49,96,FALSE),0)</f>
        <v>0</v>
      </c>
      <c r="AA46" s="65" t="str">
        <f t="shared" si="24"/>
        <v>***</v>
      </c>
      <c r="AB46" s="54"/>
      <c r="AC46" s="54">
        <f>+IFERROR(VLOOKUP($A46,'Goals &amp; Budget 2026'!$A$2:$EJ$49,97,FALSE),0)</f>
        <v>0</v>
      </c>
      <c r="AD46" s="65" t="str">
        <f t="shared" si="25"/>
        <v>***</v>
      </c>
      <c r="AE46" s="54"/>
      <c r="AF46" s="54">
        <f>+IFERROR(VLOOKUP($A46,'Goals &amp; Budget 2026'!$A$2:$EJ$49,98,FALSE),0)</f>
        <v>0</v>
      </c>
      <c r="AG46" s="232" t="str">
        <f t="shared" si="26"/>
        <v>***</v>
      </c>
      <c r="AH46" s="54"/>
      <c r="AI46" s="54">
        <f>+IFERROR(VLOOKUP($A46,'Goals &amp; Budget 2026'!$A$2:$EJ$49,99,FALSE),0)</f>
        <v>0</v>
      </c>
      <c r="AJ46" s="65" t="str">
        <f t="shared" si="27"/>
        <v>***</v>
      </c>
      <c r="AK46" s="54"/>
      <c r="AL46" s="54">
        <f>+IFERROR(VLOOKUP($A46,'Goals &amp; Budget 2026'!$A$2:$EJ$49,100,FALSE),0)</f>
        <v>0</v>
      </c>
      <c r="AM46" s="65" t="str">
        <f t="shared" si="28"/>
        <v>***</v>
      </c>
      <c r="AN46" s="54"/>
      <c r="AO46" s="54">
        <f>+IFERROR(VLOOKUP($A46,'Goals &amp; Budget 2026'!$A$2:$EJ$49,101,FALSE),0)</f>
        <v>0</v>
      </c>
      <c r="AP46" s="66" t="str">
        <f t="shared" si="29"/>
        <v>***</v>
      </c>
    </row>
    <row r="47" spans="1:42" ht="20.100000000000001" customHeight="1" thickBot="1" x14ac:dyDescent="0.3">
      <c r="A47" s="51" t="s">
        <v>106</v>
      </c>
      <c r="B47" s="52">
        <v>1</v>
      </c>
      <c r="C47" s="53">
        <v>378</v>
      </c>
      <c r="D47" s="51">
        <f t="shared" si="15"/>
        <v>0</v>
      </c>
      <c r="E47" s="54">
        <f t="shared" si="16"/>
        <v>0</v>
      </c>
      <c r="F47" s="232" t="str">
        <f t="shared" si="17"/>
        <v>***</v>
      </c>
      <c r="G47" s="54"/>
      <c r="H47" s="54">
        <f>+IFERROR(VLOOKUP($A47,'Goals &amp; Budget 2026'!$A$2:$EJ$49,90,FALSE),0)</f>
        <v>0</v>
      </c>
      <c r="I47" s="65" t="str">
        <f t="shared" si="18"/>
        <v>***</v>
      </c>
      <c r="J47" s="54"/>
      <c r="K47" s="54">
        <f>+IFERROR(VLOOKUP($A47,'Goals &amp; Budget 2026'!$A$2:$EJ$49,91,FALSE),0)</f>
        <v>0</v>
      </c>
      <c r="L47" s="65" t="str">
        <f t="shared" si="19"/>
        <v>***</v>
      </c>
      <c r="M47" s="54"/>
      <c r="N47" s="54">
        <f>+IFERROR(VLOOKUP($A47,'Goals &amp; Budget 2026'!$A$2:$EJ$49,92,FALSE),0)</f>
        <v>0</v>
      </c>
      <c r="O47" s="232" t="str">
        <f t="shared" si="20"/>
        <v>***</v>
      </c>
      <c r="P47" s="54"/>
      <c r="Q47" s="54">
        <f>+IFERROR(VLOOKUP($A47,'Goals &amp; Budget 2026'!$A$2:$EJ$49,93,FALSE),0)</f>
        <v>0</v>
      </c>
      <c r="R47" s="65" t="str">
        <f t="shared" si="21"/>
        <v>***</v>
      </c>
      <c r="S47" s="54"/>
      <c r="T47" s="54">
        <f>+IFERROR(VLOOKUP($A47,'Goals &amp; Budget 2026'!$A$2:$EJ$49,94,FALSE),0)</f>
        <v>0</v>
      </c>
      <c r="U47" s="65" t="str">
        <f t="shared" si="22"/>
        <v>***</v>
      </c>
      <c r="V47" s="54"/>
      <c r="W47" s="54">
        <f>+IFERROR(VLOOKUP($A47,'Goals &amp; Budget 2026'!$A$2:$EJ$49,95,FALSE),0)</f>
        <v>0</v>
      </c>
      <c r="X47" s="232" t="str">
        <f t="shared" si="23"/>
        <v>***</v>
      </c>
      <c r="Y47" s="54"/>
      <c r="Z47" s="54">
        <f>+IFERROR(VLOOKUP($A47,'Goals &amp; Budget 2026'!$A$2:$EJ$49,96,FALSE),0)</f>
        <v>0</v>
      </c>
      <c r="AA47" s="65" t="str">
        <f t="shared" si="24"/>
        <v>***</v>
      </c>
      <c r="AB47" s="54"/>
      <c r="AC47" s="54">
        <f>+IFERROR(VLOOKUP($A47,'Goals &amp; Budget 2026'!$A$2:$EJ$49,97,FALSE),0)</f>
        <v>0</v>
      </c>
      <c r="AD47" s="65" t="str">
        <f t="shared" si="25"/>
        <v>***</v>
      </c>
      <c r="AE47" s="54"/>
      <c r="AF47" s="54">
        <f>+IFERROR(VLOOKUP($A47,'Goals &amp; Budget 2026'!$A$2:$EJ$49,98,FALSE),0)</f>
        <v>0</v>
      </c>
      <c r="AG47" s="232" t="str">
        <f t="shared" si="26"/>
        <v>***</v>
      </c>
      <c r="AH47" s="54"/>
      <c r="AI47" s="54">
        <f>+IFERROR(VLOOKUP($A47,'Goals &amp; Budget 2026'!$A$2:$EJ$49,99,FALSE),0)</f>
        <v>0</v>
      </c>
      <c r="AJ47" s="65" t="str">
        <f t="shared" si="27"/>
        <v>***</v>
      </c>
      <c r="AK47" s="54"/>
      <c r="AL47" s="54">
        <f>+IFERROR(VLOOKUP($A47,'Goals &amp; Budget 2026'!$A$2:$EJ$49,100,FALSE),0)</f>
        <v>0</v>
      </c>
      <c r="AM47" s="65" t="str">
        <f t="shared" si="28"/>
        <v>***</v>
      </c>
      <c r="AN47" s="54"/>
      <c r="AO47" s="54">
        <f>+IFERROR(VLOOKUP($A47,'Goals &amp; Budget 2026'!$A$2:$EJ$49,101,FALSE),0)</f>
        <v>0</v>
      </c>
      <c r="AP47" s="66" t="str">
        <f t="shared" si="29"/>
        <v>***</v>
      </c>
    </row>
    <row r="48" spans="1:42" ht="20.100000000000001" customHeight="1" x14ac:dyDescent="0.25">
      <c r="A48" s="172" t="s">
        <v>12</v>
      </c>
      <c r="B48" s="173"/>
      <c r="C48" s="236"/>
      <c r="D48" s="125">
        <f>+SUM(D3:D47)</f>
        <v>0</v>
      </c>
      <c r="E48" s="126">
        <f>+SUM(E3:E46)</f>
        <v>0</v>
      </c>
      <c r="F48" s="237" t="str">
        <f>IF(AND(D48&gt;0,E48&gt;0),D48/E48,IF(AND(D48&gt;0,E48=0),100%,IF(AND(D48=0,E48&gt;0),0,IF(AND(D48=0,E48=0),"***",0))))</f>
        <v>***</v>
      </c>
      <c r="G48" s="126">
        <f>+SUM(G3:G47)</f>
        <v>0</v>
      </c>
      <c r="H48" s="126">
        <f>+SUM(H3:H47)</f>
        <v>0</v>
      </c>
      <c r="I48" s="238" t="str">
        <f t="shared" ref="I48:I49" si="30">IF(AND(G48&gt;0,H48&gt;0),G48/H48,IF(AND(G48&gt;0,H48=0),100%,IF(AND(G48=0,H48&gt;0),0,IF(AND(G48=0,H48=0),"***",0))))</f>
        <v>***</v>
      </c>
      <c r="J48" s="126">
        <f>+SUM(J3:J47)</f>
        <v>0</v>
      </c>
      <c r="K48" s="126">
        <f>+SUM(K3:K47)</f>
        <v>159</v>
      </c>
      <c r="L48" s="238">
        <f t="shared" ref="L48:L49" si="31">IF(AND(J48&gt;0,K48&gt;0),J48/K48,IF(AND(J48&gt;0,K48=0),100%,IF(AND(J48=0,K48&gt;0),0,IF(AND(J48=0,K48=0),"***",0))))</f>
        <v>0</v>
      </c>
      <c r="M48" s="126">
        <f>+SUM(M3:M47)</f>
        <v>0</v>
      </c>
      <c r="N48" s="126">
        <f>+SUM(N3:N47)</f>
        <v>0</v>
      </c>
      <c r="O48" s="237" t="str">
        <f t="shared" ref="O48:O49" si="32">IF(AND(M48&gt;0,N48&gt;0),M48/N48,IF(AND(M48&gt;0,N48=0),100%,IF(AND(M48=0,N48&gt;0),0,IF(AND(M48=0,N48=0),"***",0))))</f>
        <v>***</v>
      </c>
      <c r="P48" s="126">
        <f>+SUM(P3:P47)</f>
        <v>0</v>
      </c>
      <c r="Q48" s="126">
        <f>+SUM(Q3:Q47)</f>
        <v>0</v>
      </c>
      <c r="R48" s="238" t="str">
        <f t="shared" ref="R48:R49" si="33">IF(AND(P48&gt;0,Q48&gt;0),P48/Q48,IF(AND(P48&gt;0,Q48=0),100%,IF(AND(P48=0,Q48&gt;0),0,IF(AND(P48=0,Q48=0),"***",0))))</f>
        <v>***</v>
      </c>
      <c r="S48" s="126">
        <f>+SUM(S3:S47)</f>
        <v>0</v>
      </c>
      <c r="T48" s="126">
        <f>+SUM(T3:T47)</f>
        <v>56</v>
      </c>
      <c r="U48" s="238">
        <f t="shared" ref="U48:U49" si="34">IF(AND(S48&gt;0,T48&gt;0),S48/T48,IF(AND(S48&gt;0,T48=0),100%,IF(AND(S48=0,T48&gt;0),0,IF(AND(S48=0,T48=0),"***",0))))</f>
        <v>0</v>
      </c>
      <c r="V48" s="126">
        <f>+SUM(V3:V47)</f>
        <v>0</v>
      </c>
      <c r="W48" s="126">
        <f>+SUM(W3:W47)</f>
        <v>46</v>
      </c>
      <c r="X48" s="237">
        <f t="shared" ref="X48:X49" si="35">IF(AND(V48&gt;0,W48&gt;0),V48/W48,IF(AND(V48&gt;0,W48=0),100%,IF(AND(V48=0,W48&gt;0),0,IF(AND(V48=0,W48=0),"***",0))))</f>
        <v>0</v>
      </c>
      <c r="Y48" s="126">
        <f>+SUM(Y3:Y47)</f>
        <v>0</v>
      </c>
      <c r="Z48" s="126">
        <f>+SUM(Z3:Z47)</f>
        <v>0</v>
      </c>
      <c r="AA48" s="238" t="str">
        <f t="shared" ref="AA48:AA49" si="36">IF(AND(Y48&gt;0,Z48&gt;0),Y48/Z48,IF(AND(Y48&gt;0,Z48=0),100%,IF(AND(Y48=0,Z48&gt;0),0,IF(AND(Y48=0,Z48=0),"***",0))))</f>
        <v>***</v>
      </c>
      <c r="AB48" s="126">
        <f>+SUM(AB3:AB47)</f>
        <v>0</v>
      </c>
      <c r="AC48" s="126">
        <f>+SUM(AC3:AC47)</f>
        <v>0</v>
      </c>
      <c r="AD48" s="238" t="str">
        <f t="shared" ref="AD48:AD49" si="37">IF(AND(AB48&gt;0,AC48&gt;0),AB48/AC48,IF(AND(AB48&gt;0,AC48=0),100%,IF(AND(AB48=0,AC48&gt;0),0,IF(AND(AB48=0,AC48=0),"***",0))))</f>
        <v>***</v>
      </c>
      <c r="AE48" s="126">
        <f>+SUM(AE3:AE47)</f>
        <v>0</v>
      </c>
      <c r="AF48" s="126">
        <f>+SUM(AF3:AF47)</f>
        <v>63</v>
      </c>
      <c r="AG48" s="237">
        <f t="shared" ref="AG48:AG49" si="38">IF(AND(AE48&gt;0,AF48&gt;0),AE48/AF48,IF(AND(AE48&gt;0,AF48=0),100%,IF(AND(AE48=0,AF48&gt;0),0,IF(AND(AE48=0,AF48=0),"***",0))))</f>
        <v>0</v>
      </c>
      <c r="AH48" s="126">
        <f>+SUM(AH3:AH47)</f>
        <v>0</v>
      </c>
      <c r="AI48" s="126">
        <f>+SUM(AI3:AI47)</f>
        <v>0</v>
      </c>
      <c r="AJ48" s="238" t="str">
        <f t="shared" ref="AJ48:AJ49" si="39">IF(AND(AH48&gt;0,AI48&gt;0),AH48/AI48,IF(AND(AH48&gt;0,AI48=0),100%,IF(AND(AH48=0,AI48&gt;0),0,IF(AND(AH48=0,AI48=0),"***",0))))</f>
        <v>***</v>
      </c>
      <c r="AK48" s="126">
        <f>+SUM(AK3:AK47)</f>
        <v>0</v>
      </c>
      <c r="AL48" s="126">
        <f>+SUM(AL3:AL47)</f>
        <v>39</v>
      </c>
      <c r="AM48" s="238">
        <f t="shared" ref="AM48:AM49" si="40">IF(AND(AK48&gt;0,AL48&gt;0),AK48/AL48,IF(AND(AK48&gt;0,AL48=0),100%,IF(AND(AK48=0,AL48&gt;0),0,IF(AND(AK48=0,AL48=0),"***",0))))</f>
        <v>0</v>
      </c>
      <c r="AN48" s="126">
        <f>+SUM(AN3:AN47)</f>
        <v>0</v>
      </c>
      <c r="AO48" s="126">
        <f>+SUM(AO3:AO47)</f>
        <v>262</v>
      </c>
      <c r="AP48" s="239">
        <f t="shared" ref="AP48:AP49" si="41">IF(AND(AN48&gt;0,AO48&gt;0),AN48/AO48,IF(AND(AN48&gt;0,AO48=0),100%,IF(AND(AN48=0,AO48&gt;0),0,IF(AND(AN48=0,AO48=0),"***",0))))</f>
        <v>0</v>
      </c>
    </row>
    <row r="49" spans="1:42" ht="20.100000000000001" customHeight="1" thickBot="1" x14ac:dyDescent="0.3">
      <c r="A49" s="240" t="s">
        <v>23</v>
      </c>
      <c r="B49" s="241"/>
      <c r="C49" s="242"/>
      <c r="D49" s="139">
        <f>+SUMPRODUCT(D3:D47,$B$3:$B$47)</f>
        <v>0</v>
      </c>
      <c r="E49" s="140">
        <f>+SUMPRODUCT(E3:E47,$B$3:$B$47)</f>
        <v>0</v>
      </c>
      <c r="F49" s="243" t="str">
        <f>IF(AND(D49&gt;0,E49&gt;0),D49/E49,IF(AND(D49&gt;0,E49=0),100%,IF(AND(D49=0,E49&gt;0),0,IF(AND(D49=0,E49=0),"***",0))))</f>
        <v>***</v>
      </c>
      <c r="G49" s="140">
        <f>+SUMPRODUCT(G3:G47,$B$3:$B$47)</f>
        <v>0</v>
      </c>
      <c r="H49" s="140">
        <f>+SUMPRODUCT(H3:H47,$B$3:$B$47)</f>
        <v>0</v>
      </c>
      <c r="I49" s="244" t="str">
        <f t="shared" si="30"/>
        <v>***</v>
      </c>
      <c r="J49" s="140">
        <f>+SUMPRODUCT(J3:J47,$B$3:$B$47)</f>
        <v>0</v>
      </c>
      <c r="K49" s="140">
        <f>+SUMPRODUCT(K3:K47,$B$3:$B$47)</f>
        <v>159</v>
      </c>
      <c r="L49" s="244">
        <f t="shared" si="31"/>
        <v>0</v>
      </c>
      <c r="M49" s="140">
        <f>+SUMPRODUCT(M3:M47,$B$3:$B$47)</f>
        <v>0</v>
      </c>
      <c r="N49" s="140">
        <f>+SUMPRODUCT(N3:N47,$B$3:$B$47)</f>
        <v>0</v>
      </c>
      <c r="O49" s="243" t="str">
        <f t="shared" si="32"/>
        <v>***</v>
      </c>
      <c r="P49" s="140">
        <f>+SUMPRODUCT(P3:P47,$B$3:$B$47)</f>
        <v>0</v>
      </c>
      <c r="Q49" s="140">
        <f>+SUMPRODUCT(Q3:Q47,$B$3:$B$47)</f>
        <v>0</v>
      </c>
      <c r="R49" s="244" t="str">
        <f t="shared" si="33"/>
        <v>***</v>
      </c>
      <c r="S49" s="140">
        <f>+SUMPRODUCT(S3:S47,$B$3:$B$47)</f>
        <v>0</v>
      </c>
      <c r="T49" s="140">
        <f>+SUMPRODUCT(T3:T47,$B$3:$B$47)</f>
        <v>56</v>
      </c>
      <c r="U49" s="244">
        <f t="shared" si="34"/>
        <v>0</v>
      </c>
      <c r="V49" s="140">
        <f>+SUMPRODUCT(V3:V47,$B$3:$B$47)</f>
        <v>0</v>
      </c>
      <c r="W49" s="140">
        <f>+SUMPRODUCT(W3:W47,$B$3:$B$47)</f>
        <v>46</v>
      </c>
      <c r="X49" s="243">
        <f t="shared" si="35"/>
        <v>0</v>
      </c>
      <c r="Y49" s="140">
        <f>+SUMPRODUCT(Y3:Y47,$B$3:$B$47)</f>
        <v>0</v>
      </c>
      <c r="Z49" s="140">
        <f>+SUMPRODUCT(Z3:Z47,$B$3:$B$47)</f>
        <v>0</v>
      </c>
      <c r="AA49" s="244" t="str">
        <f t="shared" si="36"/>
        <v>***</v>
      </c>
      <c r="AB49" s="140">
        <f>+SUMPRODUCT(AB3:AB47,$B$3:$B$47)</f>
        <v>0</v>
      </c>
      <c r="AC49" s="140">
        <f>+SUMPRODUCT(AC3:AC47,$B$3:$B$47)</f>
        <v>0</v>
      </c>
      <c r="AD49" s="244" t="str">
        <f t="shared" si="37"/>
        <v>***</v>
      </c>
      <c r="AE49" s="140">
        <f>+SUMPRODUCT(AE3:AE47,$B$3:$B$47)</f>
        <v>0</v>
      </c>
      <c r="AF49" s="140">
        <f>+SUMPRODUCT(AF3:AF47,$B$3:$B$47)</f>
        <v>63</v>
      </c>
      <c r="AG49" s="243">
        <f t="shared" si="38"/>
        <v>0</v>
      </c>
      <c r="AH49" s="140">
        <f>+SUMPRODUCT(AH3:AH47,$B$3:$B$47)</f>
        <v>0</v>
      </c>
      <c r="AI49" s="140">
        <f>+SUMPRODUCT(AI3:AI47,$B$3:$B$47)</f>
        <v>0</v>
      </c>
      <c r="AJ49" s="244" t="str">
        <f t="shared" si="39"/>
        <v>***</v>
      </c>
      <c r="AK49" s="140">
        <f>+SUMPRODUCT(AK3:AK47,$B$3:$B$47)</f>
        <v>0</v>
      </c>
      <c r="AL49" s="140">
        <f>+SUMPRODUCT(AL3:AL47,$B$3:$B$47)</f>
        <v>39</v>
      </c>
      <c r="AM49" s="244">
        <f t="shared" si="40"/>
        <v>0</v>
      </c>
      <c r="AN49" s="140">
        <f>+SUMPRODUCT(AN3:AN47,$B$3:$B$47)</f>
        <v>0</v>
      </c>
      <c r="AO49" s="140">
        <f>+SUMPRODUCT(AO3:AO47,$B$3:$B$47)</f>
        <v>146</v>
      </c>
      <c r="AP49" s="245">
        <f t="shared" si="41"/>
        <v>0</v>
      </c>
    </row>
  </sheetData>
  <mergeCells count="16">
    <mergeCell ref="AK1:AM1"/>
    <mergeCell ref="AN1:AP1"/>
    <mergeCell ref="A48:C48"/>
    <mergeCell ref="A49:C49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conditionalFormatting sqref="F3:F49 I3:I49 L3:L49 O3:O49 R3:R49 U3:U49 X3:X49 AA3:AA49 AD3:AD49 AG3:AG49 AJ3:AJ49 AM3:AM49 AP3:AP49">
    <cfRule type="cellIs" priority="1" operator="equal">
      <formula>"***"</formula>
    </cfRule>
    <cfRule type="cellIs" dxfId="9" priority="2" operator="lessThan">
      <formula>1</formula>
    </cfRule>
    <cfRule type="cellIs" dxfId="8" priority="3" operator="greaterThanOrEqual">
      <formula>1</formula>
    </cfRule>
  </conditionalFormatting>
  <pageMargins left="0.7" right="0.7" top="0.75" bottom="0.75" header="0.3" footer="0.3"/>
  <ignoredErrors>
    <ignoredError sqref="F49 I48:I49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A121-811C-4813-B423-D537CE247A12}">
  <sheetPr>
    <tabColor theme="8" tint="0.59999389629810485"/>
  </sheetPr>
  <dimension ref="A1:AP49"/>
  <sheetViews>
    <sheetView showGridLines="0" zoomScale="55" zoomScaleNormal="5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3" sqref="A1:AP49"/>
    </sheetView>
  </sheetViews>
  <sheetFormatPr defaultRowHeight="20.100000000000001" customHeight="1" x14ac:dyDescent="0.25"/>
  <cols>
    <col min="1" max="1" width="15.85546875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+'KPIs - Schematics'!D1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35">
        <f>+G3</f>
        <v>0</v>
      </c>
      <c r="E3" s="38">
        <f>+H3</f>
        <v>0</v>
      </c>
      <c r="F3" s="230" t="str">
        <f>IF(AND(D3&gt;0,E3&gt;0),D3/E3,IF(AND(D3&gt;0,E3=0),100%,IF(AND(D3=0,E3&gt;0),0,IF(AND(D3=0,E3=0),"***",0))))</f>
        <v>***</v>
      </c>
      <c r="G3" s="38"/>
      <c r="H3" s="38">
        <f>+IFERROR(VLOOKUP($A3,'Goals &amp; Budget 2026'!$A$2:$EJ$49,103,FALSE),0)</f>
        <v>0</v>
      </c>
      <c r="I3" s="49" t="str">
        <f>IF(AND(G3&gt;0,H3&gt;0),G3/H3,IF(AND(G3&gt;0,H3=0),100%,IF(AND(G3=0,H3&gt;0),0,IF(AND(G3=0,H3=0),"***",0))))</f>
        <v>***</v>
      </c>
      <c r="J3" s="38"/>
      <c r="K3" s="38">
        <f>+IFERROR(VLOOKUP($A3,'Goals &amp; Budget 2026'!$A$2:$EJ$49,104,FALSE),0)</f>
        <v>0</v>
      </c>
      <c r="L3" s="49" t="str">
        <f>IF(AND(J3&gt;0,K3&gt;0),J3/K3,IF(AND(J3&gt;0,K3=0),100%,IF(AND(J3=0,K3&gt;0),0,IF(AND(J3=0,K3=0),"***",0))))</f>
        <v>***</v>
      </c>
      <c r="M3" s="38"/>
      <c r="N3" s="38">
        <f>+IFERROR(VLOOKUP($A3,'Goals &amp; Budget 2026'!$A$2:$EJ$49,105,FALSE),0)</f>
        <v>0</v>
      </c>
      <c r="O3" s="230" t="str">
        <f>IF(AND(M3&gt;0,N3&gt;0),M3/N3,IF(AND(M3&gt;0,N3=0),100%,IF(AND(M3=0,N3&gt;0),0,IF(AND(M3=0,N3=0),"***",0))))</f>
        <v>***</v>
      </c>
      <c r="P3" s="38"/>
      <c r="Q3" s="38">
        <f>+IFERROR(VLOOKUP($A3,'Goals &amp; Budget 2026'!$A$2:$EJ$49,106,FALSE),0)</f>
        <v>0</v>
      </c>
      <c r="R3" s="49" t="str">
        <f>IF(AND(P3&gt;0,Q3&gt;0),P3/Q3,IF(AND(P3&gt;0,Q3=0),100%,IF(AND(P3=0,Q3&gt;0),0,IF(AND(P3=0,Q3=0),"***",0))))</f>
        <v>***</v>
      </c>
      <c r="S3" s="38"/>
      <c r="T3" s="38">
        <f>+IFERROR(VLOOKUP($A3,'Goals &amp; Budget 2026'!$A$2:$EJ$49,107,FALSE),0)</f>
        <v>0</v>
      </c>
      <c r="U3" s="49" t="str">
        <f>IF(AND(S3&gt;0,T3&gt;0),S3/T3,IF(AND(S3&gt;0,T3=0),100%,IF(AND(S3=0,T3&gt;0),0,IF(AND(S3=0,T3=0),"***",0))))</f>
        <v>***</v>
      </c>
      <c r="V3" s="38"/>
      <c r="W3" s="38">
        <f>+IFERROR(VLOOKUP($A3,'Goals &amp; Budget 2026'!$A$2:$EJ$49,108,FALSE),0)</f>
        <v>0</v>
      </c>
      <c r="X3" s="230" t="str">
        <f>IF(AND(V3&gt;0,W3&gt;0),V3/W3,IF(AND(V3&gt;0,W3=0),100%,IF(AND(V3=0,W3&gt;0),0,IF(AND(V3=0,W3=0),"***",0))))</f>
        <v>***</v>
      </c>
      <c r="Y3" s="38"/>
      <c r="Z3" s="38">
        <f>+IFERROR(VLOOKUP($A3,'Goals &amp; Budget 2026'!$A$2:$EJ$49,109,FALSE),0)</f>
        <v>0</v>
      </c>
      <c r="AA3" s="49" t="str">
        <f>IF(AND(Y3&gt;0,Z3&gt;0),Y3/Z3,IF(AND(Y3&gt;0,Z3=0),100%,IF(AND(Y3=0,Z3&gt;0),0,IF(AND(Y3=0,Z3=0),"***",0))))</f>
        <v>***</v>
      </c>
      <c r="AB3" s="38"/>
      <c r="AC3" s="38">
        <f>+IFERROR(VLOOKUP($A3,'Goals &amp; Budget 2026'!$A$2:$EJ$49,110,FALSE),0)</f>
        <v>0</v>
      </c>
      <c r="AD3" s="49" t="str">
        <f>IF(AND(AB3&gt;0,AC3&gt;0),AB3/AC3,IF(AND(AB3&gt;0,AC3=0),100%,IF(AND(AB3=0,AC3&gt;0),0,IF(AND(AB3=0,AC3=0),"***",0))))</f>
        <v>***</v>
      </c>
      <c r="AE3" s="38"/>
      <c r="AF3" s="38">
        <f>+IFERROR(VLOOKUP($A3,'Goals &amp; Budget 2026'!$A$2:$EJ$49,111,FALSE),0)</f>
        <v>0</v>
      </c>
      <c r="AG3" s="230" t="str">
        <f>IF(AND(AE3&gt;0,AF3&gt;0),AE3/AF3,IF(AND(AE3&gt;0,AF3=0),100%,IF(AND(AE3=0,AF3&gt;0),0,IF(AND(AE3=0,AF3=0),"***",0))))</f>
        <v>***</v>
      </c>
      <c r="AH3" s="38"/>
      <c r="AI3" s="38">
        <f>+IFERROR(VLOOKUP($A3,'Goals &amp; Budget 2026'!$A$2:$EJ$49,112,FALSE),0)</f>
        <v>0</v>
      </c>
      <c r="AJ3" s="49" t="str">
        <f>IF(AND(AH3&gt;0,AI3&gt;0),AH3/AI3,IF(AND(AH3&gt;0,AI3=0),100%,IF(AND(AH3=0,AI3&gt;0),0,IF(AND(AH3=0,AI3=0),"***",0))))</f>
        <v>***</v>
      </c>
      <c r="AK3" s="38"/>
      <c r="AL3" s="38">
        <f>+IFERROR(VLOOKUP($A3,'Goals &amp; Budget 2026'!$A$2:$EJ$49,113,FALSE),0)</f>
        <v>0</v>
      </c>
      <c r="AM3" s="49" t="str">
        <f>IF(AND(AK3&gt;0,AL3&gt;0),AK3/AL3,IF(AND(AK3&gt;0,AL3=0),100%,IF(AND(AK3=0,AL3&gt;0),0,IF(AND(AK3=0,AL3=0),"***",0))))</f>
        <v>***</v>
      </c>
      <c r="AN3" s="38"/>
      <c r="AO3" s="38">
        <f>+IFERROR(VLOOKUP($A3,'Goals &amp; Budget 2026'!$A$2:$EJ$49,114,FALSE),0)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0">
        <f t="shared" ref="D4:D36" si="0">+G4</f>
        <v>0</v>
      </c>
      <c r="E4" s="73">
        <f t="shared" ref="E4:E36" si="1">+H4</f>
        <v>0</v>
      </c>
      <c r="F4" s="231" t="str">
        <f t="shared" ref="F4:F36" si="2">IF(AND(D4&gt;0,E4&gt;0),D4/E4,IF(AND(D4&gt;0,E4=0),100%,IF(AND(D4=0,E4&gt;0),0,IF(AND(D4=0,E4=0),"***",0))))</f>
        <v>***</v>
      </c>
      <c r="G4" s="73"/>
      <c r="H4" s="73">
        <f>+IFERROR(VLOOKUP($A4,'Goals &amp; Budget 2026'!$A$2:$EJ$49,103,FALSE),0)</f>
        <v>0</v>
      </c>
      <c r="I4" s="84" t="str">
        <f t="shared" ref="I4:I36" si="3">IF(AND(G4&gt;0,H4&gt;0),G4/H4,IF(AND(G4&gt;0,H4=0),100%,IF(AND(G4=0,H4&gt;0),0,IF(AND(G4=0,H4=0),"***",0))))</f>
        <v>***</v>
      </c>
      <c r="J4" s="73"/>
      <c r="K4" s="73">
        <f>+IFERROR(VLOOKUP($A4,'Goals &amp; Budget 2026'!$A$2:$EJ$49,104,FALSE),0)</f>
        <v>0</v>
      </c>
      <c r="L4" s="84" t="str">
        <f t="shared" ref="L4:L36" si="4">IF(AND(J4&gt;0,K4&gt;0),J4/K4,IF(AND(J4&gt;0,K4=0),100%,IF(AND(J4=0,K4&gt;0),0,IF(AND(J4=0,K4=0),"***",0))))</f>
        <v>***</v>
      </c>
      <c r="M4" s="73"/>
      <c r="N4" s="73">
        <f>+IFERROR(VLOOKUP($A4,'Goals &amp; Budget 2026'!$A$2:$EJ$49,105,FALSE),0)</f>
        <v>0</v>
      </c>
      <c r="O4" s="231" t="str">
        <f t="shared" ref="O4:O36" si="5">IF(AND(M4&gt;0,N4&gt;0),M4/N4,IF(AND(M4&gt;0,N4=0),100%,IF(AND(M4=0,N4&gt;0),0,IF(AND(M4=0,N4=0),"***",0))))</f>
        <v>***</v>
      </c>
      <c r="P4" s="73"/>
      <c r="Q4" s="73">
        <f>+IFERROR(VLOOKUP($A4,'Goals &amp; Budget 2026'!$A$2:$EJ$49,106,FALSE),0)</f>
        <v>0</v>
      </c>
      <c r="R4" s="84" t="str">
        <f t="shared" ref="R4:R36" si="6">IF(AND(P4&gt;0,Q4&gt;0),P4/Q4,IF(AND(P4&gt;0,Q4=0),100%,IF(AND(P4=0,Q4&gt;0),0,IF(AND(P4=0,Q4=0),"***",0))))</f>
        <v>***</v>
      </c>
      <c r="S4" s="73"/>
      <c r="T4" s="73">
        <f>+IFERROR(VLOOKUP($A4,'Goals &amp; Budget 2026'!$A$2:$EJ$49,107,FALSE),0)</f>
        <v>0</v>
      </c>
      <c r="U4" s="84" t="str">
        <f t="shared" ref="U4:U36" si="7">IF(AND(S4&gt;0,T4&gt;0),S4/T4,IF(AND(S4&gt;0,T4=0),100%,IF(AND(S4=0,T4&gt;0),0,IF(AND(S4=0,T4=0),"***",0))))</f>
        <v>***</v>
      </c>
      <c r="V4" s="73"/>
      <c r="W4" s="73">
        <f>+IFERROR(VLOOKUP($A4,'Goals &amp; Budget 2026'!$A$2:$EJ$49,108,FALSE),0)</f>
        <v>0</v>
      </c>
      <c r="X4" s="231" t="str">
        <f t="shared" ref="X4:X36" si="8">IF(AND(V4&gt;0,W4&gt;0),V4/W4,IF(AND(V4&gt;0,W4=0),100%,IF(AND(V4=0,W4&gt;0),0,IF(AND(V4=0,W4=0),"***",0))))</f>
        <v>***</v>
      </c>
      <c r="Y4" s="73"/>
      <c r="Z4" s="73">
        <f>+IFERROR(VLOOKUP($A4,'Goals &amp; Budget 2026'!$A$2:$EJ$49,109,FALSE),0)</f>
        <v>0</v>
      </c>
      <c r="AA4" s="84" t="str">
        <f t="shared" ref="AA4:AA36" si="9">IF(AND(Y4&gt;0,Z4&gt;0),Y4/Z4,IF(AND(Y4&gt;0,Z4=0),100%,IF(AND(Y4=0,Z4&gt;0),0,IF(AND(Y4=0,Z4=0),"***",0))))</f>
        <v>***</v>
      </c>
      <c r="AB4" s="73"/>
      <c r="AC4" s="73">
        <f>+IFERROR(VLOOKUP($A4,'Goals &amp; Budget 2026'!$A$2:$EJ$49,110,FALSE),0)</f>
        <v>0</v>
      </c>
      <c r="AD4" s="84" t="str">
        <f t="shared" ref="AD4:AD36" si="10">IF(AND(AB4&gt;0,AC4&gt;0),AB4/AC4,IF(AND(AB4&gt;0,AC4=0),100%,IF(AND(AB4=0,AC4&gt;0),0,IF(AND(AB4=0,AC4=0),"***",0))))</f>
        <v>***</v>
      </c>
      <c r="AE4" s="73"/>
      <c r="AF4" s="73">
        <f>+IFERROR(VLOOKUP($A4,'Goals &amp; Budget 2026'!$A$2:$EJ$49,111,FALSE),0)</f>
        <v>0</v>
      </c>
      <c r="AG4" s="231" t="str">
        <f t="shared" ref="AG4:AG36" si="11">IF(AND(AE4&gt;0,AF4&gt;0),AE4/AF4,IF(AND(AE4&gt;0,AF4=0),100%,IF(AND(AE4=0,AF4&gt;0),0,IF(AND(AE4=0,AF4=0),"***",0))))</f>
        <v>***</v>
      </c>
      <c r="AH4" s="73"/>
      <c r="AI4" s="73">
        <f>+IFERROR(VLOOKUP($A4,'Goals &amp; Budget 2026'!$A$2:$EJ$49,112,FALSE),0)</f>
        <v>0</v>
      </c>
      <c r="AJ4" s="84" t="str">
        <f t="shared" ref="AJ4:AJ36" si="12">IF(AND(AH4&gt;0,AI4&gt;0),AH4/AI4,IF(AND(AH4&gt;0,AI4=0),100%,IF(AND(AH4=0,AI4&gt;0),0,IF(AND(AH4=0,AI4=0),"***",0))))</f>
        <v>***</v>
      </c>
      <c r="AK4" s="73"/>
      <c r="AL4" s="73">
        <f>+IFERROR(VLOOKUP($A4,'Goals &amp; Budget 2026'!$A$2:$EJ$49,113,FALSE),0)</f>
        <v>0</v>
      </c>
      <c r="AM4" s="84" t="str">
        <f t="shared" ref="AM4:AM36" si="13">IF(AND(AK4&gt;0,AL4&gt;0),AK4/AL4,IF(AND(AK4&gt;0,AL4=0),100%,IF(AND(AK4=0,AL4&gt;0),0,IF(AND(AK4=0,AL4=0),"***",0))))</f>
        <v>***</v>
      </c>
      <c r="AN4" s="73"/>
      <c r="AO4" s="73">
        <f>+IFERROR(VLOOKUP($A4,'Goals &amp; Budget 2026'!$A$2:$EJ$49,114,FALSE),0)</f>
        <v>0</v>
      </c>
      <c r="AP4" s="85" t="str">
        <f t="shared" ref="AP4:AP36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0">
        <f t="shared" si="0"/>
        <v>0</v>
      </c>
      <c r="E5" s="73">
        <f t="shared" si="1"/>
        <v>0</v>
      </c>
      <c r="F5" s="231" t="str">
        <f t="shared" si="2"/>
        <v>***</v>
      </c>
      <c r="G5" s="73"/>
      <c r="H5" s="73">
        <f>+IFERROR(VLOOKUP($A5,'Goals &amp; Budget 2026'!$A$2:$EJ$49,103,FALSE),0)</f>
        <v>0</v>
      </c>
      <c r="I5" s="84" t="str">
        <f t="shared" si="3"/>
        <v>***</v>
      </c>
      <c r="J5" s="73"/>
      <c r="K5" s="73">
        <f>+IFERROR(VLOOKUP($A5,'Goals &amp; Budget 2026'!$A$2:$EJ$49,104,FALSE),0)</f>
        <v>0</v>
      </c>
      <c r="L5" s="84" t="str">
        <f t="shared" si="4"/>
        <v>***</v>
      </c>
      <c r="M5" s="73"/>
      <c r="N5" s="73">
        <f>+IFERROR(VLOOKUP($A5,'Goals &amp; Budget 2026'!$A$2:$EJ$49,105,FALSE),0)</f>
        <v>0</v>
      </c>
      <c r="O5" s="231" t="str">
        <f t="shared" si="5"/>
        <v>***</v>
      </c>
      <c r="P5" s="73"/>
      <c r="Q5" s="73">
        <f>+IFERROR(VLOOKUP($A5,'Goals &amp; Budget 2026'!$A$2:$EJ$49,106,FALSE),0)</f>
        <v>0</v>
      </c>
      <c r="R5" s="84" t="str">
        <f t="shared" si="6"/>
        <v>***</v>
      </c>
      <c r="S5" s="73"/>
      <c r="T5" s="73">
        <f>+IFERROR(VLOOKUP($A5,'Goals &amp; Budget 2026'!$A$2:$EJ$49,107,FALSE),0)</f>
        <v>0</v>
      </c>
      <c r="U5" s="84" t="str">
        <f t="shared" si="7"/>
        <v>***</v>
      </c>
      <c r="V5" s="73"/>
      <c r="W5" s="73">
        <f>+IFERROR(VLOOKUP($A5,'Goals &amp; Budget 2026'!$A$2:$EJ$49,108,FALSE),0)</f>
        <v>0</v>
      </c>
      <c r="X5" s="231" t="str">
        <f t="shared" si="8"/>
        <v>***</v>
      </c>
      <c r="Y5" s="73"/>
      <c r="Z5" s="73">
        <f>+IFERROR(VLOOKUP($A5,'Goals &amp; Budget 2026'!$A$2:$EJ$49,109,FALSE),0)</f>
        <v>0</v>
      </c>
      <c r="AA5" s="84" t="str">
        <f t="shared" si="9"/>
        <v>***</v>
      </c>
      <c r="AB5" s="73"/>
      <c r="AC5" s="73">
        <f>+IFERROR(VLOOKUP($A5,'Goals &amp; Budget 2026'!$A$2:$EJ$49,110,FALSE),0)</f>
        <v>0</v>
      </c>
      <c r="AD5" s="84" t="str">
        <f t="shared" si="10"/>
        <v>***</v>
      </c>
      <c r="AE5" s="73"/>
      <c r="AF5" s="73">
        <f>+IFERROR(VLOOKUP($A5,'Goals &amp; Budget 2026'!$A$2:$EJ$49,111,FALSE),0)</f>
        <v>0</v>
      </c>
      <c r="AG5" s="231" t="str">
        <f t="shared" si="11"/>
        <v>***</v>
      </c>
      <c r="AH5" s="73"/>
      <c r="AI5" s="73">
        <f>+IFERROR(VLOOKUP($A5,'Goals &amp; Budget 2026'!$A$2:$EJ$49,112,FALSE),0)</f>
        <v>0</v>
      </c>
      <c r="AJ5" s="84" t="str">
        <f t="shared" si="12"/>
        <v>***</v>
      </c>
      <c r="AK5" s="73"/>
      <c r="AL5" s="73">
        <f>+IFERROR(VLOOKUP($A5,'Goals &amp; Budget 2026'!$A$2:$EJ$49,113,FALSE),0)</f>
        <v>0</v>
      </c>
      <c r="AM5" s="84" t="str">
        <f t="shared" si="13"/>
        <v>***</v>
      </c>
      <c r="AN5" s="73"/>
      <c r="AO5" s="73">
        <f>+IFERROR(VLOOKUP($A5,'Goals &amp; Budget 2026'!$A$2:$EJ$49,114,FALSE),0)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0">
        <f t="shared" si="0"/>
        <v>0</v>
      </c>
      <c r="E6" s="73">
        <f t="shared" si="1"/>
        <v>0</v>
      </c>
      <c r="F6" s="231" t="str">
        <f t="shared" si="2"/>
        <v>***</v>
      </c>
      <c r="G6" s="73"/>
      <c r="H6" s="73">
        <f>+IFERROR(VLOOKUP($A6,'Goals &amp; Budget 2026'!$A$2:$EJ$49,103,FALSE),0)</f>
        <v>0</v>
      </c>
      <c r="I6" s="84" t="str">
        <f t="shared" si="3"/>
        <v>***</v>
      </c>
      <c r="J6" s="73"/>
      <c r="K6" s="73">
        <f>+IFERROR(VLOOKUP($A6,'Goals &amp; Budget 2026'!$A$2:$EJ$49,104,FALSE),0)</f>
        <v>0</v>
      </c>
      <c r="L6" s="84" t="str">
        <f t="shared" si="4"/>
        <v>***</v>
      </c>
      <c r="M6" s="73"/>
      <c r="N6" s="73">
        <f>+IFERROR(VLOOKUP($A6,'Goals &amp; Budget 2026'!$A$2:$EJ$49,105,FALSE),0)</f>
        <v>0</v>
      </c>
      <c r="O6" s="231" t="str">
        <f t="shared" si="5"/>
        <v>***</v>
      </c>
      <c r="P6" s="73"/>
      <c r="Q6" s="73">
        <f>+IFERROR(VLOOKUP($A6,'Goals &amp; Budget 2026'!$A$2:$EJ$49,106,FALSE),0)</f>
        <v>0</v>
      </c>
      <c r="R6" s="84" t="str">
        <f t="shared" si="6"/>
        <v>***</v>
      </c>
      <c r="S6" s="73"/>
      <c r="T6" s="73">
        <f>+IFERROR(VLOOKUP($A6,'Goals &amp; Budget 2026'!$A$2:$EJ$49,107,FALSE),0)</f>
        <v>0</v>
      </c>
      <c r="U6" s="84" t="str">
        <f t="shared" si="7"/>
        <v>***</v>
      </c>
      <c r="V6" s="73"/>
      <c r="W6" s="73">
        <f>+IFERROR(VLOOKUP($A6,'Goals &amp; Budget 2026'!$A$2:$EJ$49,108,FALSE),0)</f>
        <v>0</v>
      </c>
      <c r="X6" s="231" t="str">
        <f t="shared" si="8"/>
        <v>***</v>
      </c>
      <c r="Y6" s="73"/>
      <c r="Z6" s="73">
        <f>+IFERROR(VLOOKUP($A6,'Goals &amp; Budget 2026'!$A$2:$EJ$49,109,FALSE),0)</f>
        <v>0</v>
      </c>
      <c r="AA6" s="84" t="str">
        <f t="shared" si="9"/>
        <v>***</v>
      </c>
      <c r="AB6" s="73"/>
      <c r="AC6" s="73">
        <f>+IFERROR(VLOOKUP($A6,'Goals &amp; Budget 2026'!$A$2:$EJ$49,110,FALSE),0)</f>
        <v>0</v>
      </c>
      <c r="AD6" s="84" t="str">
        <f t="shared" si="10"/>
        <v>***</v>
      </c>
      <c r="AE6" s="73"/>
      <c r="AF6" s="73">
        <f>+IFERROR(VLOOKUP($A6,'Goals &amp; Budget 2026'!$A$2:$EJ$49,111,FALSE),0)</f>
        <v>0</v>
      </c>
      <c r="AG6" s="231" t="str">
        <f t="shared" si="11"/>
        <v>***</v>
      </c>
      <c r="AH6" s="73"/>
      <c r="AI6" s="73">
        <f>+IFERROR(VLOOKUP($A6,'Goals &amp; Budget 2026'!$A$2:$EJ$49,112,FALSE),0)</f>
        <v>0</v>
      </c>
      <c r="AJ6" s="84" t="str">
        <f t="shared" si="12"/>
        <v>***</v>
      </c>
      <c r="AK6" s="73"/>
      <c r="AL6" s="73">
        <f>+IFERROR(VLOOKUP($A6,'Goals &amp; Budget 2026'!$A$2:$EJ$49,113,FALSE),0)</f>
        <v>0</v>
      </c>
      <c r="AM6" s="84" t="str">
        <f t="shared" si="13"/>
        <v>***</v>
      </c>
      <c r="AN6" s="73"/>
      <c r="AO6" s="73">
        <f>+IFERROR(VLOOKUP($A6,'Goals &amp; Budget 2026'!$A$2:$EJ$49,114,FALSE),0)</f>
        <v>0</v>
      </c>
      <c r="AP6" s="85" t="str">
        <f t="shared" si="14"/>
        <v>***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0">
        <f t="shared" si="0"/>
        <v>0</v>
      </c>
      <c r="E7" s="73">
        <f t="shared" si="1"/>
        <v>0</v>
      </c>
      <c r="F7" s="231" t="str">
        <f t="shared" si="2"/>
        <v>***</v>
      </c>
      <c r="G7" s="73"/>
      <c r="H7" s="73">
        <f>+IFERROR(VLOOKUP($A7,'Goals &amp; Budget 2026'!$A$2:$EJ$49,103,FALSE),0)</f>
        <v>0</v>
      </c>
      <c r="I7" s="84" t="str">
        <f t="shared" si="3"/>
        <v>***</v>
      </c>
      <c r="J7" s="73"/>
      <c r="K7" s="73">
        <f>+IFERROR(VLOOKUP($A7,'Goals &amp; Budget 2026'!$A$2:$EJ$49,104,FALSE),0)</f>
        <v>0</v>
      </c>
      <c r="L7" s="84" t="str">
        <f t="shared" si="4"/>
        <v>***</v>
      </c>
      <c r="M7" s="73"/>
      <c r="N7" s="73">
        <f>+IFERROR(VLOOKUP($A7,'Goals &amp; Budget 2026'!$A$2:$EJ$49,105,FALSE),0)</f>
        <v>0</v>
      </c>
      <c r="O7" s="231" t="str">
        <f t="shared" si="5"/>
        <v>***</v>
      </c>
      <c r="P7" s="73"/>
      <c r="Q7" s="73">
        <f>+IFERROR(VLOOKUP($A7,'Goals &amp; Budget 2026'!$A$2:$EJ$49,106,FALSE),0)</f>
        <v>0</v>
      </c>
      <c r="R7" s="84" t="str">
        <f t="shared" si="6"/>
        <v>***</v>
      </c>
      <c r="S7" s="73"/>
      <c r="T7" s="73">
        <f>+IFERROR(VLOOKUP($A7,'Goals &amp; Budget 2026'!$A$2:$EJ$49,107,FALSE),0)</f>
        <v>0</v>
      </c>
      <c r="U7" s="84" t="str">
        <f t="shared" si="7"/>
        <v>***</v>
      </c>
      <c r="V7" s="73"/>
      <c r="W7" s="73">
        <f>+IFERROR(VLOOKUP($A7,'Goals &amp; Budget 2026'!$A$2:$EJ$49,108,FALSE),0)</f>
        <v>0</v>
      </c>
      <c r="X7" s="231" t="str">
        <f t="shared" si="8"/>
        <v>***</v>
      </c>
      <c r="Y7" s="73"/>
      <c r="Z7" s="73">
        <f>+IFERROR(VLOOKUP($A7,'Goals &amp; Budget 2026'!$A$2:$EJ$49,109,FALSE),0)</f>
        <v>0</v>
      </c>
      <c r="AA7" s="84" t="str">
        <f t="shared" si="9"/>
        <v>***</v>
      </c>
      <c r="AB7" s="73"/>
      <c r="AC7" s="73">
        <f>+IFERROR(VLOOKUP($A7,'Goals &amp; Budget 2026'!$A$2:$EJ$49,110,FALSE),0)</f>
        <v>0</v>
      </c>
      <c r="AD7" s="84" t="str">
        <f t="shared" si="10"/>
        <v>***</v>
      </c>
      <c r="AE7" s="73"/>
      <c r="AF7" s="73">
        <f>+IFERROR(VLOOKUP($A7,'Goals &amp; Budget 2026'!$A$2:$EJ$49,111,FALSE),0)</f>
        <v>0</v>
      </c>
      <c r="AG7" s="231" t="str">
        <f t="shared" si="11"/>
        <v>***</v>
      </c>
      <c r="AH7" s="73"/>
      <c r="AI7" s="73">
        <f>+IFERROR(VLOOKUP($A7,'Goals &amp; Budget 2026'!$A$2:$EJ$49,112,FALSE),0)</f>
        <v>0</v>
      </c>
      <c r="AJ7" s="84" t="str">
        <f t="shared" si="12"/>
        <v>***</v>
      </c>
      <c r="AK7" s="73"/>
      <c r="AL7" s="73">
        <f>+IFERROR(VLOOKUP($A7,'Goals &amp; Budget 2026'!$A$2:$EJ$49,113,FALSE),0)</f>
        <v>0</v>
      </c>
      <c r="AM7" s="84" t="str">
        <f t="shared" si="13"/>
        <v>***</v>
      </c>
      <c r="AN7" s="73"/>
      <c r="AO7" s="73">
        <f>+IFERROR(VLOOKUP($A7,'Goals &amp; Budget 2026'!$A$2:$EJ$49,114,FALSE),0)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0">
        <f t="shared" si="0"/>
        <v>0</v>
      </c>
      <c r="E8" s="73">
        <f t="shared" si="1"/>
        <v>0</v>
      </c>
      <c r="F8" s="231" t="str">
        <f t="shared" si="2"/>
        <v>***</v>
      </c>
      <c r="G8" s="73"/>
      <c r="H8" s="73">
        <f>+IFERROR(VLOOKUP($A8,'Goals &amp; Budget 2026'!$A$2:$EJ$49,103,FALSE),0)</f>
        <v>0</v>
      </c>
      <c r="I8" s="84" t="str">
        <f t="shared" si="3"/>
        <v>***</v>
      </c>
      <c r="J8" s="73"/>
      <c r="K8" s="73">
        <f>+IFERROR(VLOOKUP($A8,'Goals &amp; Budget 2026'!$A$2:$EJ$49,104,FALSE),0)</f>
        <v>0</v>
      </c>
      <c r="L8" s="84" t="str">
        <f t="shared" si="4"/>
        <v>***</v>
      </c>
      <c r="M8" s="73"/>
      <c r="N8" s="73">
        <f>+IFERROR(VLOOKUP($A8,'Goals &amp; Budget 2026'!$A$2:$EJ$49,105,FALSE),0)</f>
        <v>0</v>
      </c>
      <c r="O8" s="231" t="str">
        <f t="shared" si="5"/>
        <v>***</v>
      </c>
      <c r="P8" s="73"/>
      <c r="Q8" s="73">
        <f>+IFERROR(VLOOKUP($A8,'Goals &amp; Budget 2026'!$A$2:$EJ$49,106,FALSE),0)</f>
        <v>0</v>
      </c>
      <c r="R8" s="84" t="str">
        <f t="shared" si="6"/>
        <v>***</v>
      </c>
      <c r="S8" s="73"/>
      <c r="T8" s="73">
        <f>+IFERROR(VLOOKUP($A8,'Goals &amp; Budget 2026'!$A$2:$EJ$49,107,FALSE),0)</f>
        <v>0</v>
      </c>
      <c r="U8" s="84" t="str">
        <f t="shared" si="7"/>
        <v>***</v>
      </c>
      <c r="V8" s="73"/>
      <c r="W8" s="73">
        <f>+IFERROR(VLOOKUP($A8,'Goals &amp; Budget 2026'!$A$2:$EJ$49,108,FALSE),0)</f>
        <v>0</v>
      </c>
      <c r="X8" s="231" t="str">
        <f t="shared" si="8"/>
        <v>***</v>
      </c>
      <c r="Y8" s="73"/>
      <c r="Z8" s="73">
        <f>+IFERROR(VLOOKUP($A8,'Goals &amp; Budget 2026'!$A$2:$EJ$49,109,FALSE),0)</f>
        <v>0</v>
      </c>
      <c r="AA8" s="84" t="str">
        <f t="shared" si="9"/>
        <v>***</v>
      </c>
      <c r="AB8" s="73"/>
      <c r="AC8" s="73">
        <f>+IFERROR(VLOOKUP($A8,'Goals &amp; Budget 2026'!$A$2:$EJ$49,110,FALSE),0)</f>
        <v>0</v>
      </c>
      <c r="AD8" s="84" t="str">
        <f t="shared" si="10"/>
        <v>***</v>
      </c>
      <c r="AE8" s="73"/>
      <c r="AF8" s="73">
        <f>+IFERROR(VLOOKUP($A8,'Goals &amp; Budget 2026'!$A$2:$EJ$49,111,FALSE),0)</f>
        <v>0</v>
      </c>
      <c r="AG8" s="231" t="str">
        <f t="shared" si="11"/>
        <v>***</v>
      </c>
      <c r="AH8" s="73"/>
      <c r="AI8" s="73">
        <f>+IFERROR(VLOOKUP($A8,'Goals &amp; Budget 2026'!$A$2:$EJ$49,112,FALSE),0)</f>
        <v>0</v>
      </c>
      <c r="AJ8" s="84" t="str">
        <f t="shared" si="12"/>
        <v>***</v>
      </c>
      <c r="AK8" s="73"/>
      <c r="AL8" s="73">
        <f>+IFERROR(VLOOKUP($A8,'Goals &amp; Budget 2026'!$A$2:$EJ$49,113,FALSE),0)</f>
        <v>0</v>
      </c>
      <c r="AM8" s="84" t="str">
        <f t="shared" si="13"/>
        <v>***</v>
      </c>
      <c r="AN8" s="73"/>
      <c r="AO8" s="73">
        <f>+IFERROR(VLOOKUP($A8,'Goals &amp; Budget 2026'!$A$2:$EJ$49,114,FALSE),0)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0">
        <f t="shared" si="0"/>
        <v>0</v>
      </c>
      <c r="E9" s="73">
        <f t="shared" si="1"/>
        <v>0</v>
      </c>
      <c r="F9" s="231" t="str">
        <f t="shared" si="2"/>
        <v>***</v>
      </c>
      <c r="G9" s="73"/>
      <c r="H9" s="73">
        <f>+IFERROR(VLOOKUP($A9,'Goals &amp; Budget 2026'!$A$2:$EJ$49,103,FALSE),0)</f>
        <v>0</v>
      </c>
      <c r="I9" s="84" t="str">
        <f t="shared" si="3"/>
        <v>***</v>
      </c>
      <c r="J9" s="73"/>
      <c r="K9" s="73">
        <f>+IFERROR(VLOOKUP($A9,'Goals &amp; Budget 2026'!$A$2:$EJ$49,104,FALSE),0)</f>
        <v>24</v>
      </c>
      <c r="L9" s="84">
        <f t="shared" si="4"/>
        <v>0</v>
      </c>
      <c r="M9" s="73"/>
      <c r="N9" s="73">
        <f>+IFERROR(VLOOKUP($A9,'Goals &amp; Budget 2026'!$A$2:$EJ$49,105,FALSE),0)</f>
        <v>0</v>
      </c>
      <c r="O9" s="231" t="str">
        <f t="shared" si="5"/>
        <v>***</v>
      </c>
      <c r="P9" s="73"/>
      <c r="Q9" s="73">
        <f>+IFERROR(VLOOKUP($A9,'Goals &amp; Budget 2026'!$A$2:$EJ$49,106,FALSE),0)</f>
        <v>0</v>
      </c>
      <c r="R9" s="84" t="str">
        <f t="shared" si="6"/>
        <v>***</v>
      </c>
      <c r="S9" s="73"/>
      <c r="T9" s="73">
        <f>+IFERROR(VLOOKUP($A9,'Goals &amp; Budget 2026'!$A$2:$EJ$49,107,FALSE),0)</f>
        <v>0</v>
      </c>
      <c r="U9" s="84" t="str">
        <f t="shared" si="7"/>
        <v>***</v>
      </c>
      <c r="V9" s="73"/>
      <c r="W9" s="73">
        <f>+IFERROR(VLOOKUP($A9,'Goals &amp; Budget 2026'!$A$2:$EJ$49,108,FALSE),0)</f>
        <v>0</v>
      </c>
      <c r="X9" s="231" t="str">
        <f t="shared" si="8"/>
        <v>***</v>
      </c>
      <c r="Y9" s="73"/>
      <c r="Z9" s="73">
        <f>+IFERROR(VLOOKUP($A9,'Goals &amp; Budget 2026'!$A$2:$EJ$49,109,FALSE),0)</f>
        <v>0</v>
      </c>
      <c r="AA9" s="84" t="str">
        <f t="shared" si="9"/>
        <v>***</v>
      </c>
      <c r="AB9" s="73"/>
      <c r="AC9" s="73">
        <f>+IFERROR(VLOOKUP($A9,'Goals &amp; Budget 2026'!$A$2:$EJ$49,110,FALSE),0)</f>
        <v>0</v>
      </c>
      <c r="AD9" s="84" t="str">
        <f t="shared" si="10"/>
        <v>***</v>
      </c>
      <c r="AE9" s="73"/>
      <c r="AF9" s="73">
        <f>+IFERROR(VLOOKUP($A9,'Goals &amp; Budget 2026'!$A$2:$EJ$49,111,FALSE),0)</f>
        <v>0</v>
      </c>
      <c r="AG9" s="231" t="str">
        <f t="shared" si="11"/>
        <v>***</v>
      </c>
      <c r="AH9" s="73"/>
      <c r="AI9" s="73">
        <f>+IFERROR(VLOOKUP($A9,'Goals &amp; Budget 2026'!$A$2:$EJ$49,112,FALSE),0)</f>
        <v>0</v>
      </c>
      <c r="AJ9" s="84" t="str">
        <f t="shared" si="12"/>
        <v>***</v>
      </c>
      <c r="AK9" s="73"/>
      <c r="AL9" s="73">
        <f>+IFERROR(VLOOKUP($A9,'Goals &amp; Budget 2026'!$A$2:$EJ$49,113,FALSE),0)</f>
        <v>0</v>
      </c>
      <c r="AM9" s="84" t="str">
        <f t="shared" si="13"/>
        <v>***</v>
      </c>
      <c r="AN9" s="73"/>
      <c r="AO9" s="73">
        <f>+IFERROR(VLOOKUP($A9,'Goals &amp; Budget 2026'!$A$2:$EJ$49,114,FALSE),0)</f>
        <v>0</v>
      </c>
      <c r="AP9" s="85" t="str">
        <f t="shared" si="14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0">
        <f t="shared" si="0"/>
        <v>0</v>
      </c>
      <c r="E10" s="73">
        <f t="shared" si="1"/>
        <v>0</v>
      </c>
      <c r="F10" s="231" t="str">
        <f t="shared" si="2"/>
        <v>***</v>
      </c>
      <c r="G10" s="73"/>
      <c r="H10" s="73">
        <f>+IFERROR(VLOOKUP($A10,'Goals &amp; Budget 2026'!$A$2:$EJ$49,103,FALSE),0)</f>
        <v>0</v>
      </c>
      <c r="I10" s="84" t="str">
        <f t="shared" si="3"/>
        <v>***</v>
      </c>
      <c r="J10" s="73"/>
      <c r="K10" s="73">
        <f>+IFERROR(VLOOKUP($A10,'Goals &amp; Budget 2026'!$A$2:$EJ$49,104,FALSE),0)</f>
        <v>0</v>
      </c>
      <c r="L10" s="84" t="str">
        <f t="shared" si="4"/>
        <v>***</v>
      </c>
      <c r="M10" s="73"/>
      <c r="N10" s="73">
        <f>+IFERROR(VLOOKUP($A10,'Goals &amp; Budget 2026'!$A$2:$EJ$49,105,FALSE),0)</f>
        <v>0</v>
      </c>
      <c r="O10" s="231" t="str">
        <f t="shared" si="5"/>
        <v>***</v>
      </c>
      <c r="P10" s="73"/>
      <c r="Q10" s="73">
        <f>+IFERROR(VLOOKUP($A10,'Goals &amp; Budget 2026'!$A$2:$EJ$49,106,FALSE),0)</f>
        <v>0</v>
      </c>
      <c r="R10" s="84" t="str">
        <f t="shared" si="6"/>
        <v>***</v>
      </c>
      <c r="S10" s="73"/>
      <c r="T10" s="73">
        <f>+IFERROR(VLOOKUP($A10,'Goals &amp; Budget 2026'!$A$2:$EJ$49,107,FALSE),0)</f>
        <v>0</v>
      </c>
      <c r="U10" s="84" t="str">
        <f t="shared" si="7"/>
        <v>***</v>
      </c>
      <c r="V10" s="73"/>
      <c r="W10" s="73">
        <f>+IFERROR(VLOOKUP($A10,'Goals &amp; Budget 2026'!$A$2:$EJ$49,108,FALSE),0)</f>
        <v>0</v>
      </c>
      <c r="X10" s="231" t="str">
        <f t="shared" si="8"/>
        <v>***</v>
      </c>
      <c r="Y10" s="73"/>
      <c r="Z10" s="73">
        <f>+IFERROR(VLOOKUP($A10,'Goals &amp; Budget 2026'!$A$2:$EJ$49,109,FALSE),0)</f>
        <v>0</v>
      </c>
      <c r="AA10" s="84" t="str">
        <f t="shared" si="9"/>
        <v>***</v>
      </c>
      <c r="AB10" s="73"/>
      <c r="AC10" s="73">
        <f>+IFERROR(VLOOKUP($A10,'Goals &amp; Budget 2026'!$A$2:$EJ$49,110,FALSE),0)</f>
        <v>0</v>
      </c>
      <c r="AD10" s="84" t="str">
        <f t="shared" si="10"/>
        <v>***</v>
      </c>
      <c r="AE10" s="73"/>
      <c r="AF10" s="73">
        <f>+IFERROR(VLOOKUP($A10,'Goals &amp; Budget 2026'!$A$2:$EJ$49,111,FALSE),0)</f>
        <v>0</v>
      </c>
      <c r="AG10" s="231" t="str">
        <f t="shared" si="11"/>
        <v>***</v>
      </c>
      <c r="AH10" s="73"/>
      <c r="AI10" s="73">
        <f>+IFERROR(VLOOKUP($A10,'Goals &amp; Budget 2026'!$A$2:$EJ$49,112,FALSE),0)</f>
        <v>0</v>
      </c>
      <c r="AJ10" s="84" t="str">
        <f t="shared" si="12"/>
        <v>***</v>
      </c>
      <c r="AK10" s="73"/>
      <c r="AL10" s="73">
        <f>+IFERROR(VLOOKUP($A10,'Goals &amp; Budget 2026'!$A$2:$EJ$49,113,FALSE),0)</f>
        <v>0</v>
      </c>
      <c r="AM10" s="84" t="str">
        <f t="shared" si="13"/>
        <v>***</v>
      </c>
      <c r="AN10" s="73"/>
      <c r="AO10" s="73">
        <f>+IFERROR(VLOOKUP($A10,'Goals &amp; Budget 2026'!$A$2:$EJ$49,114,FALSE),0)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0">
        <f t="shared" si="0"/>
        <v>0</v>
      </c>
      <c r="E11" s="73">
        <f t="shared" si="1"/>
        <v>0</v>
      </c>
      <c r="F11" s="231" t="str">
        <f t="shared" si="2"/>
        <v>***</v>
      </c>
      <c r="G11" s="73"/>
      <c r="H11" s="73">
        <f>+IFERROR(VLOOKUP($A11,'Goals &amp; Budget 2026'!$A$2:$EJ$49,103,FALSE),0)</f>
        <v>0</v>
      </c>
      <c r="I11" s="84" t="str">
        <f t="shared" si="3"/>
        <v>***</v>
      </c>
      <c r="J11" s="73"/>
      <c r="K11" s="73">
        <f>+IFERROR(VLOOKUP($A11,'Goals &amp; Budget 2026'!$A$2:$EJ$49,104,FALSE),0)</f>
        <v>0</v>
      </c>
      <c r="L11" s="84" t="str">
        <f t="shared" si="4"/>
        <v>***</v>
      </c>
      <c r="M11" s="73"/>
      <c r="N11" s="73">
        <f>+IFERROR(VLOOKUP($A11,'Goals &amp; Budget 2026'!$A$2:$EJ$49,105,FALSE),0)</f>
        <v>0</v>
      </c>
      <c r="O11" s="231" t="str">
        <f t="shared" si="5"/>
        <v>***</v>
      </c>
      <c r="P11" s="73"/>
      <c r="Q11" s="73">
        <f>+IFERROR(VLOOKUP($A11,'Goals &amp; Budget 2026'!$A$2:$EJ$49,106,FALSE),0)</f>
        <v>0</v>
      </c>
      <c r="R11" s="84" t="str">
        <f t="shared" si="6"/>
        <v>***</v>
      </c>
      <c r="S11" s="73"/>
      <c r="T11" s="73">
        <f>+IFERROR(VLOOKUP($A11,'Goals &amp; Budget 2026'!$A$2:$EJ$49,107,FALSE),0)</f>
        <v>0</v>
      </c>
      <c r="U11" s="84" t="str">
        <f t="shared" si="7"/>
        <v>***</v>
      </c>
      <c r="V11" s="73"/>
      <c r="W11" s="73">
        <f>+IFERROR(VLOOKUP($A11,'Goals &amp; Budget 2026'!$A$2:$EJ$49,108,FALSE),0)</f>
        <v>0</v>
      </c>
      <c r="X11" s="231" t="str">
        <f t="shared" si="8"/>
        <v>***</v>
      </c>
      <c r="Y11" s="73"/>
      <c r="Z11" s="73">
        <f>+IFERROR(VLOOKUP($A11,'Goals &amp; Budget 2026'!$A$2:$EJ$49,109,FALSE),0)</f>
        <v>0</v>
      </c>
      <c r="AA11" s="84" t="str">
        <f t="shared" si="9"/>
        <v>***</v>
      </c>
      <c r="AB11" s="73"/>
      <c r="AC11" s="73">
        <f>+IFERROR(VLOOKUP($A11,'Goals &amp; Budget 2026'!$A$2:$EJ$49,110,FALSE),0)</f>
        <v>0</v>
      </c>
      <c r="AD11" s="84" t="str">
        <f t="shared" si="10"/>
        <v>***</v>
      </c>
      <c r="AE11" s="73"/>
      <c r="AF11" s="73">
        <f>+IFERROR(VLOOKUP($A11,'Goals &amp; Budget 2026'!$A$2:$EJ$49,111,FALSE),0)</f>
        <v>0</v>
      </c>
      <c r="AG11" s="231" t="str">
        <f t="shared" si="11"/>
        <v>***</v>
      </c>
      <c r="AH11" s="73"/>
      <c r="AI11" s="73">
        <f>+IFERROR(VLOOKUP($A11,'Goals &amp; Budget 2026'!$A$2:$EJ$49,112,FALSE),0)</f>
        <v>0</v>
      </c>
      <c r="AJ11" s="84" t="str">
        <f t="shared" si="12"/>
        <v>***</v>
      </c>
      <c r="AK11" s="73"/>
      <c r="AL11" s="73">
        <f>+IFERROR(VLOOKUP($A11,'Goals &amp; Budget 2026'!$A$2:$EJ$49,113,FALSE),0)</f>
        <v>0</v>
      </c>
      <c r="AM11" s="84" t="str">
        <f t="shared" si="13"/>
        <v>***</v>
      </c>
      <c r="AN11" s="73"/>
      <c r="AO11" s="73">
        <f>+IFERROR(VLOOKUP($A11,'Goals &amp; Budget 2026'!$A$2:$EJ$49,114,FALSE),0)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0">
        <f t="shared" si="0"/>
        <v>0</v>
      </c>
      <c r="E12" s="73">
        <f t="shared" si="1"/>
        <v>0</v>
      </c>
      <c r="F12" s="231" t="str">
        <f t="shared" si="2"/>
        <v>***</v>
      </c>
      <c r="G12" s="73"/>
      <c r="H12" s="73">
        <f>+IFERROR(VLOOKUP($A12,'Goals &amp; Budget 2026'!$A$2:$EJ$49,103,FALSE),0)</f>
        <v>0</v>
      </c>
      <c r="I12" s="84" t="str">
        <f t="shared" si="3"/>
        <v>***</v>
      </c>
      <c r="J12" s="73"/>
      <c r="K12" s="73">
        <f>+IFERROR(VLOOKUP($A12,'Goals &amp; Budget 2026'!$A$2:$EJ$49,104,FALSE),0)</f>
        <v>0</v>
      </c>
      <c r="L12" s="84" t="str">
        <f t="shared" si="4"/>
        <v>***</v>
      </c>
      <c r="M12" s="73"/>
      <c r="N12" s="73">
        <f>+IFERROR(VLOOKUP($A12,'Goals &amp; Budget 2026'!$A$2:$EJ$49,105,FALSE),0)</f>
        <v>0</v>
      </c>
      <c r="O12" s="231" t="str">
        <f t="shared" si="5"/>
        <v>***</v>
      </c>
      <c r="P12" s="73"/>
      <c r="Q12" s="73">
        <f>+IFERROR(VLOOKUP($A12,'Goals &amp; Budget 2026'!$A$2:$EJ$49,106,FALSE),0)</f>
        <v>0</v>
      </c>
      <c r="R12" s="84" t="str">
        <f t="shared" si="6"/>
        <v>***</v>
      </c>
      <c r="S12" s="73"/>
      <c r="T12" s="73">
        <f>+IFERROR(VLOOKUP($A12,'Goals &amp; Budget 2026'!$A$2:$EJ$49,107,FALSE),0)</f>
        <v>0</v>
      </c>
      <c r="U12" s="84" t="str">
        <f t="shared" si="7"/>
        <v>***</v>
      </c>
      <c r="V12" s="73"/>
      <c r="W12" s="73">
        <f>+IFERROR(VLOOKUP($A12,'Goals &amp; Budget 2026'!$A$2:$EJ$49,108,FALSE),0)</f>
        <v>0</v>
      </c>
      <c r="X12" s="231" t="str">
        <f t="shared" si="8"/>
        <v>***</v>
      </c>
      <c r="Y12" s="73"/>
      <c r="Z12" s="73">
        <f>+IFERROR(VLOOKUP($A12,'Goals &amp; Budget 2026'!$A$2:$EJ$49,109,FALSE),0)</f>
        <v>0</v>
      </c>
      <c r="AA12" s="84" t="str">
        <f t="shared" si="9"/>
        <v>***</v>
      </c>
      <c r="AB12" s="73"/>
      <c r="AC12" s="73">
        <f>+IFERROR(VLOOKUP($A12,'Goals &amp; Budget 2026'!$A$2:$EJ$49,110,FALSE),0)</f>
        <v>0</v>
      </c>
      <c r="AD12" s="84" t="str">
        <f t="shared" si="10"/>
        <v>***</v>
      </c>
      <c r="AE12" s="73"/>
      <c r="AF12" s="73">
        <f>+IFERROR(VLOOKUP($A12,'Goals &amp; Budget 2026'!$A$2:$EJ$49,111,FALSE),0)</f>
        <v>0</v>
      </c>
      <c r="AG12" s="231" t="str">
        <f t="shared" si="11"/>
        <v>***</v>
      </c>
      <c r="AH12" s="73"/>
      <c r="AI12" s="73">
        <f>+IFERROR(VLOOKUP($A12,'Goals &amp; Budget 2026'!$A$2:$EJ$49,112,FALSE),0)</f>
        <v>0</v>
      </c>
      <c r="AJ12" s="84" t="str">
        <f t="shared" si="12"/>
        <v>***</v>
      </c>
      <c r="AK12" s="73"/>
      <c r="AL12" s="73">
        <f>+IFERROR(VLOOKUP($A12,'Goals &amp; Budget 2026'!$A$2:$EJ$49,113,FALSE),0)</f>
        <v>0</v>
      </c>
      <c r="AM12" s="84" t="str">
        <f t="shared" si="13"/>
        <v>***</v>
      </c>
      <c r="AN12" s="73"/>
      <c r="AO12" s="73">
        <f>+IFERROR(VLOOKUP($A12,'Goals &amp; Budget 2026'!$A$2:$EJ$49,114,FALSE),0)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0">
        <f t="shared" si="0"/>
        <v>0</v>
      </c>
      <c r="E13" s="73">
        <f t="shared" si="1"/>
        <v>0</v>
      </c>
      <c r="F13" s="231" t="str">
        <f t="shared" si="2"/>
        <v>***</v>
      </c>
      <c r="G13" s="73"/>
      <c r="H13" s="73">
        <f>+IFERROR(VLOOKUP($A13,'Goals &amp; Budget 2026'!$A$2:$EJ$49,103,FALSE),0)</f>
        <v>0</v>
      </c>
      <c r="I13" s="84" t="str">
        <f t="shared" si="3"/>
        <v>***</v>
      </c>
      <c r="J13" s="73"/>
      <c r="K13" s="73">
        <f>+IFERROR(VLOOKUP($A13,'Goals &amp; Budget 2026'!$A$2:$EJ$49,104,FALSE),0)</f>
        <v>0</v>
      </c>
      <c r="L13" s="84" t="str">
        <f t="shared" si="4"/>
        <v>***</v>
      </c>
      <c r="M13" s="73"/>
      <c r="N13" s="73">
        <f>+IFERROR(VLOOKUP($A13,'Goals &amp; Budget 2026'!$A$2:$EJ$49,105,FALSE),0)</f>
        <v>0</v>
      </c>
      <c r="O13" s="231" t="str">
        <f t="shared" si="5"/>
        <v>***</v>
      </c>
      <c r="P13" s="73"/>
      <c r="Q13" s="73">
        <f>+IFERROR(VLOOKUP($A13,'Goals &amp; Budget 2026'!$A$2:$EJ$49,106,FALSE),0)</f>
        <v>0</v>
      </c>
      <c r="R13" s="84" t="str">
        <f t="shared" si="6"/>
        <v>***</v>
      </c>
      <c r="S13" s="73"/>
      <c r="T13" s="73">
        <f>+IFERROR(VLOOKUP($A13,'Goals &amp; Budget 2026'!$A$2:$EJ$49,107,FALSE),0)</f>
        <v>0</v>
      </c>
      <c r="U13" s="84" t="str">
        <f t="shared" si="7"/>
        <v>***</v>
      </c>
      <c r="V13" s="73"/>
      <c r="W13" s="73">
        <f>+IFERROR(VLOOKUP($A13,'Goals &amp; Budget 2026'!$A$2:$EJ$49,108,FALSE),0)</f>
        <v>0</v>
      </c>
      <c r="X13" s="231" t="str">
        <f t="shared" si="8"/>
        <v>***</v>
      </c>
      <c r="Y13" s="73"/>
      <c r="Z13" s="73">
        <f>+IFERROR(VLOOKUP($A13,'Goals &amp; Budget 2026'!$A$2:$EJ$49,109,FALSE),0)</f>
        <v>0</v>
      </c>
      <c r="AA13" s="84" t="str">
        <f t="shared" si="9"/>
        <v>***</v>
      </c>
      <c r="AB13" s="73"/>
      <c r="AC13" s="73">
        <f>+IFERROR(VLOOKUP($A13,'Goals &amp; Budget 2026'!$A$2:$EJ$49,110,FALSE),0)</f>
        <v>0</v>
      </c>
      <c r="AD13" s="84" t="str">
        <f t="shared" si="10"/>
        <v>***</v>
      </c>
      <c r="AE13" s="73"/>
      <c r="AF13" s="73">
        <f>+IFERROR(VLOOKUP($A13,'Goals &amp; Budget 2026'!$A$2:$EJ$49,111,FALSE),0)</f>
        <v>0</v>
      </c>
      <c r="AG13" s="231" t="str">
        <f t="shared" si="11"/>
        <v>***</v>
      </c>
      <c r="AH13" s="73"/>
      <c r="AI13" s="73">
        <f>+IFERROR(VLOOKUP($A13,'Goals &amp; Budget 2026'!$A$2:$EJ$49,112,FALSE),0)</f>
        <v>0</v>
      </c>
      <c r="AJ13" s="84" t="str">
        <f t="shared" si="12"/>
        <v>***</v>
      </c>
      <c r="AK13" s="73"/>
      <c r="AL13" s="73">
        <f>+IFERROR(VLOOKUP($A13,'Goals &amp; Budget 2026'!$A$2:$EJ$49,113,FALSE),0)</f>
        <v>0</v>
      </c>
      <c r="AM13" s="84" t="str">
        <f t="shared" si="13"/>
        <v>***</v>
      </c>
      <c r="AN13" s="73"/>
      <c r="AO13" s="73">
        <f>+IFERROR(VLOOKUP($A13,'Goals &amp; Budget 2026'!$A$2:$EJ$49,114,FALSE),0)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0">
        <f t="shared" si="0"/>
        <v>0</v>
      </c>
      <c r="E14" s="73">
        <f t="shared" si="1"/>
        <v>0</v>
      </c>
      <c r="F14" s="231" t="str">
        <f t="shared" si="2"/>
        <v>***</v>
      </c>
      <c r="G14" s="73"/>
      <c r="H14" s="73">
        <f>+IFERROR(VLOOKUP($A14,'Goals &amp; Budget 2026'!$A$2:$EJ$49,103,FALSE),0)</f>
        <v>0</v>
      </c>
      <c r="I14" s="84" t="str">
        <f t="shared" si="3"/>
        <v>***</v>
      </c>
      <c r="J14" s="73"/>
      <c r="K14" s="73">
        <f>+IFERROR(VLOOKUP($A14,'Goals &amp; Budget 2026'!$A$2:$EJ$49,104,FALSE),0)</f>
        <v>0</v>
      </c>
      <c r="L14" s="84" t="str">
        <f t="shared" si="4"/>
        <v>***</v>
      </c>
      <c r="M14" s="73"/>
      <c r="N14" s="73">
        <f>+IFERROR(VLOOKUP($A14,'Goals &amp; Budget 2026'!$A$2:$EJ$49,105,FALSE),0)</f>
        <v>0</v>
      </c>
      <c r="O14" s="231" t="str">
        <f t="shared" si="5"/>
        <v>***</v>
      </c>
      <c r="P14" s="73"/>
      <c r="Q14" s="73">
        <f>+IFERROR(VLOOKUP($A14,'Goals &amp; Budget 2026'!$A$2:$EJ$49,106,FALSE),0)</f>
        <v>0</v>
      </c>
      <c r="R14" s="84" t="str">
        <f t="shared" si="6"/>
        <v>***</v>
      </c>
      <c r="S14" s="73"/>
      <c r="T14" s="73">
        <f>+IFERROR(VLOOKUP($A14,'Goals &amp; Budget 2026'!$A$2:$EJ$49,107,FALSE),0)</f>
        <v>0</v>
      </c>
      <c r="U14" s="84" t="str">
        <f t="shared" si="7"/>
        <v>***</v>
      </c>
      <c r="V14" s="73"/>
      <c r="W14" s="73">
        <f>+IFERROR(VLOOKUP($A14,'Goals &amp; Budget 2026'!$A$2:$EJ$49,108,FALSE),0)</f>
        <v>0</v>
      </c>
      <c r="X14" s="231" t="str">
        <f t="shared" si="8"/>
        <v>***</v>
      </c>
      <c r="Y14" s="73"/>
      <c r="Z14" s="73">
        <f>+IFERROR(VLOOKUP($A14,'Goals &amp; Budget 2026'!$A$2:$EJ$49,109,FALSE),0)</f>
        <v>0</v>
      </c>
      <c r="AA14" s="84" t="str">
        <f t="shared" si="9"/>
        <v>***</v>
      </c>
      <c r="AB14" s="73"/>
      <c r="AC14" s="73">
        <f>+IFERROR(VLOOKUP($A14,'Goals &amp; Budget 2026'!$A$2:$EJ$49,110,FALSE),0)</f>
        <v>0</v>
      </c>
      <c r="AD14" s="84" t="str">
        <f t="shared" si="10"/>
        <v>***</v>
      </c>
      <c r="AE14" s="73"/>
      <c r="AF14" s="73">
        <f>+IFERROR(VLOOKUP($A14,'Goals &amp; Budget 2026'!$A$2:$EJ$49,111,FALSE),0)</f>
        <v>0</v>
      </c>
      <c r="AG14" s="231" t="str">
        <f t="shared" si="11"/>
        <v>***</v>
      </c>
      <c r="AH14" s="73"/>
      <c r="AI14" s="73">
        <f>+IFERROR(VLOOKUP($A14,'Goals &amp; Budget 2026'!$A$2:$EJ$49,112,FALSE),0)</f>
        <v>0</v>
      </c>
      <c r="AJ14" s="84" t="str">
        <f t="shared" si="12"/>
        <v>***</v>
      </c>
      <c r="AK14" s="73"/>
      <c r="AL14" s="73">
        <f>+IFERROR(VLOOKUP($A14,'Goals &amp; Budget 2026'!$A$2:$EJ$49,113,FALSE),0)</f>
        <v>0</v>
      </c>
      <c r="AM14" s="84" t="str">
        <f t="shared" si="13"/>
        <v>***</v>
      </c>
      <c r="AN14" s="73"/>
      <c r="AO14" s="73">
        <f>+IFERROR(VLOOKUP($A14,'Goals &amp; Budget 2026'!$A$2:$EJ$49,114,FALSE),0)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0">
        <f t="shared" si="0"/>
        <v>0</v>
      </c>
      <c r="E15" s="73">
        <f t="shared" si="1"/>
        <v>0</v>
      </c>
      <c r="F15" s="231" t="str">
        <f t="shared" si="2"/>
        <v>***</v>
      </c>
      <c r="G15" s="73"/>
      <c r="H15" s="73">
        <f>+IFERROR(VLOOKUP($A15,'Goals &amp; Budget 2026'!$A$2:$EJ$49,103,FALSE),0)</f>
        <v>0</v>
      </c>
      <c r="I15" s="84" t="str">
        <f t="shared" si="3"/>
        <v>***</v>
      </c>
      <c r="J15" s="73"/>
      <c r="K15" s="73">
        <f>+IFERROR(VLOOKUP($A15,'Goals &amp; Budget 2026'!$A$2:$EJ$49,104,FALSE),0)</f>
        <v>0</v>
      </c>
      <c r="L15" s="84" t="str">
        <f t="shared" si="4"/>
        <v>***</v>
      </c>
      <c r="M15" s="73"/>
      <c r="N15" s="73">
        <f>+IFERROR(VLOOKUP($A15,'Goals &amp; Budget 2026'!$A$2:$EJ$49,105,FALSE),0)</f>
        <v>0</v>
      </c>
      <c r="O15" s="231" t="str">
        <f t="shared" si="5"/>
        <v>***</v>
      </c>
      <c r="P15" s="73"/>
      <c r="Q15" s="73">
        <f>+IFERROR(VLOOKUP($A15,'Goals &amp; Budget 2026'!$A$2:$EJ$49,106,FALSE),0)</f>
        <v>0</v>
      </c>
      <c r="R15" s="84" t="str">
        <f t="shared" si="6"/>
        <v>***</v>
      </c>
      <c r="S15" s="73"/>
      <c r="T15" s="73">
        <f>+IFERROR(VLOOKUP($A15,'Goals &amp; Budget 2026'!$A$2:$EJ$49,107,FALSE),0)</f>
        <v>0</v>
      </c>
      <c r="U15" s="84" t="str">
        <f t="shared" si="7"/>
        <v>***</v>
      </c>
      <c r="V15" s="73"/>
      <c r="W15" s="73">
        <f>+IFERROR(VLOOKUP($A15,'Goals &amp; Budget 2026'!$A$2:$EJ$49,108,FALSE),0)</f>
        <v>0</v>
      </c>
      <c r="X15" s="231" t="str">
        <f t="shared" si="8"/>
        <v>***</v>
      </c>
      <c r="Y15" s="73"/>
      <c r="Z15" s="73">
        <f>+IFERROR(VLOOKUP($A15,'Goals &amp; Budget 2026'!$A$2:$EJ$49,109,FALSE),0)</f>
        <v>0</v>
      </c>
      <c r="AA15" s="84" t="str">
        <f t="shared" si="9"/>
        <v>***</v>
      </c>
      <c r="AB15" s="73"/>
      <c r="AC15" s="73">
        <f>+IFERROR(VLOOKUP($A15,'Goals &amp; Budget 2026'!$A$2:$EJ$49,110,FALSE),0)</f>
        <v>0</v>
      </c>
      <c r="AD15" s="84" t="str">
        <f t="shared" si="10"/>
        <v>***</v>
      </c>
      <c r="AE15" s="73"/>
      <c r="AF15" s="73">
        <f>+IFERROR(VLOOKUP($A15,'Goals &amp; Budget 2026'!$A$2:$EJ$49,111,FALSE),0)</f>
        <v>0</v>
      </c>
      <c r="AG15" s="231" t="str">
        <f t="shared" si="11"/>
        <v>***</v>
      </c>
      <c r="AH15" s="73"/>
      <c r="AI15" s="73">
        <f>+IFERROR(VLOOKUP($A15,'Goals &amp; Budget 2026'!$A$2:$EJ$49,112,FALSE),0)</f>
        <v>0</v>
      </c>
      <c r="AJ15" s="84" t="str">
        <f t="shared" si="12"/>
        <v>***</v>
      </c>
      <c r="AK15" s="73"/>
      <c r="AL15" s="73">
        <f>+IFERROR(VLOOKUP($A15,'Goals &amp; Budget 2026'!$A$2:$EJ$49,113,FALSE),0)</f>
        <v>0</v>
      </c>
      <c r="AM15" s="84" t="str">
        <f t="shared" si="13"/>
        <v>***</v>
      </c>
      <c r="AN15" s="73"/>
      <c r="AO15" s="73">
        <f>+IFERROR(VLOOKUP($A15,'Goals &amp; Budget 2026'!$A$2:$EJ$49,114,FALSE),0)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0">
        <f t="shared" si="0"/>
        <v>0</v>
      </c>
      <c r="E16" s="73">
        <f t="shared" si="1"/>
        <v>0</v>
      </c>
      <c r="F16" s="231" t="str">
        <f t="shared" si="2"/>
        <v>***</v>
      </c>
      <c r="G16" s="73"/>
      <c r="H16" s="73">
        <f>+IFERROR(VLOOKUP($A16,'Goals &amp; Budget 2026'!$A$2:$EJ$49,103,FALSE),0)</f>
        <v>0</v>
      </c>
      <c r="I16" s="84" t="str">
        <f t="shared" si="3"/>
        <v>***</v>
      </c>
      <c r="J16" s="73"/>
      <c r="K16" s="73">
        <f>+IFERROR(VLOOKUP($A16,'Goals &amp; Budget 2026'!$A$2:$EJ$49,104,FALSE),0)</f>
        <v>0</v>
      </c>
      <c r="L16" s="84" t="str">
        <f t="shared" si="4"/>
        <v>***</v>
      </c>
      <c r="M16" s="73"/>
      <c r="N16" s="73">
        <f>+IFERROR(VLOOKUP($A16,'Goals &amp; Budget 2026'!$A$2:$EJ$49,105,FALSE),0)</f>
        <v>0</v>
      </c>
      <c r="O16" s="231" t="str">
        <f t="shared" si="5"/>
        <v>***</v>
      </c>
      <c r="P16" s="73"/>
      <c r="Q16" s="73">
        <f>+IFERROR(VLOOKUP($A16,'Goals &amp; Budget 2026'!$A$2:$EJ$49,106,FALSE),0)</f>
        <v>0</v>
      </c>
      <c r="R16" s="84" t="str">
        <f t="shared" si="6"/>
        <v>***</v>
      </c>
      <c r="S16" s="73"/>
      <c r="T16" s="73">
        <f>+IFERROR(VLOOKUP($A16,'Goals &amp; Budget 2026'!$A$2:$EJ$49,107,FALSE),0)</f>
        <v>0</v>
      </c>
      <c r="U16" s="84" t="str">
        <f t="shared" si="7"/>
        <v>***</v>
      </c>
      <c r="V16" s="73"/>
      <c r="W16" s="73">
        <f>+IFERROR(VLOOKUP($A16,'Goals &amp; Budget 2026'!$A$2:$EJ$49,108,FALSE),0)</f>
        <v>0</v>
      </c>
      <c r="X16" s="231" t="str">
        <f t="shared" si="8"/>
        <v>***</v>
      </c>
      <c r="Y16" s="73"/>
      <c r="Z16" s="73">
        <f>+IFERROR(VLOOKUP($A16,'Goals &amp; Budget 2026'!$A$2:$EJ$49,109,FALSE),0)</f>
        <v>0</v>
      </c>
      <c r="AA16" s="84" t="str">
        <f t="shared" si="9"/>
        <v>***</v>
      </c>
      <c r="AB16" s="73"/>
      <c r="AC16" s="73">
        <f>+IFERROR(VLOOKUP($A16,'Goals &amp; Budget 2026'!$A$2:$EJ$49,110,FALSE),0)</f>
        <v>0</v>
      </c>
      <c r="AD16" s="84" t="str">
        <f t="shared" si="10"/>
        <v>***</v>
      </c>
      <c r="AE16" s="73"/>
      <c r="AF16" s="73">
        <f>+IFERROR(VLOOKUP($A16,'Goals &amp; Budget 2026'!$A$2:$EJ$49,111,FALSE),0)</f>
        <v>0</v>
      </c>
      <c r="AG16" s="231" t="str">
        <f t="shared" si="11"/>
        <v>***</v>
      </c>
      <c r="AH16" s="73"/>
      <c r="AI16" s="73">
        <f>+IFERROR(VLOOKUP($A16,'Goals &amp; Budget 2026'!$A$2:$EJ$49,112,FALSE),0)</f>
        <v>0</v>
      </c>
      <c r="AJ16" s="84" t="str">
        <f t="shared" si="12"/>
        <v>***</v>
      </c>
      <c r="AK16" s="73"/>
      <c r="AL16" s="73">
        <f>+IFERROR(VLOOKUP($A16,'Goals &amp; Budget 2026'!$A$2:$EJ$49,113,FALSE),0)</f>
        <v>0</v>
      </c>
      <c r="AM16" s="84" t="str">
        <f t="shared" si="13"/>
        <v>***</v>
      </c>
      <c r="AN16" s="73"/>
      <c r="AO16" s="73">
        <f>+IFERROR(VLOOKUP($A16,'Goals &amp; Budget 2026'!$A$2:$EJ$49,114,FALSE),0)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0">
        <f t="shared" si="0"/>
        <v>0</v>
      </c>
      <c r="E17" s="73">
        <f t="shared" si="1"/>
        <v>0</v>
      </c>
      <c r="F17" s="231" t="str">
        <f t="shared" si="2"/>
        <v>***</v>
      </c>
      <c r="G17" s="73"/>
      <c r="H17" s="73">
        <f>+IFERROR(VLOOKUP($A17,'Goals &amp; Budget 2026'!$A$2:$EJ$49,103,FALSE),0)</f>
        <v>0</v>
      </c>
      <c r="I17" s="84" t="str">
        <f t="shared" si="3"/>
        <v>***</v>
      </c>
      <c r="J17" s="73"/>
      <c r="K17" s="73">
        <f>+IFERROR(VLOOKUP($A17,'Goals &amp; Budget 2026'!$A$2:$EJ$49,104,FALSE),0)</f>
        <v>0</v>
      </c>
      <c r="L17" s="84" t="str">
        <f t="shared" si="4"/>
        <v>***</v>
      </c>
      <c r="M17" s="73"/>
      <c r="N17" s="73">
        <f>+IFERROR(VLOOKUP($A17,'Goals &amp; Budget 2026'!$A$2:$EJ$49,105,FALSE),0)</f>
        <v>0</v>
      </c>
      <c r="O17" s="231" t="str">
        <f t="shared" si="5"/>
        <v>***</v>
      </c>
      <c r="P17" s="73"/>
      <c r="Q17" s="73">
        <f>+IFERROR(VLOOKUP($A17,'Goals &amp; Budget 2026'!$A$2:$EJ$49,106,FALSE),0)</f>
        <v>0</v>
      </c>
      <c r="R17" s="84" t="str">
        <f t="shared" si="6"/>
        <v>***</v>
      </c>
      <c r="S17" s="73"/>
      <c r="T17" s="73">
        <f>+IFERROR(VLOOKUP($A17,'Goals &amp; Budget 2026'!$A$2:$EJ$49,107,FALSE),0)</f>
        <v>0</v>
      </c>
      <c r="U17" s="84" t="str">
        <f t="shared" si="7"/>
        <v>***</v>
      </c>
      <c r="V17" s="73"/>
      <c r="W17" s="73">
        <f>+IFERROR(VLOOKUP($A17,'Goals &amp; Budget 2026'!$A$2:$EJ$49,108,FALSE),0)</f>
        <v>0</v>
      </c>
      <c r="X17" s="231" t="str">
        <f t="shared" si="8"/>
        <v>***</v>
      </c>
      <c r="Y17" s="73"/>
      <c r="Z17" s="73">
        <f>+IFERROR(VLOOKUP($A17,'Goals &amp; Budget 2026'!$A$2:$EJ$49,109,FALSE),0)</f>
        <v>0</v>
      </c>
      <c r="AA17" s="84" t="str">
        <f t="shared" si="9"/>
        <v>***</v>
      </c>
      <c r="AB17" s="73"/>
      <c r="AC17" s="73">
        <f>+IFERROR(VLOOKUP($A17,'Goals &amp; Budget 2026'!$A$2:$EJ$49,110,FALSE),0)</f>
        <v>0</v>
      </c>
      <c r="AD17" s="84" t="str">
        <f t="shared" si="10"/>
        <v>***</v>
      </c>
      <c r="AE17" s="73"/>
      <c r="AF17" s="73">
        <f>+IFERROR(VLOOKUP($A17,'Goals &amp; Budget 2026'!$A$2:$EJ$49,111,FALSE),0)</f>
        <v>0</v>
      </c>
      <c r="AG17" s="231" t="str">
        <f t="shared" si="11"/>
        <v>***</v>
      </c>
      <c r="AH17" s="73"/>
      <c r="AI17" s="73">
        <f>+IFERROR(VLOOKUP($A17,'Goals &amp; Budget 2026'!$A$2:$EJ$49,112,FALSE),0)</f>
        <v>28</v>
      </c>
      <c r="AJ17" s="84">
        <f t="shared" si="12"/>
        <v>0</v>
      </c>
      <c r="AK17" s="73"/>
      <c r="AL17" s="73">
        <f>+IFERROR(VLOOKUP($A17,'Goals &amp; Budget 2026'!$A$2:$EJ$49,113,FALSE),0)</f>
        <v>0</v>
      </c>
      <c r="AM17" s="84" t="str">
        <f t="shared" si="13"/>
        <v>***</v>
      </c>
      <c r="AN17" s="73"/>
      <c r="AO17" s="73">
        <f>+IFERROR(VLOOKUP($A17,'Goals &amp; Budget 2026'!$A$2:$EJ$49,114,FALSE),0)</f>
        <v>0</v>
      </c>
      <c r="AP17" s="85" t="str">
        <f t="shared" si="14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0">
        <f t="shared" si="0"/>
        <v>0</v>
      </c>
      <c r="E18" s="73">
        <f t="shared" si="1"/>
        <v>0</v>
      </c>
      <c r="F18" s="231" t="str">
        <f t="shared" si="2"/>
        <v>***</v>
      </c>
      <c r="G18" s="73"/>
      <c r="H18" s="73">
        <f>+IFERROR(VLOOKUP($A18,'Goals &amp; Budget 2026'!$A$2:$EJ$49,103,FALSE),0)</f>
        <v>0</v>
      </c>
      <c r="I18" s="84" t="str">
        <f t="shared" si="3"/>
        <v>***</v>
      </c>
      <c r="J18" s="73"/>
      <c r="K18" s="73">
        <f>+IFERROR(VLOOKUP($A18,'Goals &amp; Budget 2026'!$A$2:$EJ$49,104,FALSE),0)</f>
        <v>0</v>
      </c>
      <c r="L18" s="84" t="str">
        <f t="shared" si="4"/>
        <v>***</v>
      </c>
      <c r="M18" s="73"/>
      <c r="N18" s="73">
        <f>+IFERROR(VLOOKUP($A18,'Goals &amp; Budget 2026'!$A$2:$EJ$49,105,FALSE),0)</f>
        <v>0</v>
      </c>
      <c r="O18" s="231" t="str">
        <f t="shared" si="5"/>
        <v>***</v>
      </c>
      <c r="P18" s="73"/>
      <c r="Q18" s="73">
        <f>+IFERROR(VLOOKUP($A18,'Goals &amp; Budget 2026'!$A$2:$EJ$49,106,FALSE),0)</f>
        <v>0</v>
      </c>
      <c r="R18" s="84" t="str">
        <f t="shared" si="6"/>
        <v>***</v>
      </c>
      <c r="S18" s="73"/>
      <c r="T18" s="73">
        <f>+IFERROR(VLOOKUP($A18,'Goals &amp; Budget 2026'!$A$2:$EJ$49,107,FALSE),0)</f>
        <v>0</v>
      </c>
      <c r="U18" s="84" t="str">
        <f t="shared" si="7"/>
        <v>***</v>
      </c>
      <c r="V18" s="73"/>
      <c r="W18" s="73">
        <f>+IFERROR(VLOOKUP($A18,'Goals &amp; Budget 2026'!$A$2:$EJ$49,108,FALSE),0)</f>
        <v>0</v>
      </c>
      <c r="X18" s="231" t="str">
        <f t="shared" si="8"/>
        <v>***</v>
      </c>
      <c r="Y18" s="73"/>
      <c r="Z18" s="73">
        <f>+IFERROR(VLOOKUP($A18,'Goals &amp; Budget 2026'!$A$2:$EJ$49,109,FALSE),0)</f>
        <v>0</v>
      </c>
      <c r="AA18" s="84" t="str">
        <f t="shared" si="9"/>
        <v>***</v>
      </c>
      <c r="AB18" s="73"/>
      <c r="AC18" s="73">
        <f>+IFERROR(VLOOKUP($A18,'Goals &amp; Budget 2026'!$A$2:$EJ$49,110,FALSE),0)</f>
        <v>0</v>
      </c>
      <c r="AD18" s="84" t="str">
        <f t="shared" si="10"/>
        <v>***</v>
      </c>
      <c r="AE18" s="73"/>
      <c r="AF18" s="73">
        <f>+IFERROR(VLOOKUP($A18,'Goals &amp; Budget 2026'!$A$2:$EJ$49,111,FALSE),0)</f>
        <v>28</v>
      </c>
      <c r="AG18" s="231">
        <f t="shared" si="11"/>
        <v>0</v>
      </c>
      <c r="AH18" s="73"/>
      <c r="AI18" s="73">
        <f>+IFERROR(VLOOKUP($A18,'Goals &amp; Budget 2026'!$A$2:$EJ$49,112,FALSE),0)</f>
        <v>0</v>
      </c>
      <c r="AJ18" s="84" t="str">
        <f t="shared" si="12"/>
        <v>***</v>
      </c>
      <c r="AK18" s="73"/>
      <c r="AL18" s="73">
        <f>+IFERROR(VLOOKUP($A18,'Goals &amp; Budget 2026'!$A$2:$EJ$49,113,FALSE),0)</f>
        <v>0</v>
      </c>
      <c r="AM18" s="84" t="str">
        <f t="shared" si="13"/>
        <v>***</v>
      </c>
      <c r="AN18" s="73"/>
      <c r="AO18" s="73">
        <f>+IFERROR(VLOOKUP($A18,'Goals &amp; Budget 2026'!$A$2:$EJ$49,114,FALSE),0)</f>
        <v>0</v>
      </c>
      <c r="AP18" s="85" t="str">
        <f t="shared" si="14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0">
        <f t="shared" si="0"/>
        <v>0</v>
      </c>
      <c r="E19" s="73">
        <f t="shared" si="1"/>
        <v>0</v>
      </c>
      <c r="F19" s="231" t="str">
        <f t="shared" si="2"/>
        <v>***</v>
      </c>
      <c r="G19" s="73"/>
      <c r="H19" s="73">
        <f>+IFERROR(VLOOKUP($A19,'Goals &amp; Budget 2026'!$A$2:$EJ$49,103,FALSE),0)</f>
        <v>0</v>
      </c>
      <c r="I19" s="84" t="str">
        <f t="shared" si="3"/>
        <v>***</v>
      </c>
      <c r="J19" s="73"/>
      <c r="K19" s="73">
        <f>+IFERROR(VLOOKUP($A19,'Goals &amp; Budget 2026'!$A$2:$EJ$49,104,FALSE),0)</f>
        <v>0</v>
      </c>
      <c r="L19" s="84" t="str">
        <f t="shared" si="4"/>
        <v>***</v>
      </c>
      <c r="M19" s="73"/>
      <c r="N19" s="73">
        <f>+IFERROR(VLOOKUP($A19,'Goals &amp; Budget 2026'!$A$2:$EJ$49,105,FALSE),0)</f>
        <v>0</v>
      </c>
      <c r="O19" s="231" t="str">
        <f t="shared" si="5"/>
        <v>***</v>
      </c>
      <c r="P19" s="73"/>
      <c r="Q19" s="73">
        <f>+IFERROR(VLOOKUP($A19,'Goals &amp; Budget 2026'!$A$2:$EJ$49,106,FALSE),0)</f>
        <v>0</v>
      </c>
      <c r="R19" s="84" t="str">
        <f t="shared" si="6"/>
        <v>***</v>
      </c>
      <c r="S19" s="73"/>
      <c r="T19" s="73">
        <f>+IFERROR(VLOOKUP($A19,'Goals &amp; Budget 2026'!$A$2:$EJ$49,107,FALSE),0)</f>
        <v>0</v>
      </c>
      <c r="U19" s="84" t="str">
        <f t="shared" si="7"/>
        <v>***</v>
      </c>
      <c r="V19" s="73"/>
      <c r="W19" s="73">
        <f>+IFERROR(VLOOKUP($A19,'Goals &amp; Budget 2026'!$A$2:$EJ$49,108,FALSE),0)</f>
        <v>0</v>
      </c>
      <c r="X19" s="231" t="str">
        <f t="shared" si="8"/>
        <v>***</v>
      </c>
      <c r="Y19" s="73"/>
      <c r="Z19" s="73">
        <f>+IFERROR(VLOOKUP($A19,'Goals &amp; Budget 2026'!$A$2:$EJ$49,109,FALSE),0)</f>
        <v>0</v>
      </c>
      <c r="AA19" s="84" t="str">
        <f t="shared" si="9"/>
        <v>***</v>
      </c>
      <c r="AB19" s="73"/>
      <c r="AC19" s="73">
        <f>+IFERROR(VLOOKUP($A19,'Goals &amp; Budget 2026'!$A$2:$EJ$49,110,FALSE),0)</f>
        <v>14</v>
      </c>
      <c r="AD19" s="84">
        <f t="shared" si="10"/>
        <v>0</v>
      </c>
      <c r="AE19" s="73"/>
      <c r="AF19" s="73">
        <f>+IFERROR(VLOOKUP($A19,'Goals &amp; Budget 2026'!$A$2:$EJ$49,111,FALSE),0)</f>
        <v>0</v>
      </c>
      <c r="AG19" s="231" t="str">
        <f t="shared" si="11"/>
        <v>***</v>
      </c>
      <c r="AH19" s="73"/>
      <c r="AI19" s="73">
        <f>+IFERROR(VLOOKUP($A19,'Goals &amp; Budget 2026'!$A$2:$EJ$49,112,FALSE),0)</f>
        <v>0</v>
      </c>
      <c r="AJ19" s="84" t="str">
        <f t="shared" si="12"/>
        <v>***</v>
      </c>
      <c r="AK19" s="73"/>
      <c r="AL19" s="73">
        <f>+IFERROR(VLOOKUP($A19,'Goals &amp; Budget 2026'!$A$2:$EJ$49,113,FALSE),0)</f>
        <v>0</v>
      </c>
      <c r="AM19" s="84" t="str">
        <f t="shared" si="13"/>
        <v>***</v>
      </c>
      <c r="AN19" s="73"/>
      <c r="AO19" s="73">
        <f>+IFERROR(VLOOKUP($A19,'Goals &amp; Budget 2026'!$A$2:$EJ$49,114,FALSE),0)</f>
        <v>0</v>
      </c>
      <c r="AP19" s="85" t="str">
        <f t="shared" si="14"/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0">
        <f t="shared" si="0"/>
        <v>0</v>
      </c>
      <c r="E20" s="73">
        <f t="shared" si="1"/>
        <v>0</v>
      </c>
      <c r="F20" s="231" t="str">
        <f t="shared" si="2"/>
        <v>***</v>
      </c>
      <c r="G20" s="73"/>
      <c r="H20" s="73">
        <f>+IFERROR(VLOOKUP($A20,'Goals &amp; Budget 2026'!$A$2:$EJ$49,103,FALSE),0)</f>
        <v>0</v>
      </c>
      <c r="I20" s="84" t="str">
        <f t="shared" si="3"/>
        <v>***</v>
      </c>
      <c r="J20" s="73"/>
      <c r="K20" s="73">
        <f>+IFERROR(VLOOKUP($A20,'Goals &amp; Budget 2026'!$A$2:$EJ$49,104,FALSE),0)</f>
        <v>0</v>
      </c>
      <c r="L20" s="84" t="str">
        <f t="shared" si="4"/>
        <v>***</v>
      </c>
      <c r="M20" s="73"/>
      <c r="N20" s="73">
        <f>+IFERROR(VLOOKUP($A20,'Goals &amp; Budget 2026'!$A$2:$EJ$49,105,FALSE),0)</f>
        <v>0</v>
      </c>
      <c r="O20" s="231" t="str">
        <f t="shared" si="5"/>
        <v>***</v>
      </c>
      <c r="P20" s="73"/>
      <c r="Q20" s="73">
        <f>+IFERROR(VLOOKUP($A20,'Goals &amp; Budget 2026'!$A$2:$EJ$49,106,FALSE),0)</f>
        <v>0</v>
      </c>
      <c r="R20" s="84" t="str">
        <f t="shared" si="6"/>
        <v>***</v>
      </c>
      <c r="S20" s="73"/>
      <c r="T20" s="73">
        <f>+IFERROR(VLOOKUP($A20,'Goals &amp; Budget 2026'!$A$2:$EJ$49,107,FALSE),0)</f>
        <v>0</v>
      </c>
      <c r="U20" s="84" t="str">
        <f t="shared" si="7"/>
        <v>***</v>
      </c>
      <c r="V20" s="73"/>
      <c r="W20" s="73">
        <f>+IFERROR(VLOOKUP($A20,'Goals &amp; Budget 2026'!$A$2:$EJ$49,108,FALSE),0)</f>
        <v>0</v>
      </c>
      <c r="X20" s="231" t="str">
        <f t="shared" si="8"/>
        <v>***</v>
      </c>
      <c r="Y20" s="73"/>
      <c r="Z20" s="73">
        <f>+IFERROR(VLOOKUP($A20,'Goals &amp; Budget 2026'!$A$2:$EJ$49,109,FALSE),0)</f>
        <v>0</v>
      </c>
      <c r="AA20" s="84" t="str">
        <f t="shared" si="9"/>
        <v>***</v>
      </c>
      <c r="AB20" s="73"/>
      <c r="AC20" s="73">
        <f>+IFERROR(VLOOKUP($A20,'Goals &amp; Budget 2026'!$A$2:$EJ$49,110,FALSE),0)</f>
        <v>14</v>
      </c>
      <c r="AD20" s="84">
        <f t="shared" si="10"/>
        <v>0</v>
      </c>
      <c r="AE20" s="73"/>
      <c r="AF20" s="73">
        <f>+IFERROR(VLOOKUP($A20,'Goals &amp; Budget 2026'!$A$2:$EJ$49,111,FALSE),0)</f>
        <v>0</v>
      </c>
      <c r="AG20" s="231" t="str">
        <f t="shared" si="11"/>
        <v>***</v>
      </c>
      <c r="AH20" s="73"/>
      <c r="AI20" s="73">
        <f>+IFERROR(VLOOKUP($A20,'Goals &amp; Budget 2026'!$A$2:$EJ$49,112,FALSE),0)</f>
        <v>0</v>
      </c>
      <c r="AJ20" s="84" t="str">
        <f t="shared" si="12"/>
        <v>***</v>
      </c>
      <c r="AK20" s="73"/>
      <c r="AL20" s="73">
        <f>+IFERROR(VLOOKUP($A20,'Goals &amp; Budget 2026'!$A$2:$EJ$49,113,FALSE),0)</f>
        <v>0</v>
      </c>
      <c r="AM20" s="84" t="str">
        <f t="shared" si="13"/>
        <v>***</v>
      </c>
      <c r="AN20" s="73"/>
      <c r="AO20" s="73">
        <f>+IFERROR(VLOOKUP($A20,'Goals &amp; Budget 2026'!$A$2:$EJ$49,114,FALSE),0)</f>
        <v>0</v>
      </c>
      <c r="AP20" s="85" t="str">
        <f t="shared" si="14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0">
        <f t="shared" si="0"/>
        <v>0</v>
      </c>
      <c r="E21" s="73">
        <f t="shared" si="1"/>
        <v>14</v>
      </c>
      <c r="F21" s="231">
        <f t="shared" si="2"/>
        <v>0</v>
      </c>
      <c r="G21" s="73"/>
      <c r="H21" s="73">
        <f>+IFERROR(VLOOKUP($A21,'Goals &amp; Budget 2026'!$A$2:$EJ$49,103,FALSE),0)</f>
        <v>14</v>
      </c>
      <c r="I21" s="84">
        <f t="shared" si="3"/>
        <v>0</v>
      </c>
      <c r="J21" s="73"/>
      <c r="K21" s="73">
        <f>+IFERROR(VLOOKUP($A21,'Goals &amp; Budget 2026'!$A$2:$EJ$49,104,FALSE),0)</f>
        <v>0</v>
      </c>
      <c r="L21" s="84" t="str">
        <f t="shared" si="4"/>
        <v>***</v>
      </c>
      <c r="M21" s="73"/>
      <c r="N21" s="73">
        <f>+IFERROR(VLOOKUP($A21,'Goals &amp; Budget 2026'!$A$2:$EJ$49,105,FALSE),0)</f>
        <v>0</v>
      </c>
      <c r="O21" s="231" t="str">
        <f t="shared" si="5"/>
        <v>***</v>
      </c>
      <c r="P21" s="73"/>
      <c r="Q21" s="73">
        <f>+IFERROR(VLOOKUP($A21,'Goals &amp; Budget 2026'!$A$2:$EJ$49,106,FALSE),0)</f>
        <v>0</v>
      </c>
      <c r="R21" s="84" t="str">
        <f t="shared" si="6"/>
        <v>***</v>
      </c>
      <c r="S21" s="73"/>
      <c r="T21" s="73">
        <f>+IFERROR(VLOOKUP($A21,'Goals &amp; Budget 2026'!$A$2:$EJ$49,107,FALSE),0)</f>
        <v>0</v>
      </c>
      <c r="U21" s="84" t="str">
        <f t="shared" si="7"/>
        <v>***</v>
      </c>
      <c r="V21" s="73"/>
      <c r="W21" s="73">
        <f>+IFERROR(VLOOKUP($A21,'Goals &amp; Budget 2026'!$A$2:$EJ$49,108,FALSE),0)</f>
        <v>0</v>
      </c>
      <c r="X21" s="231" t="str">
        <f t="shared" si="8"/>
        <v>***</v>
      </c>
      <c r="Y21" s="73"/>
      <c r="Z21" s="73">
        <f>+IFERROR(VLOOKUP($A21,'Goals &amp; Budget 2026'!$A$2:$EJ$49,109,FALSE),0)</f>
        <v>0</v>
      </c>
      <c r="AA21" s="84" t="str">
        <f t="shared" si="9"/>
        <v>***</v>
      </c>
      <c r="AB21" s="73"/>
      <c r="AC21" s="73">
        <f>+IFERROR(VLOOKUP($A21,'Goals &amp; Budget 2026'!$A$2:$EJ$49,110,FALSE),0)</f>
        <v>0</v>
      </c>
      <c r="AD21" s="84" t="str">
        <f t="shared" si="10"/>
        <v>***</v>
      </c>
      <c r="AE21" s="73"/>
      <c r="AF21" s="73">
        <f>+IFERROR(VLOOKUP($A21,'Goals &amp; Budget 2026'!$A$2:$EJ$49,111,FALSE),0)</f>
        <v>0</v>
      </c>
      <c r="AG21" s="231" t="str">
        <f t="shared" si="11"/>
        <v>***</v>
      </c>
      <c r="AH21" s="73"/>
      <c r="AI21" s="73">
        <f>+IFERROR(VLOOKUP($A21,'Goals &amp; Budget 2026'!$A$2:$EJ$49,112,FALSE),0)</f>
        <v>0</v>
      </c>
      <c r="AJ21" s="84" t="str">
        <f t="shared" si="12"/>
        <v>***</v>
      </c>
      <c r="AK21" s="73"/>
      <c r="AL21" s="73">
        <f>+IFERROR(VLOOKUP($A21,'Goals &amp; Budget 2026'!$A$2:$EJ$49,113,FALSE),0)</f>
        <v>0</v>
      </c>
      <c r="AM21" s="84" t="str">
        <f t="shared" si="13"/>
        <v>***</v>
      </c>
      <c r="AN21" s="73"/>
      <c r="AO21" s="73">
        <f>+IFERROR(VLOOKUP($A21,'Goals &amp; Budget 2026'!$A$2:$EJ$49,114,FALSE),0)</f>
        <v>0</v>
      </c>
      <c r="AP21" s="85" t="str">
        <f t="shared" si="14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0">
        <f t="shared" si="0"/>
        <v>0</v>
      </c>
      <c r="E22" s="73">
        <f t="shared" si="1"/>
        <v>14</v>
      </c>
      <c r="F22" s="231">
        <f t="shared" si="2"/>
        <v>0</v>
      </c>
      <c r="G22" s="73"/>
      <c r="H22" s="73">
        <f>+IFERROR(VLOOKUP($A22,'Goals &amp; Budget 2026'!$A$2:$EJ$49,103,FALSE),0)</f>
        <v>14</v>
      </c>
      <c r="I22" s="84">
        <f t="shared" si="3"/>
        <v>0</v>
      </c>
      <c r="J22" s="73"/>
      <c r="K22" s="73">
        <f>+IFERROR(VLOOKUP($A22,'Goals &amp; Budget 2026'!$A$2:$EJ$49,104,FALSE),0)</f>
        <v>0</v>
      </c>
      <c r="L22" s="84" t="str">
        <f t="shared" si="4"/>
        <v>***</v>
      </c>
      <c r="M22" s="73"/>
      <c r="N22" s="73">
        <f>+IFERROR(VLOOKUP($A22,'Goals &amp; Budget 2026'!$A$2:$EJ$49,105,FALSE),0)</f>
        <v>0</v>
      </c>
      <c r="O22" s="231" t="str">
        <f t="shared" si="5"/>
        <v>***</v>
      </c>
      <c r="P22" s="73"/>
      <c r="Q22" s="73">
        <f>+IFERROR(VLOOKUP($A22,'Goals &amp; Budget 2026'!$A$2:$EJ$49,106,FALSE),0)</f>
        <v>0</v>
      </c>
      <c r="R22" s="84" t="str">
        <f t="shared" si="6"/>
        <v>***</v>
      </c>
      <c r="S22" s="73"/>
      <c r="T22" s="73">
        <f>+IFERROR(VLOOKUP($A22,'Goals &amp; Budget 2026'!$A$2:$EJ$49,107,FALSE),0)</f>
        <v>0</v>
      </c>
      <c r="U22" s="84" t="str">
        <f t="shared" si="7"/>
        <v>***</v>
      </c>
      <c r="V22" s="73"/>
      <c r="W22" s="73">
        <f>+IFERROR(VLOOKUP($A22,'Goals &amp; Budget 2026'!$A$2:$EJ$49,108,FALSE),0)</f>
        <v>0</v>
      </c>
      <c r="X22" s="231" t="str">
        <f t="shared" si="8"/>
        <v>***</v>
      </c>
      <c r="Y22" s="73"/>
      <c r="Z22" s="73">
        <f>+IFERROR(VLOOKUP($A22,'Goals &amp; Budget 2026'!$A$2:$EJ$49,109,FALSE),0)</f>
        <v>0</v>
      </c>
      <c r="AA22" s="84" t="str">
        <f t="shared" si="9"/>
        <v>***</v>
      </c>
      <c r="AB22" s="73"/>
      <c r="AC22" s="73">
        <f>+IFERROR(VLOOKUP($A22,'Goals &amp; Budget 2026'!$A$2:$EJ$49,110,FALSE),0)</f>
        <v>0</v>
      </c>
      <c r="AD22" s="84" t="str">
        <f t="shared" si="10"/>
        <v>***</v>
      </c>
      <c r="AE22" s="73"/>
      <c r="AF22" s="73">
        <f>+IFERROR(VLOOKUP($A22,'Goals &amp; Budget 2026'!$A$2:$EJ$49,111,FALSE),0)</f>
        <v>0</v>
      </c>
      <c r="AG22" s="231" t="str">
        <f t="shared" si="11"/>
        <v>***</v>
      </c>
      <c r="AH22" s="73"/>
      <c r="AI22" s="73">
        <f>+IFERROR(VLOOKUP($A22,'Goals &amp; Budget 2026'!$A$2:$EJ$49,112,FALSE),0)</f>
        <v>0</v>
      </c>
      <c r="AJ22" s="84" t="str">
        <f t="shared" si="12"/>
        <v>***</v>
      </c>
      <c r="AK22" s="73"/>
      <c r="AL22" s="73">
        <f>+IFERROR(VLOOKUP($A22,'Goals &amp; Budget 2026'!$A$2:$EJ$49,113,FALSE),0)</f>
        <v>0</v>
      </c>
      <c r="AM22" s="84" t="str">
        <f t="shared" si="13"/>
        <v>***</v>
      </c>
      <c r="AN22" s="73"/>
      <c r="AO22" s="73">
        <f>+IFERROR(VLOOKUP($A22,'Goals &amp; Budget 2026'!$A$2:$EJ$49,114,FALSE),0)</f>
        <v>0</v>
      </c>
      <c r="AP22" s="85" t="str">
        <f t="shared" si="14"/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0">
        <f t="shared" si="0"/>
        <v>0</v>
      </c>
      <c r="E23" s="73">
        <f t="shared" si="1"/>
        <v>30</v>
      </c>
      <c r="F23" s="231">
        <f t="shared" si="2"/>
        <v>0</v>
      </c>
      <c r="G23" s="73"/>
      <c r="H23" s="73">
        <f>+IFERROR(VLOOKUP($A23,'Goals &amp; Budget 2026'!$A$2:$EJ$49,103,FALSE),0)</f>
        <v>30</v>
      </c>
      <c r="I23" s="84">
        <f t="shared" si="3"/>
        <v>0</v>
      </c>
      <c r="J23" s="73"/>
      <c r="K23" s="73">
        <f>+IFERROR(VLOOKUP($A23,'Goals &amp; Budget 2026'!$A$2:$EJ$49,104,FALSE),0)</f>
        <v>0</v>
      </c>
      <c r="L23" s="84" t="str">
        <f t="shared" si="4"/>
        <v>***</v>
      </c>
      <c r="M23" s="73"/>
      <c r="N23" s="73">
        <f>+IFERROR(VLOOKUP($A23,'Goals &amp; Budget 2026'!$A$2:$EJ$49,105,FALSE),0)</f>
        <v>0</v>
      </c>
      <c r="O23" s="231" t="str">
        <f t="shared" si="5"/>
        <v>***</v>
      </c>
      <c r="P23" s="73"/>
      <c r="Q23" s="73">
        <f>+IFERROR(VLOOKUP($A23,'Goals &amp; Budget 2026'!$A$2:$EJ$49,106,FALSE),0)</f>
        <v>0</v>
      </c>
      <c r="R23" s="84" t="str">
        <f t="shared" si="6"/>
        <v>***</v>
      </c>
      <c r="S23" s="73"/>
      <c r="T23" s="73">
        <f>+IFERROR(VLOOKUP($A23,'Goals &amp; Budget 2026'!$A$2:$EJ$49,107,FALSE),0)</f>
        <v>0</v>
      </c>
      <c r="U23" s="84" t="str">
        <f t="shared" si="7"/>
        <v>***</v>
      </c>
      <c r="V23" s="73"/>
      <c r="W23" s="73">
        <f>+IFERROR(VLOOKUP($A23,'Goals &amp; Budget 2026'!$A$2:$EJ$49,108,FALSE),0)</f>
        <v>0</v>
      </c>
      <c r="X23" s="231" t="str">
        <f t="shared" si="8"/>
        <v>***</v>
      </c>
      <c r="Y23" s="73"/>
      <c r="Z23" s="73">
        <f>+IFERROR(VLOOKUP($A23,'Goals &amp; Budget 2026'!$A$2:$EJ$49,109,FALSE),0)</f>
        <v>0</v>
      </c>
      <c r="AA23" s="84" t="str">
        <f t="shared" si="9"/>
        <v>***</v>
      </c>
      <c r="AB23" s="73"/>
      <c r="AC23" s="73">
        <f>+IFERROR(VLOOKUP($A23,'Goals &amp; Budget 2026'!$A$2:$EJ$49,110,FALSE),0)</f>
        <v>0</v>
      </c>
      <c r="AD23" s="84" t="str">
        <f t="shared" si="10"/>
        <v>***</v>
      </c>
      <c r="AE23" s="73"/>
      <c r="AF23" s="73">
        <f>+IFERROR(VLOOKUP($A23,'Goals &amp; Budget 2026'!$A$2:$EJ$49,111,FALSE),0)</f>
        <v>0</v>
      </c>
      <c r="AG23" s="231" t="str">
        <f t="shared" si="11"/>
        <v>***</v>
      </c>
      <c r="AH23" s="73"/>
      <c r="AI23" s="73">
        <f>+IFERROR(VLOOKUP($A23,'Goals &amp; Budget 2026'!$A$2:$EJ$49,112,FALSE),0)</f>
        <v>0</v>
      </c>
      <c r="AJ23" s="84" t="str">
        <f t="shared" si="12"/>
        <v>***</v>
      </c>
      <c r="AK23" s="73"/>
      <c r="AL23" s="73">
        <f>+IFERROR(VLOOKUP($A23,'Goals &amp; Budget 2026'!$A$2:$EJ$49,113,FALSE),0)</f>
        <v>0</v>
      </c>
      <c r="AM23" s="84" t="str">
        <f t="shared" si="13"/>
        <v>***</v>
      </c>
      <c r="AN23" s="73"/>
      <c r="AO23" s="73">
        <f>+IFERROR(VLOOKUP($A23,'Goals &amp; Budget 2026'!$A$2:$EJ$49,114,FALSE),0)</f>
        <v>0</v>
      </c>
      <c r="AP23" s="85" t="str">
        <f t="shared" si="14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0">
        <f t="shared" si="0"/>
        <v>0</v>
      </c>
      <c r="E24" s="73">
        <f t="shared" si="1"/>
        <v>0</v>
      </c>
      <c r="F24" s="231" t="str">
        <f t="shared" si="2"/>
        <v>***</v>
      </c>
      <c r="G24" s="73"/>
      <c r="H24" s="73">
        <f>+IFERROR(VLOOKUP($A24,'Goals &amp; Budget 2026'!$A$2:$EJ$49,103,FALSE),0)</f>
        <v>0</v>
      </c>
      <c r="I24" s="84" t="str">
        <f t="shared" si="3"/>
        <v>***</v>
      </c>
      <c r="J24" s="73"/>
      <c r="K24" s="73">
        <f>+IFERROR(VLOOKUP($A24,'Goals &amp; Budget 2026'!$A$2:$EJ$49,104,FALSE),0)</f>
        <v>0</v>
      </c>
      <c r="L24" s="84" t="str">
        <f t="shared" si="4"/>
        <v>***</v>
      </c>
      <c r="M24" s="73"/>
      <c r="N24" s="73">
        <f>+IFERROR(VLOOKUP($A24,'Goals &amp; Budget 2026'!$A$2:$EJ$49,105,FALSE),0)</f>
        <v>0</v>
      </c>
      <c r="O24" s="231" t="str">
        <f t="shared" si="5"/>
        <v>***</v>
      </c>
      <c r="P24" s="73"/>
      <c r="Q24" s="73">
        <f>+IFERROR(VLOOKUP($A24,'Goals &amp; Budget 2026'!$A$2:$EJ$49,106,FALSE),0)</f>
        <v>0</v>
      </c>
      <c r="R24" s="84" t="str">
        <f t="shared" si="6"/>
        <v>***</v>
      </c>
      <c r="S24" s="73"/>
      <c r="T24" s="73">
        <f>+IFERROR(VLOOKUP($A24,'Goals &amp; Budget 2026'!$A$2:$EJ$49,107,FALSE),0)</f>
        <v>0</v>
      </c>
      <c r="U24" s="84" t="str">
        <f t="shared" si="7"/>
        <v>***</v>
      </c>
      <c r="V24" s="73"/>
      <c r="W24" s="73">
        <f>+IFERROR(VLOOKUP($A24,'Goals &amp; Budget 2026'!$A$2:$EJ$49,108,FALSE),0)</f>
        <v>0</v>
      </c>
      <c r="X24" s="231" t="str">
        <f t="shared" si="8"/>
        <v>***</v>
      </c>
      <c r="Y24" s="73"/>
      <c r="Z24" s="73">
        <f>+IFERROR(VLOOKUP($A24,'Goals &amp; Budget 2026'!$A$2:$EJ$49,109,FALSE),0)</f>
        <v>0</v>
      </c>
      <c r="AA24" s="84" t="str">
        <f t="shared" si="9"/>
        <v>***</v>
      </c>
      <c r="AB24" s="73"/>
      <c r="AC24" s="73">
        <f>+IFERROR(VLOOKUP($A24,'Goals &amp; Budget 2026'!$A$2:$EJ$49,110,FALSE),0)</f>
        <v>0</v>
      </c>
      <c r="AD24" s="84" t="str">
        <f t="shared" si="10"/>
        <v>***</v>
      </c>
      <c r="AE24" s="73"/>
      <c r="AF24" s="73">
        <f>+IFERROR(VLOOKUP($A24,'Goals &amp; Budget 2026'!$A$2:$EJ$49,111,FALSE),0)</f>
        <v>0</v>
      </c>
      <c r="AG24" s="231" t="str">
        <f t="shared" si="11"/>
        <v>***</v>
      </c>
      <c r="AH24" s="73"/>
      <c r="AI24" s="73">
        <f>+IFERROR(VLOOKUP($A24,'Goals &amp; Budget 2026'!$A$2:$EJ$49,112,FALSE),0)</f>
        <v>0</v>
      </c>
      <c r="AJ24" s="84" t="str">
        <f t="shared" si="12"/>
        <v>***</v>
      </c>
      <c r="AK24" s="73"/>
      <c r="AL24" s="73">
        <f>+IFERROR(VLOOKUP($A24,'Goals &amp; Budget 2026'!$A$2:$EJ$49,113,FALSE),0)</f>
        <v>0</v>
      </c>
      <c r="AM24" s="84" t="str">
        <f t="shared" si="13"/>
        <v>***</v>
      </c>
      <c r="AN24" s="73"/>
      <c r="AO24" s="73">
        <f>+IFERROR(VLOOKUP($A24,'Goals &amp; Budget 2026'!$A$2:$EJ$49,114,FALSE),0)</f>
        <v>0</v>
      </c>
      <c r="AP24" s="85" t="str">
        <f t="shared" si="14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0">
        <f t="shared" si="0"/>
        <v>0</v>
      </c>
      <c r="E25" s="73">
        <f t="shared" si="1"/>
        <v>0</v>
      </c>
      <c r="F25" s="231" t="str">
        <f t="shared" si="2"/>
        <v>***</v>
      </c>
      <c r="G25" s="73"/>
      <c r="H25" s="73">
        <f>+IFERROR(VLOOKUP($A25,'Goals &amp; Budget 2026'!$A$2:$EJ$49,103,FALSE),0)</f>
        <v>0</v>
      </c>
      <c r="I25" s="84" t="str">
        <f t="shared" si="3"/>
        <v>***</v>
      </c>
      <c r="J25" s="73"/>
      <c r="K25" s="73">
        <f>+IFERROR(VLOOKUP($A25,'Goals &amp; Budget 2026'!$A$2:$EJ$49,104,FALSE),0)</f>
        <v>0</v>
      </c>
      <c r="L25" s="84" t="str">
        <f t="shared" si="4"/>
        <v>***</v>
      </c>
      <c r="M25" s="73"/>
      <c r="N25" s="73">
        <f>+IFERROR(VLOOKUP($A25,'Goals &amp; Budget 2026'!$A$2:$EJ$49,105,FALSE),0)</f>
        <v>0</v>
      </c>
      <c r="O25" s="231" t="str">
        <f t="shared" si="5"/>
        <v>***</v>
      </c>
      <c r="P25" s="73"/>
      <c r="Q25" s="73">
        <f>+IFERROR(VLOOKUP($A25,'Goals &amp; Budget 2026'!$A$2:$EJ$49,106,FALSE),0)</f>
        <v>0</v>
      </c>
      <c r="R25" s="84" t="str">
        <f t="shared" si="6"/>
        <v>***</v>
      </c>
      <c r="S25" s="73"/>
      <c r="T25" s="73">
        <f>+IFERROR(VLOOKUP($A25,'Goals &amp; Budget 2026'!$A$2:$EJ$49,107,FALSE),0)</f>
        <v>0</v>
      </c>
      <c r="U25" s="84" t="str">
        <f t="shared" si="7"/>
        <v>***</v>
      </c>
      <c r="V25" s="73"/>
      <c r="W25" s="73">
        <f>+IFERROR(VLOOKUP($A25,'Goals &amp; Budget 2026'!$A$2:$EJ$49,108,FALSE),0)</f>
        <v>0</v>
      </c>
      <c r="X25" s="231" t="str">
        <f t="shared" si="8"/>
        <v>***</v>
      </c>
      <c r="Y25" s="73"/>
      <c r="Z25" s="73">
        <f>+IFERROR(VLOOKUP($A25,'Goals &amp; Budget 2026'!$A$2:$EJ$49,109,FALSE),0)</f>
        <v>0</v>
      </c>
      <c r="AA25" s="84" t="str">
        <f t="shared" si="9"/>
        <v>***</v>
      </c>
      <c r="AB25" s="73"/>
      <c r="AC25" s="73">
        <f>+IFERROR(VLOOKUP($A25,'Goals &amp; Budget 2026'!$A$2:$EJ$49,110,FALSE),0)</f>
        <v>0</v>
      </c>
      <c r="AD25" s="84" t="str">
        <f t="shared" si="10"/>
        <v>***</v>
      </c>
      <c r="AE25" s="73"/>
      <c r="AF25" s="73">
        <f>+IFERROR(VLOOKUP($A25,'Goals &amp; Budget 2026'!$A$2:$EJ$49,111,FALSE),0)</f>
        <v>0</v>
      </c>
      <c r="AG25" s="231" t="str">
        <f t="shared" si="11"/>
        <v>***</v>
      </c>
      <c r="AH25" s="73"/>
      <c r="AI25" s="73">
        <f>+IFERROR(VLOOKUP($A25,'Goals &amp; Budget 2026'!$A$2:$EJ$49,112,FALSE),0)</f>
        <v>0</v>
      </c>
      <c r="AJ25" s="84" t="str">
        <f t="shared" si="12"/>
        <v>***</v>
      </c>
      <c r="AK25" s="73"/>
      <c r="AL25" s="73">
        <f>+IFERROR(VLOOKUP($A25,'Goals &amp; Budget 2026'!$A$2:$EJ$49,113,FALSE),0)</f>
        <v>0</v>
      </c>
      <c r="AM25" s="84" t="str">
        <f t="shared" si="13"/>
        <v>***</v>
      </c>
      <c r="AN25" s="73"/>
      <c r="AO25" s="73">
        <f>+IFERROR(VLOOKUP($A25,'Goals &amp; Budget 2026'!$A$2:$EJ$49,114,FALSE),0)</f>
        <v>0</v>
      </c>
      <c r="AP25" s="85" t="str">
        <f t="shared" si="14"/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51">
        <f t="shared" si="0"/>
        <v>0</v>
      </c>
      <c r="E26" s="54">
        <f t="shared" si="1"/>
        <v>0</v>
      </c>
      <c r="F26" s="232" t="str">
        <f t="shared" si="2"/>
        <v>***</v>
      </c>
      <c r="G26" s="54"/>
      <c r="H26" s="54">
        <f>+IFERROR(VLOOKUP($A26,'Goals &amp; Budget 2026'!$A$2:$EJ$49,103,FALSE),0)</f>
        <v>0</v>
      </c>
      <c r="I26" s="65" t="str">
        <f t="shared" si="3"/>
        <v>***</v>
      </c>
      <c r="J26" s="54"/>
      <c r="K26" s="54">
        <f>+IFERROR(VLOOKUP($A26,'Goals &amp; Budget 2026'!$A$2:$EJ$49,104,FALSE),0)</f>
        <v>0</v>
      </c>
      <c r="L26" s="65" t="str">
        <f t="shared" si="4"/>
        <v>***</v>
      </c>
      <c r="M26" s="54"/>
      <c r="N26" s="54">
        <f>+IFERROR(VLOOKUP($A26,'Goals &amp; Budget 2026'!$A$2:$EJ$49,105,FALSE),0)</f>
        <v>0</v>
      </c>
      <c r="O26" s="232" t="str">
        <f t="shared" si="5"/>
        <v>***</v>
      </c>
      <c r="P26" s="54"/>
      <c r="Q26" s="54">
        <f>+IFERROR(VLOOKUP($A26,'Goals &amp; Budget 2026'!$A$2:$EJ$49,106,FALSE),0)</f>
        <v>0</v>
      </c>
      <c r="R26" s="65" t="str">
        <f t="shared" si="6"/>
        <v>***</v>
      </c>
      <c r="S26" s="54"/>
      <c r="T26" s="54">
        <f>+IFERROR(VLOOKUP($A26,'Goals &amp; Budget 2026'!$A$2:$EJ$49,107,FALSE),0)</f>
        <v>0</v>
      </c>
      <c r="U26" s="65" t="str">
        <f t="shared" si="7"/>
        <v>***</v>
      </c>
      <c r="V26" s="54"/>
      <c r="W26" s="54">
        <f>+IFERROR(VLOOKUP($A26,'Goals &amp; Budget 2026'!$A$2:$EJ$49,108,FALSE),0)</f>
        <v>0</v>
      </c>
      <c r="X26" s="232" t="str">
        <f t="shared" si="8"/>
        <v>***</v>
      </c>
      <c r="Y26" s="54"/>
      <c r="Z26" s="54">
        <f>+IFERROR(VLOOKUP($A26,'Goals &amp; Budget 2026'!$A$2:$EJ$49,109,FALSE),0)</f>
        <v>0</v>
      </c>
      <c r="AA26" s="65" t="str">
        <f t="shared" si="9"/>
        <v>***</v>
      </c>
      <c r="AB26" s="54"/>
      <c r="AC26" s="54">
        <f>+IFERROR(VLOOKUP($A26,'Goals &amp; Budget 2026'!$A$2:$EJ$49,110,FALSE),0)</f>
        <v>0</v>
      </c>
      <c r="AD26" s="65" t="str">
        <f t="shared" si="10"/>
        <v>***</v>
      </c>
      <c r="AE26" s="54"/>
      <c r="AF26" s="54">
        <f>+IFERROR(VLOOKUP($A26,'Goals &amp; Budget 2026'!$A$2:$EJ$49,111,FALSE),0)</f>
        <v>0</v>
      </c>
      <c r="AG26" s="232" t="str">
        <f t="shared" si="11"/>
        <v>***</v>
      </c>
      <c r="AH26" s="54"/>
      <c r="AI26" s="54">
        <f>+IFERROR(VLOOKUP($A26,'Goals &amp; Budget 2026'!$A$2:$EJ$49,112,FALSE),0)</f>
        <v>0</v>
      </c>
      <c r="AJ26" s="65" t="str">
        <f t="shared" si="12"/>
        <v>***</v>
      </c>
      <c r="AK26" s="54"/>
      <c r="AL26" s="54">
        <f>+IFERROR(VLOOKUP($A26,'Goals &amp; Budget 2026'!$A$2:$EJ$49,113,FALSE),0)</f>
        <v>0</v>
      </c>
      <c r="AM26" s="65" t="str">
        <f t="shared" si="13"/>
        <v>***</v>
      </c>
      <c r="AN26" s="54"/>
      <c r="AO26" s="54">
        <f>+IFERROR(VLOOKUP($A26,'Goals &amp; Budget 2026'!$A$2:$EJ$49,114,FALSE),0)</f>
        <v>0</v>
      </c>
      <c r="AP26" s="66" t="str">
        <f t="shared" si="14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51">
        <f t="shared" si="0"/>
        <v>0</v>
      </c>
      <c r="E27" s="54">
        <f t="shared" si="1"/>
        <v>0</v>
      </c>
      <c r="F27" s="232" t="str">
        <f t="shared" si="2"/>
        <v>***</v>
      </c>
      <c r="G27" s="54"/>
      <c r="H27" s="54">
        <f>+IFERROR(VLOOKUP($A27,'Goals &amp; Budget 2026'!$A$2:$EJ$49,103,FALSE),0)</f>
        <v>0</v>
      </c>
      <c r="I27" s="65" t="str">
        <f t="shared" si="3"/>
        <v>***</v>
      </c>
      <c r="J27" s="54"/>
      <c r="K27" s="54">
        <f>+IFERROR(VLOOKUP($A27,'Goals &amp; Budget 2026'!$A$2:$EJ$49,104,FALSE),0)</f>
        <v>0</v>
      </c>
      <c r="L27" s="65" t="str">
        <f t="shared" si="4"/>
        <v>***</v>
      </c>
      <c r="M27" s="54"/>
      <c r="N27" s="54">
        <f>+IFERROR(VLOOKUP($A27,'Goals &amp; Budget 2026'!$A$2:$EJ$49,105,FALSE),0)</f>
        <v>0</v>
      </c>
      <c r="O27" s="232" t="str">
        <f t="shared" si="5"/>
        <v>***</v>
      </c>
      <c r="P27" s="54"/>
      <c r="Q27" s="54">
        <f>+IFERROR(VLOOKUP($A27,'Goals &amp; Budget 2026'!$A$2:$EJ$49,106,FALSE),0)</f>
        <v>0</v>
      </c>
      <c r="R27" s="65" t="str">
        <f t="shared" si="6"/>
        <v>***</v>
      </c>
      <c r="S27" s="54"/>
      <c r="T27" s="54">
        <f>+IFERROR(VLOOKUP($A27,'Goals &amp; Budget 2026'!$A$2:$EJ$49,107,FALSE),0)</f>
        <v>0</v>
      </c>
      <c r="U27" s="65" t="str">
        <f t="shared" si="7"/>
        <v>***</v>
      </c>
      <c r="V27" s="54"/>
      <c r="W27" s="54">
        <f>+IFERROR(VLOOKUP($A27,'Goals &amp; Budget 2026'!$A$2:$EJ$49,108,FALSE),0)</f>
        <v>0</v>
      </c>
      <c r="X27" s="232" t="str">
        <f t="shared" si="8"/>
        <v>***</v>
      </c>
      <c r="Y27" s="54"/>
      <c r="Z27" s="54">
        <f>+IFERROR(VLOOKUP($A27,'Goals &amp; Budget 2026'!$A$2:$EJ$49,109,FALSE),0)</f>
        <v>0</v>
      </c>
      <c r="AA27" s="65" t="str">
        <f t="shared" si="9"/>
        <v>***</v>
      </c>
      <c r="AB27" s="54"/>
      <c r="AC27" s="54">
        <f>+IFERROR(VLOOKUP($A27,'Goals &amp; Budget 2026'!$A$2:$EJ$49,110,FALSE),0)</f>
        <v>0</v>
      </c>
      <c r="AD27" s="65" t="str">
        <f t="shared" si="10"/>
        <v>***</v>
      </c>
      <c r="AE27" s="54"/>
      <c r="AF27" s="54">
        <f>+IFERROR(VLOOKUP($A27,'Goals &amp; Budget 2026'!$A$2:$EJ$49,111,FALSE),0)</f>
        <v>0</v>
      </c>
      <c r="AG27" s="232" t="str">
        <f t="shared" si="11"/>
        <v>***</v>
      </c>
      <c r="AH27" s="54"/>
      <c r="AI27" s="54">
        <f>+IFERROR(VLOOKUP($A27,'Goals &amp; Budget 2026'!$A$2:$EJ$49,112,FALSE),0)</f>
        <v>0</v>
      </c>
      <c r="AJ27" s="65" t="str">
        <f t="shared" si="12"/>
        <v>***</v>
      </c>
      <c r="AK27" s="54"/>
      <c r="AL27" s="54">
        <f>+IFERROR(VLOOKUP($A27,'Goals &amp; Budget 2026'!$A$2:$EJ$49,113,FALSE),0)</f>
        <v>0</v>
      </c>
      <c r="AM27" s="65" t="str">
        <f t="shared" si="13"/>
        <v>***</v>
      </c>
      <c r="AN27" s="54"/>
      <c r="AO27" s="54">
        <f>+IFERROR(VLOOKUP($A27,'Goals &amp; Budget 2026'!$A$2:$EJ$49,114,FALSE),0)</f>
        <v>0</v>
      </c>
      <c r="AP27" s="66" t="str">
        <f t="shared" si="14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51">
        <f t="shared" si="0"/>
        <v>0</v>
      </c>
      <c r="E28" s="54">
        <f t="shared" si="1"/>
        <v>0</v>
      </c>
      <c r="F28" s="232" t="str">
        <f t="shared" si="2"/>
        <v>***</v>
      </c>
      <c r="G28" s="54"/>
      <c r="H28" s="54">
        <f>+IFERROR(VLOOKUP($A28,'Goals &amp; Budget 2026'!$A$2:$EJ$49,103,FALSE),0)</f>
        <v>0</v>
      </c>
      <c r="I28" s="65" t="str">
        <f t="shared" si="3"/>
        <v>***</v>
      </c>
      <c r="J28" s="54"/>
      <c r="K28" s="54">
        <f>+IFERROR(VLOOKUP($A28,'Goals &amp; Budget 2026'!$A$2:$EJ$49,104,FALSE),0)</f>
        <v>0</v>
      </c>
      <c r="L28" s="65" t="str">
        <f t="shared" si="4"/>
        <v>***</v>
      </c>
      <c r="M28" s="54"/>
      <c r="N28" s="54">
        <f>+IFERROR(VLOOKUP($A28,'Goals &amp; Budget 2026'!$A$2:$EJ$49,105,FALSE),0)</f>
        <v>0</v>
      </c>
      <c r="O28" s="232" t="str">
        <f t="shared" si="5"/>
        <v>***</v>
      </c>
      <c r="P28" s="54"/>
      <c r="Q28" s="54">
        <f>+IFERROR(VLOOKUP($A28,'Goals &amp; Budget 2026'!$A$2:$EJ$49,106,FALSE),0)</f>
        <v>0</v>
      </c>
      <c r="R28" s="65" t="str">
        <f t="shared" si="6"/>
        <v>***</v>
      </c>
      <c r="S28" s="54"/>
      <c r="T28" s="54">
        <f>+IFERROR(VLOOKUP($A28,'Goals &amp; Budget 2026'!$A$2:$EJ$49,107,FALSE),0)</f>
        <v>0</v>
      </c>
      <c r="U28" s="65" t="str">
        <f t="shared" si="7"/>
        <v>***</v>
      </c>
      <c r="V28" s="54"/>
      <c r="W28" s="54">
        <f>+IFERROR(VLOOKUP($A28,'Goals &amp; Budget 2026'!$A$2:$EJ$49,108,FALSE),0)</f>
        <v>0</v>
      </c>
      <c r="X28" s="232" t="str">
        <f t="shared" si="8"/>
        <v>***</v>
      </c>
      <c r="Y28" s="54"/>
      <c r="Z28" s="54">
        <f>+IFERROR(VLOOKUP($A28,'Goals &amp; Budget 2026'!$A$2:$EJ$49,109,FALSE),0)</f>
        <v>0</v>
      </c>
      <c r="AA28" s="65" t="str">
        <f t="shared" si="9"/>
        <v>***</v>
      </c>
      <c r="AB28" s="54"/>
      <c r="AC28" s="54">
        <f>+IFERROR(VLOOKUP($A28,'Goals &amp; Budget 2026'!$A$2:$EJ$49,110,FALSE),0)</f>
        <v>0</v>
      </c>
      <c r="AD28" s="65" t="str">
        <f t="shared" si="10"/>
        <v>***</v>
      </c>
      <c r="AE28" s="54"/>
      <c r="AF28" s="54">
        <f>+IFERROR(VLOOKUP($A28,'Goals &amp; Budget 2026'!$A$2:$EJ$49,111,FALSE),0)</f>
        <v>0</v>
      </c>
      <c r="AG28" s="232" t="str">
        <f t="shared" si="11"/>
        <v>***</v>
      </c>
      <c r="AH28" s="54"/>
      <c r="AI28" s="54">
        <f>+IFERROR(VLOOKUP($A28,'Goals &amp; Budget 2026'!$A$2:$EJ$49,112,FALSE),0)</f>
        <v>0</v>
      </c>
      <c r="AJ28" s="65" t="str">
        <f t="shared" si="12"/>
        <v>***</v>
      </c>
      <c r="AK28" s="54"/>
      <c r="AL28" s="54">
        <f>+IFERROR(VLOOKUP($A28,'Goals &amp; Budget 2026'!$A$2:$EJ$49,113,FALSE),0)</f>
        <v>0</v>
      </c>
      <c r="AM28" s="65" t="str">
        <f t="shared" si="13"/>
        <v>***</v>
      </c>
      <c r="AN28" s="54"/>
      <c r="AO28" s="54">
        <f>+IFERROR(VLOOKUP($A28,'Goals &amp; Budget 2026'!$A$2:$EJ$49,114,FALSE),0)</f>
        <v>0</v>
      </c>
      <c r="AP28" s="66" t="str">
        <f t="shared" si="14"/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51">
        <f t="shared" si="0"/>
        <v>0</v>
      </c>
      <c r="E29" s="54">
        <f t="shared" si="1"/>
        <v>0</v>
      </c>
      <c r="F29" s="232" t="str">
        <f t="shared" si="2"/>
        <v>***</v>
      </c>
      <c r="G29" s="54"/>
      <c r="H29" s="54">
        <f>+IFERROR(VLOOKUP($A29,'Goals &amp; Budget 2026'!$A$2:$EJ$49,103,FALSE),0)</f>
        <v>0</v>
      </c>
      <c r="I29" s="65" t="str">
        <f t="shared" si="3"/>
        <v>***</v>
      </c>
      <c r="J29" s="54"/>
      <c r="K29" s="54">
        <f>+IFERROR(VLOOKUP($A29,'Goals &amp; Budget 2026'!$A$2:$EJ$49,104,FALSE),0)</f>
        <v>0</v>
      </c>
      <c r="L29" s="65" t="str">
        <f t="shared" si="4"/>
        <v>***</v>
      </c>
      <c r="M29" s="54"/>
      <c r="N29" s="54">
        <f>+IFERROR(VLOOKUP($A29,'Goals &amp; Budget 2026'!$A$2:$EJ$49,105,FALSE),0)</f>
        <v>0</v>
      </c>
      <c r="O29" s="232" t="str">
        <f t="shared" si="5"/>
        <v>***</v>
      </c>
      <c r="P29" s="54"/>
      <c r="Q29" s="54">
        <f>+IFERROR(VLOOKUP($A29,'Goals &amp; Budget 2026'!$A$2:$EJ$49,106,FALSE),0)</f>
        <v>0</v>
      </c>
      <c r="R29" s="65" t="str">
        <f t="shared" si="6"/>
        <v>***</v>
      </c>
      <c r="S29" s="54"/>
      <c r="T29" s="54">
        <f>+IFERROR(VLOOKUP($A29,'Goals &amp; Budget 2026'!$A$2:$EJ$49,107,FALSE),0)</f>
        <v>0</v>
      </c>
      <c r="U29" s="65" t="str">
        <f t="shared" si="7"/>
        <v>***</v>
      </c>
      <c r="V29" s="54"/>
      <c r="W29" s="54">
        <f>+IFERROR(VLOOKUP($A29,'Goals &amp; Budget 2026'!$A$2:$EJ$49,108,FALSE),0)</f>
        <v>0</v>
      </c>
      <c r="X29" s="232" t="str">
        <f t="shared" si="8"/>
        <v>***</v>
      </c>
      <c r="Y29" s="54"/>
      <c r="Z29" s="54">
        <f>+IFERROR(VLOOKUP($A29,'Goals &amp; Budget 2026'!$A$2:$EJ$49,109,FALSE),0)</f>
        <v>0</v>
      </c>
      <c r="AA29" s="65" t="str">
        <f t="shared" si="9"/>
        <v>***</v>
      </c>
      <c r="AB29" s="54"/>
      <c r="AC29" s="54">
        <f>+IFERROR(VLOOKUP($A29,'Goals &amp; Budget 2026'!$A$2:$EJ$49,110,FALSE),0)</f>
        <v>0</v>
      </c>
      <c r="AD29" s="65" t="str">
        <f t="shared" si="10"/>
        <v>***</v>
      </c>
      <c r="AE29" s="54"/>
      <c r="AF29" s="54">
        <f>+IFERROR(VLOOKUP($A29,'Goals &amp; Budget 2026'!$A$2:$EJ$49,111,FALSE),0)</f>
        <v>0</v>
      </c>
      <c r="AG29" s="232" t="str">
        <f t="shared" si="11"/>
        <v>***</v>
      </c>
      <c r="AH29" s="54"/>
      <c r="AI29" s="54">
        <f>+IFERROR(VLOOKUP($A29,'Goals &amp; Budget 2026'!$A$2:$EJ$49,112,FALSE),0)</f>
        <v>0</v>
      </c>
      <c r="AJ29" s="65" t="str">
        <f t="shared" si="12"/>
        <v>***</v>
      </c>
      <c r="AK29" s="54"/>
      <c r="AL29" s="54">
        <f>+IFERROR(VLOOKUP($A29,'Goals &amp; Budget 2026'!$A$2:$EJ$49,113,FALSE),0)</f>
        <v>0</v>
      </c>
      <c r="AM29" s="65" t="str">
        <f t="shared" si="13"/>
        <v>***</v>
      </c>
      <c r="AN29" s="54"/>
      <c r="AO29" s="54">
        <f>+IFERROR(VLOOKUP($A29,'Goals &amp; Budget 2026'!$A$2:$EJ$49,114,FALSE),0)</f>
        <v>0</v>
      </c>
      <c r="AP29" s="66" t="str">
        <f t="shared" si="14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51">
        <f t="shared" si="0"/>
        <v>0</v>
      </c>
      <c r="E30" s="54">
        <f t="shared" si="1"/>
        <v>0</v>
      </c>
      <c r="F30" s="232" t="str">
        <f t="shared" si="2"/>
        <v>***</v>
      </c>
      <c r="G30" s="54"/>
      <c r="H30" s="54">
        <f>+IFERROR(VLOOKUP($A30,'Goals &amp; Budget 2026'!$A$2:$EJ$49,103,FALSE),0)</f>
        <v>0</v>
      </c>
      <c r="I30" s="65" t="str">
        <f t="shared" si="3"/>
        <v>***</v>
      </c>
      <c r="J30" s="54"/>
      <c r="K30" s="54">
        <f>+IFERROR(VLOOKUP($A30,'Goals &amp; Budget 2026'!$A$2:$EJ$49,104,FALSE),0)</f>
        <v>0</v>
      </c>
      <c r="L30" s="65" t="str">
        <f t="shared" si="4"/>
        <v>***</v>
      </c>
      <c r="M30" s="54"/>
      <c r="N30" s="54">
        <f>+IFERROR(VLOOKUP($A30,'Goals &amp; Budget 2026'!$A$2:$EJ$49,105,FALSE),0)</f>
        <v>0</v>
      </c>
      <c r="O30" s="232" t="str">
        <f t="shared" si="5"/>
        <v>***</v>
      </c>
      <c r="P30" s="54"/>
      <c r="Q30" s="54">
        <f>+IFERROR(VLOOKUP($A30,'Goals &amp; Budget 2026'!$A$2:$EJ$49,106,FALSE),0)</f>
        <v>0</v>
      </c>
      <c r="R30" s="65" t="str">
        <f t="shared" si="6"/>
        <v>***</v>
      </c>
      <c r="S30" s="54"/>
      <c r="T30" s="54">
        <f>+IFERROR(VLOOKUP($A30,'Goals &amp; Budget 2026'!$A$2:$EJ$49,107,FALSE),0)</f>
        <v>0</v>
      </c>
      <c r="U30" s="65" t="str">
        <f t="shared" si="7"/>
        <v>***</v>
      </c>
      <c r="V30" s="54"/>
      <c r="W30" s="54">
        <f>+IFERROR(VLOOKUP($A30,'Goals &amp; Budget 2026'!$A$2:$EJ$49,108,FALSE),0)</f>
        <v>0</v>
      </c>
      <c r="X30" s="232" t="str">
        <f t="shared" si="8"/>
        <v>***</v>
      </c>
      <c r="Y30" s="54"/>
      <c r="Z30" s="54">
        <f>+IFERROR(VLOOKUP($A30,'Goals &amp; Budget 2026'!$A$2:$EJ$49,109,FALSE),0)</f>
        <v>0</v>
      </c>
      <c r="AA30" s="65" t="str">
        <f t="shared" si="9"/>
        <v>***</v>
      </c>
      <c r="AB30" s="54"/>
      <c r="AC30" s="54">
        <f>+IFERROR(VLOOKUP($A30,'Goals &amp; Budget 2026'!$A$2:$EJ$49,110,FALSE),0)</f>
        <v>0</v>
      </c>
      <c r="AD30" s="65" t="str">
        <f t="shared" si="10"/>
        <v>***</v>
      </c>
      <c r="AE30" s="54"/>
      <c r="AF30" s="54">
        <f>+IFERROR(VLOOKUP($A30,'Goals &amp; Budget 2026'!$A$2:$EJ$49,111,FALSE),0)</f>
        <v>0</v>
      </c>
      <c r="AG30" s="232" t="str">
        <f t="shared" si="11"/>
        <v>***</v>
      </c>
      <c r="AH30" s="54"/>
      <c r="AI30" s="54">
        <f>+IFERROR(VLOOKUP($A30,'Goals &amp; Budget 2026'!$A$2:$EJ$49,112,FALSE),0)</f>
        <v>0</v>
      </c>
      <c r="AJ30" s="65" t="str">
        <f t="shared" si="12"/>
        <v>***</v>
      </c>
      <c r="AK30" s="54"/>
      <c r="AL30" s="54">
        <f>+IFERROR(VLOOKUP($A30,'Goals &amp; Budget 2026'!$A$2:$EJ$49,113,FALSE),0)</f>
        <v>0</v>
      </c>
      <c r="AM30" s="65" t="str">
        <f t="shared" si="13"/>
        <v>***</v>
      </c>
      <c r="AN30" s="54"/>
      <c r="AO30" s="54">
        <f>+IFERROR(VLOOKUP($A30,'Goals &amp; Budget 2026'!$A$2:$EJ$49,114,FALSE),0)</f>
        <v>0</v>
      </c>
      <c r="AP30" s="66" t="str">
        <f t="shared" si="14"/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51">
        <f t="shared" ref="D31:D47" si="15">+G31</f>
        <v>0</v>
      </c>
      <c r="E31" s="54">
        <f t="shared" ref="E31:E47" si="16">+H31</f>
        <v>0</v>
      </c>
      <c r="F31" s="232" t="str">
        <f t="shared" ref="F31:F47" si="17">IF(AND(D31&gt;0,E31&gt;0),D31/E31,IF(AND(D31&gt;0,E31=0),100%,IF(AND(D31=0,E31&gt;0),0,IF(AND(D31=0,E31=0),"***",0))))</f>
        <v>***</v>
      </c>
      <c r="G31" s="54"/>
      <c r="H31" s="54">
        <f>+IFERROR(VLOOKUP($A31,'Goals &amp; Budget 2026'!$A$2:$EJ$49,103,FALSE),0)</f>
        <v>0</v>
      </c>
      <c r="I31" s="65" t="str">
        <f t="shared" ref="I31:I47" si="18">IF(AND(G31&gt;0,H31&gt;0),G31/H31,IF(AND(G31&gt;0,H31=0),100%,IF(AND(G31=0,H31&gt;0),0,IF(AND(G31=0,H31=0),"***",0))))</f>
        <v>***</v>
      </c>
      <c r="J31" s="54"/>
      <c r="K31" s="54">
        <f>+IFERROR(VLOOKUP($A31,'Goals &amp; Budget 2026'!$A$2:$EJ$49,104,FALSE),0)</f>
        <v>0</v>
      </c>
      <c r="L31" s="65" t="str">
        <f t="shared" ref="L31:L47" si="19">IF(AND(J31&gt;0,K31&gt;0),J31/K31,IF(AND(J31&gt;0,K31=0),100%,IF(AND(J31=0,K31&gt;0),0,IF(AND(J31=0,K31=0),"***",0))))</f>
        <v>***</v>
      </c>
      <c r="M31" s="54"/>
      <c r="N31" s="54">
        <f>+IFERROR(VLOOKUP($A31,'Goals &amp; Budget 2026'!$A$2:$EJ$49,105,FALSE),0)</f>
        <v>0</v>
      </c>
      <c r="O31" s="232" t="str">
        <f t="shared" ref="O31:O47" si="20">IF(AND(M31&gt;0,N31&gt;0),M31/N31,IF(AND(M31&gt;0,N31=0),100%,IF(AND(M31=0,N31&gt;0),0,IF(AND(M31=0,N31=0),"***",0))))</f>
        <v>***</v>
      </c>
      <c r="P31" s="54"/>
      <c r="Q31" s="54">
        <f>+IFERROR(VLOOKUP($A31,'Goals &amp; Budget 2026'!$A$2:$EJ$49,106,FALSE),0)</f>
        <v>0</v>
      </c>
      <c r="R31" s="65" t="str">
        <f t="shared" ref="R31:R47" si="21">IF(AND(P31&gt;0,Q31&gt;0),P31/Q31,IF(AND(P31&gt;0,Q31=0),100%,IF(AND(P31=0,Q31&gt;0),0,IF(AND(P31=0,Q31=0),"***",0))))</f>
        <v>***</v>
      </c>
      <c r="S31" s="54"/>
      <c r="T31" s="54">
        <f>+IFERROR(VLOOKUP($A31,'Goals &amp; Budget 2026'!$A$2:$EJ$49,107,FALSE),0)</f>
        <v>0</v>
      </c>
      <c r="U31" s="65" t="str">
        <f t="shared" ref="U31:U47" si="22">IF(AND(S31&gt;0,T31&gt;0),S31/T31,IF(AND(S31&gt;0,T31=0),100%,IF(AND(S31=0,T31&gt;0),0,IF(AND(S31=0,T31=0),"***",0))))</f>
        <v>***</v>
      </c>
      <c r="V31" s="54"/>
      <c r="W31" s="54">
        <f>+IFERROR(VLOOKUP($A31,'Goals &amp; Budget 2026'!$A$2:$EJ$49,108,FALSE),0)</f>
        <v>0</v>
      </c>
      <c r="X31" s="232" t="str">
        <f t="shared" ref="X31:X47" si="23">IF(AND(V31&gt;0,W31&gt;0),V31/W31,IF(AND(V31&gt;0,W31=0),100%,IF(AND(V31=0,W31&gt;0),0,IF(AND(V31=0,W31=0),"***",0))))</f>
        <v>***</v>
      </c>
      <c r="Y31" s="54"/>
      <c r="Z31" s="54">
        <f>+IFERROR(VLOOKUP($A31,'Goals &amp; Budget 2026'!$A$2:$EJ$49,109,FALSE),0)</f>
        <v>0</v>
      </c>
      <c r="AA31" s="65" t="str">
        <f t="shared" ref="AA31:AA47" si="24">IF(AND(Y31&gt;0,Z31&gt;0),Y31/Z31,IF(AND(Y31&gt;0,Z31=0),100%,IF(AND(Y31=0,Z31&gt;0),0,IF(AND(Y31=0,Z31=0),"***",0))))</f>
        <v>***</v>
      </c>
      <c r="AB31" s="54"/>
      <c r="AC31" s="54">
        <f>+IFERROR(VLOOKUP($A31,'Goals &amp; Budget 2026'!$A$2:$EJ$49,110,FALSE),0)</f>
        <v>0</v>
      </c>
      <c r="AD31" s="65" t="str">
        <f t="shared" ref="AD31:AD47" si="25">IF(AND(AB31&gt;0,AC31&gt;0),AB31/AC31,IF(AND(AB31&gt;0,AC31=0),100%,IF(AND(AB31=0,AC31&gt;0),0,IF(AND(AB31=0,AC31=0),"***",0))))</f>
        <v>***</v>
      </c>
      <c r="AE31" s="54"/>
      <c r="AF31" s="54">
        <f>+IFERROR(VLOOKUP($A31,'Goals &amp; Budget 2026'!$A$2:$EJ$49,111,FALSE),0)</f>
        <v>0</v>
      </c>
      <c r="AG31" s="232" t="str">
        <f t="shared" ref="AG31:AG47" si="26">IF(AND(AE31&gt;0,AF31&gt;0),AE31/AF31,IF(AND(AE31&gt;0,AF31=0),100%,IF(AND(AE31=0,AF31&gt;0),0,IF(AND(AE31=0,AF31=0),"***",0))))</f>
        <v>***</v>
      </c>
      <c r="AH31" s="54"/>
      <c r="AI31" s="54">
        <f>+IFERROR(VLOOKUP($A31,'Goals &amp; Budget 2026'!$A$2:$EJ$49,112,FALSE),0)</f>
        <v>0</v>
      </c>
      <c r="AJ31" s="65" t="str">
        <f t="shared" ref="AJ31:AJ47" si="27">IF(AND(AH31&gt;0,AI31&gt;0),AH31/AI31,IF(AND(AH31&gt;0,AI31=0),100%,IF(AND(AH31=0,AI31&gt;0),0,IF(AND(AH31=0,AI31=0),"***",0))))</f>
        <v>***</v>
      </c>
      <c r="AK31" s="54"/>
      <c r="AL31" s="54">
        <f>+IFERROR(VLOOKUP($A31,'Goals &amp; Budget 2026'!$A$2:$EJ$49,113,FALSE),0)</f>
        <v>0</v>
      </c>
      <c r="AM31" s="65" t="str">
        <f t="shared" ref="AM31:AM47" si="28">IF(AND(AK31&gt;0,AL31&gt;0),AK31/AL31,IF(AND(AK31&gt;0,AL31=0),100%,IF(AND(AK31=0,AL31&gt;0),0,IF(AND(AK31=0,AL31=0),"***",0))))</f>
        <v>***</v>
      </c>
      <c r="AN31" s="54"/>
      <c r="AO31" s="54">
        <f>+IFERROR(VLOOKUP($A31,'Goals &amp; Budget 2026'!$A$2:$EJ$49,114,FALSE),0)</f>
        <v>0</v>
      </c>
      <c r="AP31" s="66" t="str">
        <f t="shared" ref="AP31:AP47" si="29">IF(AND(AN31&gt;0,AO31&gt;0),AN31/AO31,IF(AND(AN31&gt;0,AO31=0),100%,IF(AND(AN31=0,AO31&gt;0),0,IF(AND(AN31=0,AO31=0),"***",0))))</f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51">
        <f t="shared" si="15"/>
        <v>0</v>
      </c>
      <c r="E32" s="54">
        <f t="shared" si="16"/>
        <v>0</v>
      </c>
      <c r="F32" s="232" t="str">
        <f t="shared" si="17"/>
        <v>***</v>
      </c>
      <c r="G32" s="54"/>
      <c r="H32" s="54">
        <f>+IFERROR(VLOOKUP($A32,'Goals &amp; Budget 2026'!$A$2:$EJ$49,103,FALSE),0)</f>
        <v>0</v>
      </c>
      <c r="I32" s="65" t="str">
        <f t="shared" si="18"/>
        <v>***</v>
      </c>
      <c r="J32" s="54"/>
      <c r="K32" s="54">
        <f>+IFERROR(VLOOKUP($A32,'Goals &amp; Budget 2026'!$A$2:$EJ$49,104,FALSE),0)</f>
        <v>0</v>
      </c>
      <c r="L32" s="65" t="str">
        <f t="shared" si="19"/>
        <v>***</v>
      </c>
      <c r="M32" s="54"/>
      <c r="N32" s="54">
        <f>+IFERROR(VLOOKUP($A32,'Goals &amp; Budget 2026'!$A$2:$EJ$49,105,FALSE),0)</f>
        <v>0</v>
      </c>
      <c r="O32" s="232" t="str">
        <f t="shared" si="20"/>
        <v>***</v>
      </c>
      <c r="P32" s="54"/>
      <c r="Q32" s="54">
        <f>+IFERROR(VLOOKUP($A32,'Goals &amp; Budget 2026'!$A$2:$EJ$49,106,FALSE),0)</f>
        <v>0</v>
      </c>
      <c r="R32" s="65" t="str">
        <f t="shared" si="21"/>
        <v>***</v>
      </c>
      <c r="S32" s="54"/>
      <c r="T32" s="54">
        <f>+IFERROR(VLOOKUP($A32,'Goals &amp; Budget 2026'!$A$2:$EJ$49,107,FALSE),0)</f>
        <v>0</v>
      </c>
      <c r="U32" s="65" t="str">
        <f t="shared" si="22"/>
        <v>***</v>
      </c>
      <c r="V32" s="54"/>
      <c r="W32" s="54">
        <f>+IFERROR(VLOOKUP($A32,'Goals &amp; Budget 2026'!$A$2:$EJ$49,108,FALSE),0)</f>
        <v>99</v>
      </c>
      <c r="X32" s="232">
        <f t="shared" si="23"/>
        <v>0</v>
      </c>
      <c r="Y32" s="54"/>
      <c r="Z32" s="54">
        <f>+IFERROR(VLOOKUP($A32,'Goals &amp; Budget 2026'!$A$2:$EJ$49,109,FALSE),0)</f>
        <v>0</v>
      </c>
      <c r="AA32" s="65" t="str">
        <f t="shared" si="24"/>
        <v>***</v>
      </c>
      <c r="AB32" s="54"/>
      <c r="AC32" s="54">
        <f>+IFERROR(VLOOKUP($A32,'Goals &amp; Budget 2026'!$A$2:$EJ$49,110,FALSE),0)</f>
        <v>0</v>
      </c>
      <c r="AD32" s="65" t="str">
        <f t="shared" si="25"/>
        <v>***</v>
      </c>
      <c r="AE32" s="54"/>
      <c r="AF32" s="54">
        <f>+IFERROR(VLOOKUP($A32,'Goals &amp; Budget 2026'!$A$2:$EJ$49,111,FALSE),0)</f>
        <v>0</v>
      </c>
      <c r="AG32" s="232" t="str">
        <f t="shared" si="26"/>
        <v>***</v>
      </c>
      <c r="AH32" s="54"/>
      <c r="AI32" s="54">
        <f>+IFERROR(VLOOKUP($A32,'Goals &amp; Budget 2026'!$A$2:$EJ$49,112,FALSE),0)</f>
        <v>60</v>
      </c>
      <c r="AJ32" s="65">
        <f t="shared" si="27"/>
        <v>0</v>
      </c>
      <c r="AK32" s="54"/>
      <c r="AL32" s="54">
        <f>+IFERROR(VLOOKUP($A32,'Goals &amp; Budget 2026'!$A$2:$EJ$49,113,FALSE),0)</f>
        <v>0</v>
      </c>
      <c r="AM32" s="65" t="str">
        <f t="shared" si="28"/>
        <v>***</v>
      </c>
      <c r="AN32" s="54"/>
      <c r="AO32" s="54">
        <f>+IFERROR(VLOOKUP($A32,'Goals &amp; Budget 2026'!$A$2:$EJ$49,114,FALSE),0)</f>
        <v>0</v>
      </c>
      <c r="AP32" s="66" t="str">
        <f t="shared" si="29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51">
        <f t="shared" si="15"/>
        <v>0</v>
      </c>
      <c r="E33" s="54">
        <f t="shared" si="16"/>
        <v>0</v>
      </c>
      <c r="F33" s="232" t="str">
        <f t="shared" si="17"/>
        <v>***</v>
      </c>
      <c r="G33" s="54"/>
      <c r="H33" s="54">
        <f>+IFERROR(VLOOKUP($A33,'Goals &amp; Budget 2026'!$A$2:$EJ$49,103,FALSE),0)</f>
        <v>0</v>
      </c>
      <c r="I33" s="65" t="str">
        <f t="shared" si="18"/>
        <v>***</v>
      </c>
      <c r="J33" s="54"/>
      <c r="K33" s="54">
        <f>+IFERROR(VLOOKUP($A33,'Goals &amp; Budget 2026'!$A$2:$EJ$49,104,FALSE),0)</f>
        <v>0</v>
      </c>
      <c r="L33" s="65" t="str">
        <f t="shared" si="19"/>
        <v>***</v>
      </c>
      <c r="M33" s="54"/>
      <c r="N33" s="54">
        <f>+IFERROR(VLOOKUP($A33,'Goals &amp; Budget 2026'!$A$2:$EJ$49,105,FALSE),0)</f>
        <v>0</v>
      </c>
      <c r="O33" s="232" t="str">
        <f t="shared" si="20"/>
        <v>***</v>
      </c>
      <c r="P33" s="54"/>
      <c r="Q33" s="54">
        <f>+IFERROR(VLOOKUP($A33,'Goals &amp; Budget 2026'!$A$2:$EJ$49,106,FALSE),0)</f>
        <v>0</v>
      </c>
      <c r="R33" s="65" t="str">
        <f t="shared" si="21"/>
        <v>***</v>
      </c>
      <c r="S33" s="54"/>
      <c r="T33" s="54">
        <f>+IFERROR(VLOOKUP($A33,'Goals &amp; Budget 2026'!$A$2:$EJ$49,107,FALSE),0)</f>
        <v>0</v>
      </c>
      <c r="U33" s="65" t="str">
        <f t="shared" si="22"/>
        <v>***</v>
      </c>
      <c r="V33" s="54"/>
      <c r="W33" s="54">
        <f>+IFERROR(VLOOKUP($A33,'Goals &amp; Budget 2026'!$A$2:$EJ$49,108,FALSE),0)</f>
        <v>0</v>
      </c>
      <c r="X33" s="232" t="str">
        <f t="shared" si="23"/>
        <v>***</v>
      </c>
      <c r="Y33" s="54"/>
      <c r="Z33" s="54">
        <f>+IFERROR(VLOOKUP($A33,'Goals &amp; Budget 2026'!$A$2:$EJ$49,109,FALSE),0)</f>
        <v>0</v>
      </c>
      <c r="AA33" s="65" t="str">
        <f t="shared" si="24"/>
        <v>***</v>
      </c>
      <c r="AB33" s="54"/>
      <c r="AC33" s="54">
        <f>+IFERROR(VLOOKUP($A33,'Goals &amp; Budget 2026'!$A$2:$EJ$49,110,FALSE),0)</f>
        <v>0</v>
      </c>
      <c r="AD33" s="65" t="str">
        <f t="shared" si="25"/>
        <v>***</v>
      </c>
      <c r="AE33" s="54"/>
      <c r="AF33" s="54">
        <f>+IFERROR(VLOOKUP($A33,'Goals &amp; Budget 2026'!$A$2:$EJ$49,111,FALSE),0)</f>
        <v>0</v>
      </c>
      <c r="AG33" s="232" t="str">
        <f t="shared" si="26"/>
        <v>***</v>
      </c>
      <c r="AH33" s="54"/>
      <c r="AI33" s="54">
        <f>+IFERROR(VLOOKUP($A33,'Goals &amp; Budget 2026'!$A$2:$EJ$49,112,FALSE),0)</f>
        <v>0</v>
      </c>
      <c r="AJ33" s="65" t="str">
        <f t="shared" si="27"/>
        <v>***</v>
      </c>
      <c r="AK33" s="54"/>
      <c r="AL33" s="54">
        <f>+IFERROR(VLOOKUP($A33,'Goals &amp; Budget 2026'!$A$2:$EJ$49,113,FALSE),0)</f>
        <v>0</v>
      </c>
      <c r="AM33" s="65" t="str">
        <f t="shared" si="28"/>
        <v>***</v>
      </c>
      <c r="AN33" s="54"/>
      <c r="AO33" s="54">
        <f>+IFERROR(VLOOKUP($A33,'Goals &amp; Budget 2026'!$A$2:$EJ$49,114,FALSE),0)</f>
        <v>0</v>
      </c>
      <c r="AP33" s="66" t="str">
        <f t="shared" si="29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51">
        <f t="shared" si="15"/>
        <v>0</v>
      </c>
      <c r="E34" s="54">
        <f t="shared" si="16"/>
        <v>0</v>
      </c>
      <c r="F34" s="232" t="str">
        <f t="shared" si="17"/>
        <v>***</v>
      </c>
      <c r="G34" s="54"/>
      <c r="H34" s="54">
        <f>+IFERROR(VLOOKUP($A34,'Goals &amp; Budget 2026'!$A$2:$EJ$49,103,FALSE),0)</f>
        <v>0</v>
      </c>
      <c r="I34" s="65" t="str">
        <f t="shared" si="18"/>
        <v>***</v>
      </c>
      <c r="J34" s="54"/>
      <c r="K34" s="54">
        <f>+IFERROR(VLOOKUP($A34,'Goals &amp; Budget 2026'!$A$2:$EJ$49,104,FALSE),0)</f>
        <v>0</v>
      </c>
      <c r="L34" s="65" t="str">
        <f t="shared" si="19"/>
        <v>***</v>
      </c>
      <c r="M34" s="54"/>
      <c r="N34" s="54">
        <f>+IFERROR(VLOOKUP($A34,'Goals &amp; Budget 2026'!$A$2:$EJ$49,105,FALSE),0)</f>
        <v>0</v>
      </c>
      <c r="O34" s="232" t="str">
        <f t="shared" si="20"/>
        <v>***</v>
      </c>
      <c r="P34" s="54"/>
      <c r="Q34" s="54">
        <f>+IFERROR(VLOOKUP($A34,'Goals &amp; Budget 2026'!$A$2:$EJ$49,106,FALSE),0)</f>
        <v>0</v>
      </c>
      <c r="R34" s="65" t="str">
        <f t="shared" si="21"/>
        <v>***</v>
      </c>
      <c r="S34" s="54"/>
      <c r="T34" s="54">
        <f>+IFERROR(VLOOKUP($A34,'Goals &amp; Budget 2026'!$A$2:$EJ$49,107,FALSE),0)</f>
        <v>0</v>
      </c>
      <c r="U34" s="65" t="str">
        <f t="shared" si="22"/>
        <v>***</v>
      </c>
      <c r="V34" s="54"/>
      <c r="W34" s="54">
        <f>+IFERROR(VLOOKUP($A34,'Goals &amp; Budget 2026'!$A$2:$EJ$49,108,FALSE),0)</f>
        <v>0</v>
      </c>
      <c r="X34" s="232" t="str">
        <f t="shared" si="23"/>
        <v>***</v>
      </c>
      <c r="Y34" s="54"/>
      <c r="Z34" s="54">
        <f>+IFERROR(VLOOKUP($A34,'Goals &amp; Budget 2026'!$A$2:$EJ$49,109,FALSE),0)</f>
        <v>0</v>
      </c>
      <c r="AA34" s="65" t="str">
        <f t="shared" si="24"/>
        <v>***</v>
      </c>
      <c r="AB34" s="54"/>
      <c r="AC34" s="54">
        <f>+IFERROR(VLOOKUP($A34,'Goals &amp; Budget 2026'!$A$2:$EJ$49,110,FALSE),0)</f>
        <v>0</v>
      </c>
      <c r="AD34" s="65" t="str">
        <f t="shared" si="25"/>
        <v>***</v>
      </c>
      <c r="AE34" s="54"/>
      <c r="AF34" s="54">
        <f>+IFERROR(VLOOKUP($A34,'Goals &amp; Budget 2026'!$A$2:$EJ$49,111,FALSE),0)</f>
        <v>0</v>
      </c>
      <c r="AG34" s="232" t="str">
        <f t="shared" si="26"/>
        <v>***</v>
      </c>
      <c r="AH34" s="54"/>
      <c r="AI34" s="54">
        <f>+IFERROR(VLOOKUP($A34,'Goals &amp; Budget 2026'!$A$2:$EJ$49,112,FALSE),0)</f>
        <v>0</v>
      </c>
      <c r="AJ34" s="65" t="str">
        <f t="shared" si="27"/>
        <v>***</v>
      </c>
      <c r="AK34" s="54"/>
      <c r="AL34" s="54">
        <f>+IFERROR(VLOOKUP($A34,'Goals &amp; Budget 2026'!$A$2:$EJ$49,113,FALSE),0)</f>
        <v>0</v>
      </c>
      <c r="AM34" s="65" t="str">
        <f t="shared" si="28"/>
        <v>***</v>
      </c>
      <c r="AN34" s="54"/>
      <c r="AO34" s="54">
        <f>+IFERROR(VLOOKUP($A34,'Goals &amp; Budget 2026'!$A$2:$EJ$49,114,FALSE),0)</f>
        <v>0</v>
      </c>
      <c r="AP34" s="66" t="str">
        <f t="shared" si="29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51">
        <f t="shared" si="15"/>
        <v>0</v>
      </c>
      <c r="E35" s="54">
        <f t="shared" si="16"/>
        <v>0</v>
      </c>
      <c r="F35" s="232" t="str">
        <f t="shared" si="17"/>
        <v>***</v>
      </c>
      <c r="G35" s="54"/>
      <c r="H35" s="54">
        <f>+IFERROR(VLOOKUP($A35,'Goals &amp; Budget 2026'!$A$2:$EJ$49,103,FALSE),0)</f>
        <v>0</v>
      </c>
      <c r="I35" s="65" t="str">
        <f t="shared" si="18"/>
        <v>***</v>
      </c>
      <c r="J35" s="54"/>
      <c r="K35" s="54">
        <f>+IFERROR(VLOOKUP($A35,'Goals &amp; Budget 2026'!$A$2:$EJ$49,104,FALSE),0)</f>
        <v>0</v>
      </c>
      <c r="L35" s="65" t="str">
        <f t="shared" si="19"/>
        <v>***</v>
      </c>
      <c r="M35" s="54"/>
      <c r="N35" s="54">
        <f>+IFERROR(VLOOKUP($A35,'Goals &amp; Budget 2026'!$A$2:$EJ$49,105,FALSE),0)</f>
        <v>0</v>
      </c>
      <c r="O35" s="232" t="str">
        <f t="shared" si="20"/>
        <v>***</v>
      </c>
      <c r="P35" s="54"/>
      <c r="Q35" s="54">
        <f>+IFERROR(VLOOKUP($A35,'Goals &amp; Budget 2026'!$A$2:$EJ$49,106,FALSE),0)</f>
        <v>0</v>
      </c>
      <c r="R35" s="65" t="str">
        <f t="shared" si="21"/>
        <v>***</v>
      </c>
      <c r="S35" s="54"/>
      <c r="T35" s="54">
        <f>+IFERROR(VLOOKUP($A35,'Goals &amp; Budget 2026'!$A$2:$EJ$49,107,FALSE),0)</f>
        <v>0</v>
      </c>
      <c r="U35" s="65" t="str">
        <f t="shared" si="22"/>
        <v>***</v>
      </c>
      <c r="V35" s="54"/>
      <c r="W35" s="54">
        <f>+IFERROR(VLOOKUP($A35,'Goals &amp; Budget 2026'!$A$2:$EJ$49,108,FALSE),0)</f>
        <v>0</v>
      </c>
      <c r="X35" s="232" t="str">
        <f t="shared" si="23"/>
        <v>***</v>
      </c>
      <c r="Y35" s="54"/>
      <c r="Z35" s="54">
        <f>+IFERROR(VLOOKUP($A35,'Goals &amp; Budget 2026'!$A$2:$EJ$49,109,FALSE),0)</f>
        <v>0</v>
      </c>
      <c r="AA35" s="65" t="str">
        <f t="shared" si="24"/>
        <v>***</v>
      </c>
      <c r="AB35" s="54"/>
      <c r="AC35" s="54">
        <f>+IFERROR(VLOOKUP($A35,'Goals &amp; Budget 2026'!$A$2:$EJ$49,110,FALSE),0)</f>
        <v>0</v>
      </c>
      <c r="AD35" s="65" t="str">
        <f t="shared" si="25"/>
        <v>***</v>
      </c>
      <c r="AE35" s="54"/>
      <c r="AF35" s="54">
        <f>+IFERROR(VLOOKUP($A35,'Goals &amp; Budget 2026'!$A$2:$EJ$49,111,FALSE),0)</f>
        <v>0</v>
      </c>
      <c r="AG35" s="232" t="str">
        <f t="shared" si="26"/>
        <v>***</v>
      </c>
      <c r="AH35" s="54"/>
      <c r="AI35" s="54">
        <f>+IFERROR(VLOOKUP($A35,'Goals &amp; Budget 2026'!$A$2:$EJ$49,112,FALSE),0)</f>
        <v>0</v>
      </c>
      <c r="AJ35" s="65" t="str">
        <f t="shared" si="27"/>
        <v>***</v>
      </c>
      <c r="AK35" s="54"/>
      <c r="AL35" s="54">
        <f>+IFERROR(VLOOKUP($A35,'Goals &amp; Budget 2026'!$A$2:$EJ$49,113,FALSE),0)</f>
        <v>0</v>
      </c>
      <c r="AM35" s="65" t="str">
        <f t="shared" si="28"/>
        <v>***</v>
      </c>
      <c r="AN35" s="54"/>
      <c r="AO35" s="54">
        <f>+IFERROR(VLOOKUP($A35,'Goals &amp; Budget 2026'!$A$2:$EJ$49,114,FALSE),0)</f>
        <v>0</v>
      </c>
      <c r="AP35" s="66" t="str">
        <f t="shared" si="29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51">
        <f t="shared" si="15"/>
        <v>0</v>
      </c>
      <c r="E36" s="54">
        <f t="shared" si="16"/>
        <v>0</v>
      </c>
      <c r="F36" s="232" t="str">
        <f t="shared" si="17"/>
        <v>***</v>
      </c>
      <c r="G36" s="54"/>
      <c r="H36" s="54">
        <f>+IFERROR(VLOOKUP($A36,'Goals &amp; Budget 2026'!$A$2:$EJ$49,103,FALSE),0)</f>
        <v>0</v>
      </c>
      <c r="I36" s="65" t="str">
        <f t="shared" si="18"/>
        <v>***</v>
      </c>
      <c r="J36" s="54"/>
      <c r="K36" s="54">
        <f>+IFERROR(VLOOKUP($A36,'Goals &amp; Budget 2026'!$A$2:$EJ$49,104,FALSE),0)</f>
        <v>0</v>
      </c>
      <c r="L36" s="65" t="str">
        <f t="shared" si="19"/>
        <v>***</v>
      </c>
      <c r="M36" s="54"/>
      <c r="N36" s="54">
        <f>+IFERROR(VLOOKUP($A36,'Goals &amp; Budget 2026'!$A$2:$EJ$49,105,FALSE),0)</f>
        <v>0</v>
      </c>
      <c r="O36" s="232" t="str">
        <f t="shared" si="20"/>
        <v>***</v>
      </c>
      <c r="P36" s="54"/>
      <c r="Q36" s="54">
        <f>+IFERROR(VLOOKUP($A36,'Goals &amp; Budget 2026'!$A$2:$EJ$49,106,FALSE),0)</f>
        <v>0</v>
      </c>
      <c r="R36" s="65" t="str">
        <f t="shared" si="21"/>
        <v>***</v>
      </c>
      <c r="S36" s="54"/>
      <c r="T36" s="54">
        <f>+IFERROR(VLOOKUP($A36,'Goals &amp; Budget 2026'!$A$2:$EJ$49,107,FALSE),0)</f>
        <v>0</v>
      </c>
      <c r="U36" s="65" t="str">
        <f t="shared" si="22"/>
        <v>***</v>
      </c>
      <c r="V36" s="54"/>
      <c r="W36" s="54">
        <f>+IFERROR(VLOOKUP($A36,'Goals &amp; Budget 2026'!$A$2:$EJ$49,108,FALSE),0)</f>
        <v>0</v>
      </c>
      <c r="X36" s="232" t="str">
        <f t="shared" si="23"/>
        <v>***</v>
      </c>
      <c r="Y36" s="54"/>
      <c r="Z36" s="54">
        <f>+IFERROR(VLOOKUP($A36,'Goals &amp; Budget 2026'!$A$2:$EJ$49,109,FALSE),0)</f>
        <v>0</v>
      </c>
      <c r="AA36" s="65" t="str">
        <f t="shared" si="24"/>
        <v>***</v>
      </c>
      <c r="AB36" s="54"/>
      <c r="AC36" s="54">
        <f>+IFERROR(VLOOKUP($A36,'Goals &amp; Budget 2026'!$A$2:$EJ$49,110,FALSE),0)</f>
        <v>0</v>
      </c>
      <c r="AD36" s="65" t="str">
        <f t="shared" si="25"/>
        <v>***</v>
      </c>
      <c r="AE36" s="54"/>
      <c r="AF36" s="54">
        <f>+IFERROR(VLOOKUP($A36,'Goals &amp; Budget 2026'!$A$2:$EJ$49,111,FALSE),0)</f>
        <v>0</v>
      </c>
      <c r="AG36" s="232" t="str">
        <f t="shared" si="26"/>
        <v>***</v>
      </c>
      <c r="AH36" s="54"/>
      <c r="AI36" s="54">
        <f>+IFERROR(VLOOKUP($A36,'Goals &amp; Budget 2026'!$A$2:$EJ$49,112,FALSE),0)</f>
        <v>0</v>
      </c>
      <c r="AJ36" s="65" t="str">
        <f t="shared" si="27"/>
        <v>***</v>
      </c>
      <c r="AK36" s="54"/>
      <c r="AL36" s="54">
        <f>+IFERROR(VLOOKUP($A36,'Goals &amp; Budget 2026'!$A$2:$EJ$49,113,FALSE),0)</f>
        <v>0</v>
      </c>
      <c r="AM36" s="65" t="str">
        <f t="shared" si="28"/>
        <v>***</v>
      </c>
      <c r="AN36" s="54"/>
      <c r="AO36" s="54">
        <f>+IFERROR(VLOOKUP($A36,'Goals &amp; Budget 2026'!$A$2:$EJ$49,114,FALSE),0)</f>
        <v>0</v>
      </c>
      <c r="AP36" s="66" t="str">
        <f t="shared" si="29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51">
        <f t="shared" si="15"/>
        <v>0</v>
      </c>
      <c r="E37" s="54">
        <f t="shared" si="16"/>
        <v>0</v>
      </c>
      <c r="F37" s="232" t="str">
        <f t="shared" si="17"/>
        <v>***</v>
      </c>
      <c r="G37" s="54"/>
      <c r="H37" s="54">
        <f>+IFERROR(VLOOKUP($A37,'Goals &amp; Budget 2026'!$A$2:$EJ$49,103,FALSE),0)</f>
        <v>0</v>
      </c>
      <c r="I37" s="65" t="str">
        <f t="shared" si="18"/>
        <v>***</v>
      </c>
      <c r="J37" s="54"/>
      <c r="K37" s="54">
        <f>+IFERROR(VLOOKUP($A37,'Goals &amp; Budget 2026'!$A$2:$EJ$49,104,FALSE),0)</f>
        <v>0</v>
      </c>
      <c r="L37" s="65" t="str">
        <f t="shared" si="19"/>
        <v>***</v>
      </c>
      <c r="M37" s="54"/>
      <c r="N37" s="54">
        <f>+IFERROR(VLOOKUP($A37,'Goals &amp; Budget 2026'!$A$2:$EJ$49,105,FALSE),0)</f>
        <v>0</v>
      </c>
      <c r="O37" s="232" t="str">
        <f t="shared" si="20"/>
        <v>***</v>
      </c>
      <c r="P37" s="54"/>
      <c r="Q37" s="54">
        <f>+IFERROR(VLOOKUP($A37,'Goals &amp; Budget 2026'!$A$2:$EJ$49,106,FALSE),0)</f>
        <v>0</v>
      </c>
      <c r="R37" s="65" t="str">
        <f t="shared" si="21"/>
        <v>***</v>
      </c>
      <c r="S37" s="54"/>
      <c r="T37" s="54">
        <f>+IFERROR(VLOOKUP($A37,'Goals &amp; Budget 2026'!$A$2:$EJ$49,107,FALSE),0)</f>
        <v>0</v>
      </c>
      <c r="U37" s="65" t="str">
        <f t="shared" si="22"/>
        <v>***</v>
      </c>
      <c r="V37" s="54"/>
      <c r="W37" s="54">
        <f>+IFERROR(VLOOKUP($A37,'Goals &amp; Budget 2026'!$A$2:$EJ$49,108,FALSE),0)</f>
        <v>0</v>
      </c>
      <c r="X37" s="232" t="str">
        <f t="shared" si="23"/>
        <v>***</v>
      </c>
      <c r="Y37" s="54"/>
      <c r="Z37" s="54">
        <f>+IFERROR(VLOOKUP($A37,'Goals &amp; Budget 2026'!$A$2:$EJ$49,109,FALSE),0)</f>
        <v>0</v>
      </c>
      <c r="AA37" s="65" t="str">
        <f t="shared" si="24"/>
        <v>***</v>
      </c>
      <c r="AB37" s="54"/>
      <c r="AC37" s="54">
        <f>+IFERROR(VLOOKUP($A37,'Goals &amp; Budget 2026'!$A$2:$EJ$49,110,FALSE),0)</f>
        <v>0</v>
      </c>
      <c r="AD37" s="65" t="str">
        <f t="shared" si="25"/>
        <v>***</v>
      </c>
      <c r="AE37" s="54"/>
      <c r="AF37" s="54">
        <f>+IFERROR(VLOOKUP($A37,'Goals &amp; Budget 2026'!$A$2:$EJ$49,111,FALSE),0)</f>
        <v>0</v>
      </c>
      <c r="AG37" s="232" t="str">
        <f t="shared" si="26"/>
        <v>***</v>
      </c>
      <c r="AH37" s="54"/>
      <c r="AI37" s="54">
        <f>+IFERROR(VLOOKUP($A37,'Goals &amp; Budget 2026'!$A$2:$EJ$49,112,FALSE),0)</f>
        <v>0</v>
      </c>
      <c r="AJ37" s="65" t="str">
        <f t="shared" si="27"/>
        <v>***</v>
      </c>
      <c r="AK37" s="54"/>
      <c r="AL37" s="54">
        <f>+IFERROR(VLOOKUP($A37,'Goals &amp; Budget 2026'!$A$2:$EJ$49,113,FALSE),0)</f>
        <v>0</v>
      </c>
      <c r="AM37" s="65" t="str">
        <f t="shared" si="28"/>
        <v>***</v>
      </c>
      <c r="AN37" s="54"/>
      <c r="AO37" s="54">
        <f>+IFERROR(VLOOKUP($A37,'Goals &amp; Budget 2026'!$A$2:$EJ$49,114,FALSE),0)</f>
        <v>0</v>
      </c>
      <c r="AP37" s="66" t="str">
        <f t="shared" si="29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51">
        <f t="shared" si="15"/>
        <v>0</v>
      </c>
      <c r="E38" s="54">
        <f t="shared" si="16"/>
        <v>0</v>
      </c>
      <c r="F38" s="232" t="str">
        <f t="shared" si="17"/>
        <v>***</v>
      </c>
      <c r="G38" s="54"/>
      <c r="H38" s="54">
        <f>+IFERROR(VLOOKUP($A38,'Goals &amp; Budget 2026'!$A$2:$EJ$49,103,FALSE),0)</f>
        <v>0</v>
      </c>
      <c r="I38" s="65" t="str">
        <f t="shared" si="18"/>
        <v>***</v>
      </c>
      <c r="J38" s="54"/>
      <c r="K38" s="54">
        <f>+IFERROR(VLOOKUP($A38,'Goals &amp; Budget 2026'!$A$2:$EJ$49,104,FALSE),0)</f>
        <v>0</v>
      </c>
      <c r="L38" s="65" t="str">
        <f t="shared" si="19"/>
        <v>***</v>
      </c>
      <c r="M38" s="54"/>
      <c r="N38" s="54">
        <f>+IFERROR(VLOOKUP($A38,'Goals &amp; Budget 2026'!$A$2:$EJ$49,105,FALSE),0)</f>
        <v>0</v>
      </c>
      <c r="O38" s="232" t="str">
        <f t="shared" si="20"/>
        <v>***</v>
      </c>
      <c r="P38" s="54"/>
      <c r="Q38" s="54">
        <f>+IFERROR(VLOOKUP($A38,'Goals &amp; Budget 2026'!$A$2:$EJ$49,106,FALSE),0)</f>
        <v>0</v>
      </c>
      <c r="R38" s="65" t="str">
        <f t="shared" si="21"/>
        <v>***</v>
      </c>
      <c r="S38" s="54"/>
      <c r="T38" s="54">
        <f>+IFERROR(VLOOKUP($A38,'Goals &amp; Budget 2026'!$A$2:$EJ$49,107,FALSE),0)</f>
        <v>0</v>
      </c>
      <c r="U38" s="65" t="str">
        <f t="shared" si="22"/>
        <v>***</v>
      </c>
      <c r="V38" s="54"/>
      <c r="W38" s="54">
        <f>+IFERROR(VLOOKUP($A38,'Goals &amp; Budget 2026'!$A$2:$EJ$49,108,FALSE),0)</f>
        <v>0</v>
      </c>
      <c r="X38" s="232" t="str">
        <f t="shared" si="23"/>
        <v>***</v>
      </c>
      <c r="Y38" s="54"/>
      <c r="Z38" s="54">
        <f>+IFERROR(VLOOKUP($A38,'Goals &amp; Budget 2026'!$A$2:$EJ$49,109,FALSE),0)</f>
        <v>0</v>
      </c>
      <c r="AA38" s="65" t="str">
        <f t="shared" si="24"/>
        <v>***</v>
      </c>
      <c r="AB38" s="54"/>
      <c r="AC38" s="54">
        <f>+IFERROR(VLOOKUP($A38,'Goals &amp; Budget 2026'!$A$2:$EJ$49,110,FALSE),0)</f>
        <v>0</v>
      </c>
      <c r="AD38" s="65" t="str">
        <f t="shared" si="25"/>
        <v>***</v>
      </c>
      <c r="AE38" s="54"/>
      <c r="AF38" s="54">
        <f>+IFERROR(VLOOKUP($A38,'Goals &amp; Budget 2026'!$A$2:$EJ$49,111,FALSE),0)</f>
        <v>0</v>
      </c>
      <c r="AG38" s="232" t="str">
        <f t="shared" si="26"/>
        <v>***</v>
      </c>
      <c r="AH38" s="54"/>
      <c r="AI38" s="54">
        <f>+IFERROR(VLOOKUP($A38,'Goals &amp; Budget 2026'!$A$2:$EJ$49,112,FALSE),0)</f>
        <v>0</v>
      </c>
      <c r="AJ38" s="65" t="str">
        <f t="shared" si="27"/>
        <v>***</v>
      </c>
      <c r="AK38" s="54"/>
      <c r="AL38" s="54">
        <f>+IFERROR(VLOOKUP($A38,'Goals &amp; Budget 2026'!$A$2:$EJ$49,113,FALSE),0)</f>
        <v>0</v>
      </c>
      <c r="AM38" s="65" t="str">
        <f t="shared" si="28"/>
        <v>***</v>
      </c>
      <c r="AN38" s="54"/>
      <c r="AO38" s="54">
        <f>+IFERROR(VLOOKUP($A38,'Goals &amp; Budget 2026'!$A$2:$EJ$49,114,FALSE),0)</f>
        <v>0</v>
      </c>
      <c r="AP38" s="66" t="str">
        <f t="shared" si="29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51">
        <f t="shared" si="15"/>
        <v>0</v>
      </c>
      <c r="E39" s="54">
        <f t="shared" si="16"/>
        <v>0</v>
      </c>
      <c r="F39" s="232" t="str">
        <f t="shared" si="17"/>
        <v>***</v>
      </c>
      <c r="G39" s="54"/>
      <c r="H39" s="54">
        <f>+IFERROR(VLOOKUP($A39,'Goals &amp; Budget 2026'!$A$2:$EJ$49,103,FALSE),0)</f>
        <v>0</v>
      </c>
      <c r="I39" s="65" t="str">
        <f t="shared" si="18"/>
        <v>***</v>
      </c>
      <c r="J39" s="54"/>
      <c r="K39" s="54">
        <f>+IFERROR(VLOOKUP($A39,'Goals &amp; Budget 2026'!$A$2:$EJ$49,104,FALSE),0)</f>
        <v>0</v>
      </c>
      <c r="L39" s="65" t="str">
        <f t="shared" si="19"/>
        <v>***</v>
      </c>
      <c r="M39" s="54"/>
      <c r="N39" s="54">
        <f>+IFERROR(VLOOKUP($A39,'Goals &amp; Budget 2026'!$A$2:$EJ$49,105,FALSE),0)</f>
        <v>0</v>
      </c>
      <c r="O39" s="232" t="str">
        <f t="shared" si="20"/>
        <v>***</v>
      </c>
      <c r="P39" s="54"/>
      <c r="Q39" s="54">
        <f>+IFERROR(VLOOKUP($A39,'Goals &amp; Budget 2026'!$A$2:$EJ$49,106,FALSE),0)</f>
        <v>0</v>
      </c>
      <c r="R39" s="65" t="str">
        <f t="shared" si="21"/>
        <v>***</v>
      </c>
      <c r="S39" s="54"/>
      <c r="T39" s="54">
        <f>+IFERROR(VLOOKUP($A39,'Goals &amp; Budget 2026'!$A$2:$EJ$49,107,FALSE),0)</f>
        <v>0</v>
      </c>
      <c r="U39" s="65" t="str">
        <f t="shared" si="22"/>
        <v>***</v>
      </c>
      <c r="V39" s="54"/>
      <c r="W39" s="54">
        <f>+IFERROR(VLOOKUP($A39,'Goals &amp; Budget 2026'!$A$2:$EJ$49,108,FALSE),0)</f>
        <v>0</v>
      </c>
      <c r="X39" s="232" t="str">
        <f t="shared" si="23"/>
        <v>***</v>
      </c>
      <c r="Y39" s="54"/>
      <c r="Z39" s="54">
        <f>+IFERROR(VLOOKUP($A39,'Goals &amp; Budget 2026'!$A$2:$EJ$49,109,FALSE),0)</f>
        <v>0</v>
      </c>
      <c r="AA39" s="65" t="str">
        <f t="shared" si="24"/>
        <v>***</v>
      </c>
      <c r="AB39" s="54"/>
      <c r="AC39" s="54">
        <f>+IFERROR(VLOOKUP($A39,'Goals &amp; Budget 2026'!$A$2:$EJ$49,110,FALSE),0)</f>
        <v>0</v>
      </c>
      <c r="AD39" s="65" t="str">
        <f t="shared" si="25"/>
        <v>***</v>
      </c>
      <c r="AE39" s="54"/>
      <c r="AF39" s="54">
        <f>+IFERROR(VLOOKUP($A39,'Goals &amp; Budget 2026'!$A$2:$EJ$49,111,FALSE),0)</f>
        <v>0</v>
      </c>
      <c r="AG39" s="232" t="str">
        <f t="shared" si="26"/>
        <v>***</v>
      </c>
      <c r="AH39" s="54"/>
      <c r="AI39" s="54">
        <f>+IFERROR(VLOOKUP($A39,'Goals &amp; Budget 2026'!$A$2:$EJ$49,112,FALSE),0)</f>
        <v>0</v>
      </c>
      <c r="AJ39" s="65" t="str">
        <f t="shared" si="27"/>
        <v>***</v>
      </c>
      <c r="AK39" s="54"/>
      <c r="AL39" s="54">
        <f>+IFERROR(VLOOKUP($A39,'Goals &amp; Budget 2026'!$A$2:$EJ$49,113,FALSE),0)</f>
        <v>0</v>
      </c>
      <c r="AM39" s="65" t="str">
        <f t="shared" si="28"/>
        <v>***</v>
      </c>
      <c r="AN39" s="54"/>
      <c r="AO39" s="54">
        <f>+IFERROR(VLOOKUP($A39,'Goals &amp; Budget 2026'!$A$2:$EJ$49,114,FALSE),0)</f>
        <v>0</v>
      </c>
      <c r="AP39" s="66" t="str">
        <f t="shared" si="29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51">
        <f t="shared" si="15"/>
        <v>0</v>
      </c>
      <c r="E40" s="54">
        <f t="shared" si="16"/>
        <v>0</v>
      </c>
      <c r="F40" s="232" t="str">
        <f t="shared" si="17"/>
        <v>***</v>
      </c>
      <c r="G40" s="54"/>
      <c r="H40" s="54">
        <f>+IFERROR(VLOOKUP($A40,'Goals &amp; Budget 2026'!$A$2:$EJ$49,103,FALSE),0)</f>
        <v>0</v>
      </c>
      <c r="I40" s="65" t="str">
        <f t="shared" si="18"/>
        <v>***</v>
      </c>
      <c r="J40" s="54"/>
      <c r="K40" s="54">
        <f>+IFERROR(VLOOKUP($A40,'Goals &amp; Budget 2026'!$A$2:$EJ$49,104,FALSE),0)</f>
        <v>0</v>
      </c>
      <c r="L40" s="65" t="str">
        <f t="shared" si="19"/>
        <v>***</v>
      </c>
      <c r="M40" s="54"/>
      <c r="N40" s="54">
        <f>+IFERROR(VLOOKUP($A40,'Goals &amp; Budget 2026'!$A$2:$EJ$49,105,FALSE),0)</f>
        <v>0</v>
      </c>
      <c r="O40" s="232" t="str">
        <f t="shared" si="20"/>
        <v>***</v>
      </c>
      <c r="P40" s="54"/>
      <c r="Q40" s="54">
        <f>+IFERROR(VLOOKUP($A40,'Goals &amp; Budget 2026'!$A$2:$EJ$49,106,FALSE),0)</f>
        <v>0</v>
      </c>
      <c r="R40" s="65" t="str">
        <f t="shared" si="21"/>
        <v>***</v>
      </c>
      <c r="S40" s="54"/>
      <c r="T40" s="54">
        <f>+IFERROR(VLOOKUP($A40,'Goals &amp; Budget 2026'!$A$2:$EJ$49,107,FALSE),0)</f>
        <v>0</v>
      </c>
      <c r="U40" s="65" t="str">
        <f t="shared" si="22"/>
        <v>***</v>
      </c>
      <c r="V40" s="54"/>
      <c r="W40" s="54">
        <f>+IFERROR(VLOOKUP($A40,'Goals &amp; Budget 2026'!$A$2:$EJ$49,108,FALSE),0)</f>
        <v>0</v>
      </c>
      <c r="X40" s="232" t="str">
        <f t="shared" si="23"/>
        <v>***</v>
      </c>
      <c r="Y40" s="54"/>
      <c r="Z40" s="54">
        <f>+IFERROR(VLOOKUP($A40,'Goals &amp; Budget 2026'!$A$2:$EJ$49,109,FALSE),0)</f>
        <v>0</v>
      </c>
      <c r="AA40" s="65" t="str">
        <f t="shared" si="24"/>
        <v>***</v>
      </c>
      <c r="AB40" s="54"/>
      <c r="AC40" s="54">
        <f>+IFERROR(VLOOKUP($A40,'Goals &amp; Budget 2026'!$A$2:$EJ$49,110,FALSE),0)</f>
        <v>0</v>
      </c>
      <c r="AD40" s="65" t="str">
        <f t="shared" si="25"/>
        <v>***</v>
      </c>
      <c r="AE40" s="54"/>
      <c r="AF40" s="54">
        <f>+IFERROR(VLOOKUP($A40,'Goals &amp; Budget 2026'!$A$2:$EJ$49,111,FALSE),0)</f>
        <v>0</v>
      </c>
      <c r="AG40" s="232" t="str">
        <f t="shared" si="26"/>
        <v>***</v>
      </c>
      <c r="AH40" s="54"/>
      <c r="AI40" s="54">
        <f>+IFERROR(VLOOKUP($A40,'Goals &amp; Budget 2026'!$A$2:$EJ$49,112,FALSE),0)</f>
        <v>0</v>
      </c>
      <c r="AJ40" s="65" t="str">
        <f t="shared" si="27"/>
        <v>***</v>
      </c>
      <c r="AK40" s="54"/>
      <c r="AL40" s="54">
        <f>+IFERROR(VLOOKUP($A40,'Goals &amp; Budget 2026'!$A$2:$EJ$49,113,FALSE),0)</f>
        <v>0</v>
      </c>
      <c r="AM40" s="65" t="str">
        <f t="shared" si="28"/>
        <v>***</v>
      </c>
      <c r="AN40" s="54"/>
      <c r="AO40" s="54">
        <f>+IFERROR(VLOOKUP($A40,'Goals &amp; Budget 2026'!$A$2:$EJ$49,114,FALSE),0)</f>
        <v>0</v>
      </c>
      <c r="AP40" s="66" t="str">
        <f t="shared" si="29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1">
        <f t="shared" si="15"/>
        <v>0</v>
      </c>
      <c r="E41" s="54">
        <f t="shared" si="16"/>
        <v>0</v>
      </c>
      <c r="F41" s="232" t="str">
        <f t="shared" si="17"/>
        <v>***</v>
      </c>
      <c r="G41" s="54"/>
      <c r="H41" s="54">
        <f>+IFERROR(VLOOKUP($A41,'Goals &amp; Budget 2026'!$A$2:$EJ$49,103,FALSE),0)</f>
        <v>0</v>
      </c>
      <c r="I41" s="65" t="str">
        <f t="shared" si="18"/>
        <v>***</v>
      </c>
      <c r="J41" s="54"/>
      <c r="K41" s="54">
        <f>+IFERROR(VLOOKUP($A41,'Goals &amp; Budget 2026'!$A$2:$EJ$49,104,FALSE),0)</f>
        <v>0</v>
      </c>
      <c r="L41" s="65" t="str">
        <f t="shared" si="19"/>
        <v>***</v>
      </c>
      <c r="M41" s="54"/>
      <c r="N41" s="54">
        <f>+IFERROR(VLOOKUP($A41,'Goals &amp; Budget 2026'!$A$2:$EJ$49,105,FALSE),0)</f>
        <v>0</v>
      </c>
      <c r="O41" s="232" t="str">
        <f t="shared" si="20"/>
        <v>***</v>
      </c>
      <c r="P41" s="54"/>
      <c r="Q41" s="54">
        <f>+IFERROR(VLOOKUP($A41,'Goals &amp; Budget 2026'!$A$2:$EJ$49,106,FALSE),0)</f>
        <v>0</v>
      </c>
      <c r="R41" s="65" t="str">
        <f t="shared" si="21"/>
        <v>***</v>
      </c>
      <c r="S41" s="54"/>
      <c r="T41" s="54">
        <f>+IFERROR(VLOOKUP($A41,'Goals &amp; Budget 2026'!$A$2:$EJ$49,107,FALSE),0)</f>
        <v>0</v>
      </c>
      <c r="U41" s="65" t="str">
        <f t="shared" si="22"/>
        <v>***</v>
      </c>
      <c r="V41" s="54"/>
      <c r="W41" s="54">
        <f>+IFERROR(VLOOKUP($A41,'Goals &amp; Budget 2026'!$A$2:$EJ$49,108,FALSE),0)</f>
        <v>0</v>
      </c>
      <c r="X41" s="232" t="str">
        <f t="shared" si="23"/>
        <v>***</v>
      </c>
      <c r="Y41" s="54"/>
      <c r="Z41" s="54">
        <f>+IFERROR(VLOOKUP($A41,'Goals &amp; Budget 2026'!$A$2:$EJ$49,109,FALSE),0)</f>
        <v>0</v>
      </c>
      <c r="AA41" s="65" t="str">
        <f t="shared" si="24"/>
        <v>***</v>
      </c>
      <c r="AB41" s="54"/>
      <c r="AC41" s="54">
        <f>+IFERROR(VLOOKUP($A41,'Goals &amp; Budget 2026'!$A$2:$EJ$49,110,FALSE),0)</f>
        <v>0</v>
      </c>
      <c r="AD41" s="65" t="str">
        <f t="shared" si="25"/>
        <v>***</v>
      </c>
      <c r="AE41" s="54"/>
      <c r="AF41" s="54">
        <f>+IFERROR(VLOOKUP($A41,'Goals &amp; Budget 2026'!$A$2:$EJ$49,111,FALSE),0)</f>
        <v>0</v>
      </c>
      <c r="AG41" s="232" t="str">
        <f t="shared" si="26"/>
        <v>***</v>
      </c>
      <c r="AH41" s="54"/>
      <c r="AI41" s="54">
        <f>+IFERROR(VLOOKUP($A41,'Goals &amp; Budget 2026'!$A$2:$EJ$49,112,FALSE),0)</f>
        <v>0</v>
      </c>
      <c r="AJ41" s="65" t="str">
        <f t="shared" si="27"/>
        <v>***</v>
      </c>
      <c r="AK41" s="54"/>
      <c r="AL41" s="54">
        <f>+IFERROR(VLOOKUP($A41,'Goals &amp; Budget 2026'!$A$2:$EJ$49,113,FALSE),0)</f>
        <v>0</v>
      </c>
      <c r="AM41" s="65" t="str">
        <f t="shared" si="28"/>
        <v>***</v>
      </c>
      <c r="AN41" s="54"/>
      <c r="AO41" s="54">
        <f>+IFERROR(VLOOKUP($A41,'Goals &amp; Budget 2026'!$A$2:$EJ$49,114,FALSE),0)</f>
        <v>0</v>
      </c>
      <c r="AP41" s="66" t="str">
        <f t="shared" si="29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1">
        <f t="shared" si="15"/>
        <v>0</v>
      </c>
      <c r="E42" s="54">
        <f t="shared" si="16"/>
        <v>0</v>
      </c>
      <c r="F42" s="232" t="str">
        <f t="shared" si="17"/>
        <v>***</v>
      </c>
      <c r="G42" s="54"/>
      <c r="H42" s="54">
        <f>+IFERROR(VLOOKUP($A42,'Goals &amp; Budget 2026'!$A$2:$EJ$49,103,FALSE),0)</f>
        <v>0</v>
      </c>
      <c r="I42" s="65" t="str">
        <f t="shared" si="18"/>
        <v>***</v>
      </c>
      <c r="J42" s="54"/>
      <c r="K42" s="54">
        <f>+IFERROR(VLOOKUP($A42,'Goals &amp; Budget 2026'!$A$2:$EJ$49,104,FALSE),0)</f>
        <v>0</v>
      </c>
      <c r="L42" s="65" t="str">
        <f t="shared" si="19"/>
        <v>***</v>
      </c>
      <c r="M42" s="54"/>
      <c r="N42" s="54">
        <f>+IFERROR(VLOOKUP($A42,'Goals &amp; Budget 2026'!$A$2:$EJ$49,105,FALSE),0)</f>
        <v>0</v>
      </c>
      <c r="O42" s="232" t="str">
        <f t="shared" si="20"/>
        <v>***</v>
      </c>
      <c r="P42" s="54"/>
      <c r="Q42" s="54">
        <f>+IFERROR(VLOOKUP($A42,'Goals &amp; Budget 2026'!$A$2:$EJ$49,106,FALSE),0)</f>
        <v>0</v>
      </c>
      <c r="R42" s="65" t="str">
        <f t="shared" si="21"/>
        <v>***</v>
      </c>
      <c r="S42" s="54"/>
      <c r="T42" s="54">
        <f>+IFERROR(VLOOKUP($A42,'Goals &amp; Budget 2026'!$A$2:$EJ$49,107,FALSE),0)</f>
        <v>0</v>
      </c>
      <c r="U42" s="65" t="str">
        <f t="shared" si="22"/>
        <v>***</v>
      </c>
      <c r="V42" s="54"/>
      <c r="W42" s="54">
        <f>+IFERROR(VLOOKUP($A42,'Goals &amp; Budget 2026'!$A$2:$EJ$49,108,FALSE),0)</f>
        <v>0</v>
      </c>
      <c r="X42" s="232" t="str">
        <f t="shared" si="23"/>
        <v>***</v>
      </c>
      <c r="Y42" s="54"/>
      <c r="Z42" s="54">
        <f>+IFERROR(VLOOKUP($A42,'Goals &amp; Budget 2026'!$A$2:$EJ$49,109,FALSE),0)</f>
        <v>0</v>
      </c>
      <c r="AA42" s="65" t="str">
        <f t="shared" si="24"/>
        <v>***</v>
      </c>
      <c r="AB42" s="54"/>
      <c r="AC42" s="54">
        <f>+IFERROR(VLOOKUP($A42,'Goals &amp; Budget 2026'!$A$2:$EJ$49,110,FALSE),0)</f>
        <v>0</v>
      </c>
      <c r="AD42" s="65" t="str">
        <f t="shared" si="25"/>
        <v>***</v>
      </c>
      <c r="AE42" s="54"/>
      <c r="AF42" s="54">
        <f>+IFERROR(VLOOKUP($A42,'Goals &amp; Budget 2026'!$A$2:$EJ$49,111,FALSE),0)</f>
        <v>0</v>
      </c>
      <c r="AG42" s="232" t="str">
        <f t="shared" si="26"/>
        <v>***</v>
      </c>
      <c r="AH42" s="54"/>
      <c r="AI42" s="54">
        <f>+IFERROR(VLOOKUP($A42,'Goals &amp; Budget 2026'!$A$2:$EJ$49,112,FALSE),0)</f>
        <v>0</v>
      </c>
      <c r="AJ42" s="65" t="str">
        <f t="shared" si="27"/>
        <v>***</v>
      </c>
      <c r="AK42" s="54"/>
      <c r="AL42" s="54">
        <f>+IFERROR(VLOOKUP($A42,'Goals &amp; Budget 2026'!$A$2:$EJ$49,113,FALSE),0)</f>
        <v>0</v>
      </c>
      <c r="AM42" s="65" t="str">
        <f t="shared" si="28"/>
        <v>***</v>
      </c>
      <c r="AN42" s="54"/>
      <c r="AO42" s="54">
        <f>+IFERROR(VLOOKUP($A42,'Goals &amp; Budget 2026'!$A$2:$EJ$49,114,FALSE),0)</f>
        <v>0</v>
      </c>
      <c r="AP42" s="66" t="str">
        <f t="shared" si="29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51">
        <f t="shared" si="15"/>
        <v>0</v>
      </c>
      <c r="E43" s="54">
        <f t="shared" si="16"/>
        <v>0</v>
      </c>
      <c r="F43" s="232" t="str">
        <f t="shared" si="17"/>
        <v>***</v>
      </c>
      <c r="G43" s="54"/>
      <c r="H43" s="54">
        <f>+IFERROR(VLOOKUP($A43,'Goals &amp; Budget 2026'!$A$2:$EJ$49,103,FALSE),0)</f>
        <v>0</v>
      </c>
      <c r="I43" s="65" t="str">
        <f t="shared" si="18"/>
        <v>***</v>
      </c>
      <c r="J43" s="54"/>
      <c r="K43" s="54">
        <f>+IFERROR(VLOOKUP($A43,'Goals &amp; Budget 2026'!$A$2:$EJ$49,104,FALSE),0)</f>
        <v>0</v>
      </c>
      <c r="L43" s="65" t="str">
        <f t="shared" si="19"/>
        <v>***</v>
      </c>
      <c r="M43" s="54"/>
      <c r="N43" s="54">
        <f>+IFERROR(VLOOKUP($A43,'Goals &amp; Budget 2026'!$A$2:$EJ$49,105,FALSE),0)</f>
        <v>0</v>
      </c>
      <c r="O43" s="232" t="str">
        <f t="shared" si="20"/>
        <v>***</v>
      </c>
      <c r="P43" s="54"/>
      <c r="Q43" s="54">
        <f>+IFERROR(VLOOKUP($A43,'Goals &amp; Budget 2026'!$A$2:$EJ$49,106,FALSE),0)</f>
        <v>0</v>
      </c>
      <c r="R43" s="65" t="str">
        <f t="shared" si="21"/>
        <v>***</v>
      </c>
      <c r="S43" s="54"/>
      <c r="T43" s="54">
        <f>+IFERROR(VLOOKUP($A43,'Goals &amp; Budget 2026'!$A$2:$EJ$49,107,FALSE),0)</f>
        <v>0</v>
      </c>
      <c r="U43" s="65" t="str">
        <f t="shared" si="22"/>
        <v>***</v>
      </c>
      <c r="V43" s="54"/>
      <c r="W43" s="54">
        <f>+IFERROR(VLOOKUP($A43,'Goals &amp; Budget 2026'!$A$2:$EJ$49,108,FALSE),0)</f>
        <v>0</v>
      </c>
      <c r="X43" s="232" t="str">
        <f t="shared" si="23"/>
        <v>***</v>
      </c>
      <c r="Y43" s="54"/>
      <c r="Z43" s="54">
        <f>+IFERROR(VLOOKUP($A43,'Goals &amp; Budget 2026'!$A$2:$EJ$49,109,FALSE),0)</f>
        <v>0</v>
      </c>
      <c r="AA43" s="65" t="str">
        <f t="shared" si="24"/>
        <v>***</v>
      </c>
      <c r="AB43" s="54"/>
      <c r="AC43" s="54">
        <f>+IFERROR(VLOOKUP($A43,'Goals &amp; Budget 2026'!$A$2:$EJ$49,110,FALSE),0)</f>
        <v>0</v>
      </c>
      <c r="AD43" s="65" t="str">
        <f t="shared" si="25"/>
        <v>***</v>
      </c>
      <c r="AE43" s="54"/>
      <c r="AF43" s="54">
        <f>+IFERROR(VLOOKUP($A43,'Goals &amp; Budget 2026'!$A$2:$EJ$49,111,FALSE),0)</f>
        <v>0</v>
      </c>
      <c r="AG43" s="232" t="str">
        <f t="shared" si="26"/>
        <v>***</v>
      </c>
      <c r="AH43" s="54"/>
      <c r="AI43" s="54">
        <f>+IFERROR(VLOOKUP($A43,'Goals &amp; Budget 2026'!$A$2:$EJ$49,112,FALSE),0)</f>
        <v>0</v>
      </c>
      <c r="AJ43" s="65" t="str">
        <f t="shared" si="27"/>
        <v>***</v>
      </c>
      <c r="AK43" s="54"/>
      <c r="AL43" s="54">
        <f>+IFERROR(VLOOKUP($A43,'Goals &amp; Budget 2026'!$A$2:$EJ$49,113,FALSE),0)</f>
        <v>0</v>
      </c>
      <c r="AM43" s="65" t="str">
        <f t="shared" si="28"/>
        <v>***</v>
      </c>
      <c r="AN43" s="54"/>
      <c r="AO43" s="54">
        <f>+IFERROR(VLOOKUP($A43,'Goals &amp; Budget 2026'!$A$2:$EJ$49,114,FALSE),0)</f>
        <v>0</v>
      </c>
      <c r="AP43" s="66" t="str">
        <f t="shared" si="29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15"/>
        <v>0</v>
      </c>
      <c r="E44" s="54">
        <f t="shared" si="16"/>
        <v>0</v>
      </c>
      <c r="F44" s="232" t="str">
        <f t="shared" si="17"/>
        <v>***</v>
      </c>
      <c r="G44" s="54"/>
      <c r="H44" s="54">
        <f>+IFERROR(VLOOKUP($A44,'Goals &amp; Budget 2026'!$A$2:$EJ$49,103,FALSE),0)</f>
        <v>0</v>
      </c>
      <c r="I44" s="65" t="str">
        <f t="shared" si="18"/>
        <v>***</v>
      </c>
      <c r="J44" s="54"/>
      <c r="K44" s="54">
        <f>+IFERROR(VLOOKUP($A44,'Goals &amp; Budget 2026'!$A$2:$EJ$49,104,FALSE),0)</f>
        <v>0</v>
      </c>
      <c r="L44" s="65" t="str">
        <f t="shared" si="19"/>
        <v>***</v>
      </c>
      <c r="M44" s="54"/>
      <c r="N44" s="54">
        <f>+IFERROR(VLOOKUP($A44,'Goals &amp; Budget 2026'!$A$2:$EJ$49,105,FALSE),0)</f>
        <v>0</v>
      </c>
      <c r="O44" s="232" t="str">
        <f t="shared" si="20"/>
        <v>***</v>
      </c>
      <c r="P44" s="54"/>
      <c r="Q44" s="54">
        <f>+IFERROR(VLOOKUP($A44,'Goals &amp; Budget 2026'!$A$2:$EJ$49,106,FALSE),0)</f>
        <v>0</v>
      </c>
      <c r="R44" s="65" t="str">
        <f t="shared" si="21"/>
        <v>***</v>
      </c>
      <c r="S44" s="54"/>
      <c r="T44" s="54">
        <f>+IFERROR(VLOOKUP($A44,'Goals &amp; Budget 2026'!$A$2:$EJ$49,107,FALSE),0)</f>
        <v>0</v>
      </c>
      <c r="U44" s="65" t="str">
        <f t="shared" si="22"/>
        <v>***</v>
      </c>
      <c r="V44" s="54"/>
      <c r="W44" s="54">
        <f>+IFERROR(VLOOKUP($A44,'Goals &amp; Budget 2026'!$A$2:$EJ$49,108,FALSE),0)</f>
        <v>0</v>
      </c>
      <c r="X44" s="232" t="str">
        <f t="shared" si="23"/>
        <v>***</v>
      </c>
      <c r="Y44" s="54"/>
      <c r="Z44" s="54">
        <f>+IFERROR(VLOOKUP($A44,'Goals &amp; Budget 2026'!$A$2:$EJ$49,109,FALSE),0)</f>
        <v>0</v>
      </c>
      <c r="AA44" s="65" t="str">
        <f t="shared" si="24"/>
        <v>***</v>
      </c>
      <c r="AB44" s="54"/>
      <c r="AC44" s="54">
        <f>+IFERROR(VLOOKUP($A44,'Goals &amp; Budget 2026'!$A$2:$EJ$49,110,FALSE),0)</f>
        <v>0</v>
      </c>
      <c r="AD44" s="65" t="str">
        <f t="shared" si="25"/>
        <v>***</v>
      </c>
      <c r="AE44" s="54"/>
      <c r="AF44" s="54">
        <f>+IFERROR(VLOOKUP($A44,'Goals &amp; Budget 2026'!$A$2:$EJ$49,111,FALSE),0)</f>
        <v>0</v>
      </c>
      <c r="AG44" s="232" t="str">
        <f t="shared" si="26"/>
        <v>***</v>
      </c>
      <c r="AH44" s="54"/>
      <c r="AI44" s="54">
        <f>+IFERROR(VLOOKUP($A44,'Goals &amp; Budget 2026'!$A$2:$EJ$49,112,FALSE),0)</f>
        <v>0</v>
      </c>
      <c r="AJ44" s="65" t="str">
        <f t="shared" si="27"/>
        <v>***</v>
      </c>
      <c r="AK44" s="54"/>
      <c r="AL44" s="54">
        <f>+IFERROR(VLOOKUP($A44,'Goals &amp; Budget 2026'!$A$2:$EJ$49,113,FALSE),0)</f>
        <v>0</v>
      </c>
      <c r="AM44" s="65" t="str">
        <f t="shared" si="28"/>
        <v>***</v>
      </c>
      <c r="AN44" s="54"/>
      <c r="AO44" s="54">
        <f>+IFERROR(VLOOKUP($A44,'Goals &amp; Budget 2026'!$A$2:$EJ$49,114,FALSE),0)</f>
        <v>0</v>
      </c>
      <c r="AP44" s="66" t="str">
        <f t="shared" si="29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15"/>
        <v>0</v>
      </c>
      <c r="E45" s="54">
        <f t="shared" si="16"/>
        <v>0</v>
      </c>
      <c r="F45" s="232" t="str">
        <f t="shared" si="17"/>
        <v>***</v>
      </c>
      <c r="G45" s="54"/>
      <c r="H45" s="54">
        <f>+IFERROR(VLOOKUP($A45,'Goals &amp; Budget 2026'!$A$2:$EJ$49,103,FALSE),0)</f>
        <v>0</v>
      </c>
      <c r="I45" s="65" t="str">
        <f t="shared" si="18"/>
        <v>***</v>
      </c>
      <c r="J45" s="54"/>
      <c r="K45" s="54">
        <f>+IFERROR(VLOOKUP($A45,'Goals &amp; Budget 2026'!$A$2:$EJ$49,104,FALSE),0)</f>
        <v>0</v>
      </c>
      <c r="L45" s="65" t="str">
        <f t="shared" si="19"/>
        <v>***</v>
      </c>
      <c r="M45" s="54"/>
      <c r="N45" s="54">
        <f>+IFERROR(VLOOKUP($A45,'Goals &amp; Budget 2026'!$A$2:$EJ$49,105,FALSE),0)</f>
        <v>0</v>
      </c>
      <c r="O45" s="232" t="str">
        <f t="shared" si="20"/>
        <v>***</v>
      </c>
      <c r="P45" s="54"/>
      <c r="Q45" s="54">
        <f>+IFERROR(VLOOKUP($A45,'Goals &amp; Budget 2026'!$A$2:$EJ$49,106,FALSE),0)</f>
        <v>0</v>
      </c>
      <c r="R45" s="65" t="str">
        <f t="shared" si="21"/>
        <v>***</v>
      </c>
      <c r="S45" s="54"/>
      <c r="T45" s="54">
        <f>+IFERROR(VLOOKUP($A45,'Goals &amp; Budget 2026'!$A$2:$EJ$49,107,FALSE),0)</f>
        <v>0</v>
      </c>
      <c r="U45" s="65" t="str">
        <f t="shared" si="22"/>
        <v>***</v>
      </c>
      <c r="V45" s="54"/>
      <c r="W45" s="54">
        <f>+IFERROR(VLOOKUP($A45,'Goals &amp; Budget 2026'!$A$2:$EJ$49,108,FALSE),0)</f>
        <v>0</v>
      </c>
      <c r="X45" s="232" t="str">
        <f t="shared" si="23"/>
        <v>***</v>
      </c>
      <c r="Y45" s="54"/>
      <c r="Z45" s="54">
        <f>+IFERROR(VLOOKUP($A45,'Goals &amp; Budget 2026'!$A$2:$EJ$49,109,FALSE),0)</f>
        <v>0</v>
      </c>
      <c r="AA45" s="65" t="str">
        <f t="shared" si="24"/>
        <v>***</v>
      </c>
      <c r="AB45" s="54"/>
      <c r="AC45" s="54">
        <f>+IFERROR(VLOOKUP($A45,'Goals &amp; Budget 2026'!$A$2:$EJ$49,110,FALSE),0)</f>
        <v>0</v>
      </c>
      <c r="AD45" s="65" t="str">
        <f t="shared" si="25"/>
        <v>***</v>
      </c>
      <c r="AE45" s="54"/>
      <c r="AF45" s="54">
        <f>+IFERROR(VLOOKUP($A45,'Goals &amp; Budget 2026'!$A$2:$EJ$49,111,FALSE),0)</f>
        <v>0</v>
      </c>
      <c r="AG45" s="232" t="str">
        <f t="shared" si="26"/>
        <v>***</v>
      </c>
      <c r="AH45" s="54"/>
      <c r="AI45" s="54">
        <f>+IFERROR(VLOOKUP($A45,'Goals &amp; Budget 2026'!$A$2:$EJ$49,112,FALSE),0)</f>
        <v>0</v>
      </c>
      <c r="AJ45" s="65" t="str">
        <f t="shared" si="27"/>
        <v>***</v>
      </c>
      <c r="AK45" s="54"/>
      <c r="AL45" s="54">
        <f>+IFERROR(VLOOKUP($A45,'Goals &amp; Budget 2026'!$A$2:$EJ$49,113,FALSE),0)</f>
        <v>46</v>
      </c>
      <c r="AM45" s="65">
        <f t="shared" si="28"/>
        <v>0</v>
      </c>
      <c r="AN45" s="54"/>
      <c r="AO45" s="54">
        <f>+IFERROR(VLOOKUP($A45,'Goals &amp; Budget 2026'!$A$2:$EJ$49,114,FALSE),0)</f>
        <v>0</v>
      </c>
      <c r="AP45" s="66" t="str">
        <f t="shared" si="29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1">
        <f t="shared" si="15"/>
        <v>0</v>
      </c>
      <c r="E46" s="54">
        <f t="shared" si="16"/>
        <v>0</v>
      </c>
      <c r="F46" s="232" t="str">
        <f t="shared" si="17"/>
        <v>***</v>
      </c>
      <c r="G46" s="54"/>
      <c r="H46" s="54">
        <f>+IFERROR(VLOOKUP($A46,'Goals &amp; Budget 2026'!$A$2:$EJ$49,103,FALSE),0)</f>
        <v>0</v>
      </c>
      <c r="I46" s="65" t="str">
        <f t="shared" si="18"/>
        <v>***</v>
      </c>
      <c r="J46" s="54"/>
      <c r="K46" s="54">
        <f>+IFERROR(VLOOKUP($A46,'Goals &amp; Budget 2026'!$A$2:$EJ$49,104,FALSE),0)</f>
        <v>0</v>
      </c>
      <c r="L46" s="65" t="str">
        <f t="shared" si="19"/>
        <v>***</v>
      </c>
      <c r="M46" s="54"/>
      <c r="N46" s="54">
        <f>+IFERROR(VLOOKUP($A46,'Goals &amp; Budget 2026'!$A$2:$EJ$49,105,FALSE),0)</f>
        <v>0</v>
      </c>
      <c r="O46" s="232" t="str">
        <f t="shared" si="20"/>
        <v>***</v>
      </c>
      <c r="P46" s="54"/>
      <c r="Q46" s="54">
        <f>+IFERROR(VLOOKUP($A46,'Goals &amp; Budget 2026'!$A$2:$EJ$49,106,FALSE),0)</f>
        <v>0</v>
      </c>
      <c r="R46" s="65" t="str">
        <f t="shared" si="21"/>
        <v>***</v>
      </c>
      <c r="S46" s="54"/>
      <c r="T46" s="54">
        <f>+IFERROR(VLOOKUP($A46,'Goals &amp; Budget 2026'!$A$2:$EJ$49,107,FALSE),0)</f>
        <v>0</v>
      </c>
      <c r="U46" s="65" t="str">
        <f t="shared" si="22"/>
        <v>***</v>
      </c>
      <c r="V46" s="54"/>
      <c r="W46" s="54">
        <f>+IFERROR(VLOOKUP($A46,'Goals &amp; Budget 2026'!$A$2:$EJ$49,108,FALSE),0)</f>
        <v>0</v>
      </c>
      <c r="X46" s="232" t="str">
        <f t="shared" si="23"/>
        <v>***</v>
      </c>
      <c r="Y46" s="54"/>
      <c r="Z46" s="54">
        <f>+IFERROR(VLOOKUP($A46,'Goals &amp; Budget 2026'!$A$2:$EJ$49,109,FALSE),0)</f>
        <v>0</v>
      </c>
      <c r="AA46" s="65" t="str">
        <f t="shared" si="24"/>
        <v>***</v>
      </c>
      <c r="AB46" s="54"/>
      <c r="AC46" s="54">
        <f>+IFERROR(VLOOKUP($A46,'Goals &amp; Budget 2026'!$A$2:$EJ$49,110,FALSE),0)</f>
        <v>0</v>
      </c>
      <c r="AD46" s="65" t="str">
        <f t="shared" si="25"/>
        <v>***</v>
      </c>
      <c r="AE46" s="54"/>
      <c r="AF46" s="54">
        <f>+IFERROR(VLOOKUP($A46,'Goals &amp; Budget 2026'!$A$2:$EJ$49,111,FALSE),0)</f>
        <v>0</v>
      </c>
      <c r="AG46" s="232" t="str">
        <f t="shared" si="26"/>
        <v>***</v>
      </c>
      <c r="AH46" s="54"/>
      <c r="AI46" s="54">
        <f>+IFERROR(VLOOKUP($A46,'Goals &amp; Budget 2026'!$A$2:$EJ$49,112,FALSE),0)</f>
        <v>0</v>
      </c>
      <c r="AJ46" s="65" t="str">
        <f t="shared" si="27"/>
        <v>***</v>
      </c>
      <c r="AK46" s="54"/>
      <c r="AL46" s="54">
        <f>+IFERROR(VLOOKUP($A46,'Goals &amp; Budget 2026'!$A$2:$EJ$49,113,FALSE),0)</f>
        <v>0</v>
      </c>
      <c r="AM46" s="65" t="str">
        <f t="shared" si="28"/>
        <v>***</v>
      </c>
      <c r="AN46" s="54"/>
      <c r="AO46" s="54">
        <f>+IFERROR(VLOOKUP($A46,'Goals &amp; Budget 2026'!$A$2:$EJ$49,114,FALSE),0)</f>
        <v>0</v>
      </c>
      <c r="AP46" s="66" t="str">
        <f t="shared" si="29"/>
        <v>***</v>
      </c>
    </row>
    <row r="47" spans="1:42" ht="20.100000000000001" customHeight="1" thickBot="1" x14ac:dyDescent="0.3">
      <c r="A47" s="51" t="s">
        <v>106</v>
      </c>
      <c r="B47" s="52">
        <v>1</v>
      </c>
      <c r="C47" s="53">
        <v>378</v>
      </c>
      <c r="D47" s="51">
        <f t="shared" si="15"/>
        <v>0</v>
      </c>
      <c r="E47" s="54">
        <f t="shared" si="16"/>
        <v>0</v>
      </c>
      <c r="F47" s="232" t="str">
        <f t="shared" si="17"/>
        <v>***</v>
      </c>
      <c r="G47" s="54"/>
      <c r="H47" s="54">
        <f>+IFERROR(VLOOKUP($A47,'Goals &amp; Budget 2026'!$A$2:$EJ$49,103,FALSE),0)</f>
        <v>0</v>
      </c>
      <c r="I47" s="65" t="str">
        <f t="shared" si="18"/>
        <v>***</v>
      </c>
      <c r="J47" s="54"/>
      <c r="K47" s="54">
        <f>+IFERROR(VLOOKUP($A47,'Goals &amp; Budget 2026'!$A$2:$EJ$49,104,FALSE),0)</f>
        <v>0</v>
      </c>
      <c r="L47" s="65" t="str">
        <f t="shared" si="19"/>
        <v>***</v>
      </c>
      <c r="M47" s="54"/>
      <c r="N47" s="54">
        <f>+IFERROR(VLOOKUP($A47,'Goals &amp; Budget 2026'!$A$2:$EJ$49,105,FALSE),0)</f>
        <v>0</v>
      </c>
      <c r="O47" s="232" t="str">
        <f t="shared" si="20"/>
        <v>***</v>
      </c>
      <c r="P47" s="54"/>
      <c r="Q47" s="54">
        <f>+IFERROR(VLOOKUP($A47,'Goals &amp; Budget 2026'!$A$2:$EJ$49,106,FALSE),0)</f>
        <v>0</v>
      </c>
      <c r="R47" s="65" t="str">
        <f t="shared" si="21"/>
        <v>***</v>
      </c>
      <c r="S47" s="54"/>
      <c r="T47" s="54">
        <f>+IFERROR(VLOOKUP($A47,'Goals &amp; Budget 2026'!$A$2:$EJ$49,107,FALSE),0)</f>
        <v>0</v>
      </c>
      <c r="U47" s="65" t="str">
        <f t="shared" si="22"/>
        <v>***</v>
      </c>
      <c r="V47" s="54"/>
      <c r="W47" s="54">
        <f>+IFERROR(VLOOKUP($A47,'Goals &amp; Budget 2026'!$A$2:$EJ$49,108,FALSE),0)</f>
        <v>0</v>
      </c>
      <c r="X47" s="232" t="str">
        <f t="shared" si="23"/>
        <v>***</v>
      </c>
      <c r="Y47" s="54"/>
      <c r="Z47" s="54">
        <f>+IFERROR(VLOOKUP($A47,'Goals &amp; Budget 2026'!$A$2:$EJ$49,109,FALSE),0)</f>
        <v>0</v>
      </c>
      <c r="AA47" s="65" t="str">
        <f t="shared" si="24"/>
        <v>***</v>
      </c>
      <c r="AB47" s="54"/>
      <c r="AC47" s="54">
        <f>+IFERROR(VLOOKUP($A47,'Goals &amp; Budget 2026'!$A$2:$EJ$49,110,FALSE),0)</f>
        <v>0</v>
      </c>
      <c r="AD47" s="65" t="str">
        <f t="shared" si="25"/>
        <v>***</v>
      </c>
      <c r="AE47" s="54"/>
      <c r="AF47" s="54">
        <f>+IFERROR(VLOOKUP($A47,'Goals &amp; Budget 2026'!$A$2:$EJ$49,111,FALSE),0)</f>
        <v>0</v>
      </c>
      <c r="AG47" s="232" t="str">
        <f t="shared" si="26"/>
        <v>***</v>
      </c>
      <c r="AH47" s="54"/>
      <c r="AI47" s="54">
        <f>+IFERROR(VLOOKUP($A47,'Goals &amp; Budget 2026'!$A$2:$EJ$49,112,FALSE),0)</f>
        <v>0</v>
      </c>
      <c r="AJ47" s="65" t="str">
        <f t="shared" si="27"/>
        <v>***</v>
      </c>
      <c r="AK47" s="54"/>
      <c r="AL47" s="54">
        <f>+IFERROR(VLOOKUP($A47,'Goals &amp; Budget 2026'!$A$2:$EJ$49,113,FALSE),0)</f>
        <v>0</v>
      </c>
      <c r="AM47" s="65" t="str">
        <f t="shared" si="28"/>
        <v>***</v>
      </c>
      <c r="AN47" s="54"/>
      <c r="AO47" s="54">
        <f>+IFERROR(VLOOKUP($A47,'Goals &amp; Budget 2026'!$A$2:$EJ$49,114,FALSE),0)</f>
        <v>0</v>
      </c>
      <c r="AP47" s="66" t="str">
        <f t="shared" si="29"/>
        <v>***</v>
      </c>
    </row>
    <row r="48" spans="1:42" ht="20.100000000000001" customHeight="1" x14ac:dyDescent="0.25">
      <c r="A48" s="172" t="s">
        <v>12</v>
      </c>
      <c r="B48" s="173"/>
      <c r="C48" s="236"/>
      <c r="D48" s="125">
        <f>+SUM(D3:D47)</f>
        <v>0</v>
      </c>
      <c r="E48" s="126">
        <f>+SUM(E3:E47)</f>
        <v>58</v>
      </c>
      <c r="F48" s="237">
        <f t="shared" ref="F48" si="30">IF(AND(D48&gt;0,E48&gt;0),D48/E48,IF(AND(D48&gt;0,E48=0),100%,IF(AND(D48=0,E48&gt;0),0,IF(AND(D48=0,E48=0),"***",0))))</f>
        <v>0</v>
      </c>
      <c r="G48" s="126">
        <f>+SUM(G3:G47)</f>
        <v>0</v>
      </c>
      <c r="H48" s="126">
        <f>+SUM(H3:H47)</f>
        <v>58</v>
      </c>
      <c r="I48" s="238">
        <f t="shared" ref="I48:I49" si="31">IF(AND(G48&gt;0,H48&gt;0),G48/H48,IF(AND(G48&gt;0,H48=0),100%,IF(AND(G48=0,H48&gt;0),0,IF(AND(G48=0,H48=0),"***",0))))</f>
        <v>0</v>
      </c>
      <c r="J48" s="126">
        <f>+SUM(J3:J47)</f>
        <v>0</v>
      </c>
      <c r="K48" s="126">
        <f>+SUM(K3:K47)</f>
        <v>24</v>
      </c>
      <c r="L48" s="238">
        <f t="shared" ref="L48:L49" si="32">IF(AND(J48&gt;0,K48&gt;0),J48/K48,IF(AND(J48&gt;0,K48=0),100%,IF(AND(J48=0,K48&gt;0),0,IF(AND(J48=0,K48=0),"***",0))))</f>
        <v>0</v>
      </c>
      <c r="M48" s="126">
        <f>+SUM(M3:M47)</f>
        <v>0</v>
      </c>
      <c r="N48" s="126">
        <f>+SUM(N3:N47)</f>
        <v>0</v>
      </c>
      <c r="O48" s="237" t="str">
        <f t="shared" ref="O48:O49" si="33">IF(AND(M48&gt;0,N48&gt;0),M48/N48,IF(AND(M48&gt;0,N48=0),100%,IF(AND(M48=0,N48&gt;0),0,IF(AND(M48=0,N48=0),"***",0))))</f>
        <v>***</v>
      </c>
      <c r="P48" s="126">
        <f>+SUM(P3:P47)</f>
        <v>0</v>
      </c>
      <c r="Q48" s="126">
        <f>+SUM(Q3:Q47)</f>
        <v>0</v>
      </c>
      <c r="R48" s="238" t="str">
        <f t="shared" ref="R48:R49" si="34">IF(AND(P48&gt;0,Q48&gt;0),P48/Q48,IF(AND(P48&gt;0,Q48=0),100%,IF(AND(P48=0,Q48&gt;0),0,IF(AND(P48=0,Q48=0),"***",0))))</f>
        <v>***</v>
      </c>
      <c r="S48" s="126">
        <f>+SUM(S3:S47)</f>
        <v>0</v>
      </c>
      <c r="T48" s="126">
        <f>+SUM(T3:T47)</f>
        <v>0</v>
      </c>
      <c r="U48" s="238" t="str">
        <f t="shared" ref="U48:U49" si="35">IF(AND(S48&gt;0,T48&gt;0),S48/T48,IF(AND(S48&gt;0,T48=0),100%,IF(AND(S48=0,T48&gt;0),0,IF(AND(S48=0,T48=0),"***",0))))</f>
        <v>***</v>
      </c>
      <c r="V48" s="126">
        <f>+SUM(V3:V47)</f>
        <v>0</v>
      </c>
      <c r="W48" s="126">
        <f>+SUM(W3:W47)</f>
        <v>99</v>
      </c>
      <c r="X48" s="237">
        <f t="shared" ref="X48:X49" si="36">IF(AND(V48&gt;0,W48&gt;0),V48/W48,IF(AND(V48&gt;0,W48=0),100%,IF(AND(V48=0,W48&gt;0),0,IF(AND(V48=0,W48=0),"***",0))))</f>
        <v>0</v>
      </c>
      <c r="Y48" s="126">
        <f>+SUM(Y3:Y47)</f>
        <v>0</v>
      </c>
      <c r="Z48" s="126">
        <f>+SUM(Z3:Z47)</f>
        <v>0</v>
      </c>
      <c r="AA48" s="238" t="str">
        <f t="shared" ref="AA48:AA49" si="37">IF(AND(Y48&gt;0,Z48&gt;0),Y48/Z48,IF(AND(Y48&gt;0,Z48=0),100%,IF(AND(Y48=0,Z48&gt;0),0,IF(AND(Y48=0,Z48=0),"***",0))))</f>
        <v>***</v>
      </c>
      <c r="AB48" s="126">
        <f>+SUM(AB3:AB47)</f>
        <v>0</v>
      </c>
      <c r="AC48" s="126">
        <f>+SUM(AC3:AC47)</f>
        <v>28</v>
      </c>
      <c r="AD48" s="238">
        <f t="shared" ref="AD48:AD49" si="38">IF(AND(AB48&gt;0,AC48&gt;0),AB48/AC48,IF(AND(AB48&gt;0,AC48=0),100%,IF(AND(AB48=0,AC48&gt;0),0,IF(AND(AB48=0,AC48=0),"***",0))))</f>
        <v>0</v>
      </c>
      <c r="AE48" s="126">
        <f>+SUM(AE3:AE47)</f>
        <v>0</v>
      </c>
      <c r="AF48" s="126">
        <f>+SUM(AF3:AF47)</f>
        <v>28</v>
      </c>
      <c r="AG48" s="237">
        <f t="shared" ref="AG48:AG49" si="39">IF(AND(AE48&gt;0,AF48&gt;0),AE48/AF48,IF(AND(AE48&gt;0,AF48=0),100%,IF(AND(AE48=0,AF48&gt;0),0,IF(AND(AE48=0,AF48=0),"***",0))))</f>
        <v>0</v>
      </c>
      <c r="AH48" s="126">
        <f>+SUM(AH3:AH47)</f>
        <v>0</v>
      </c>
      <c r="AI48" s="126">
        <f>+SUM(AI3:AI47)</f>
        <v>88</v>
      </c>
      <c r="AJ48" s="238">
        <f t="shared" ref="AJ48:AJ49" si="40">IF(AND(AH48&gt;0,AI48&gt;0),AH48/AI48,IF(AND(AH48&gt;0,AI48=0),100%,IF(AND(AH48=0,AI48&gt;0),0,IF(AND(AH48=0,AI48=0),"***",0))))</f>
        <v>0</v>
      </c>
      <c r="AK48" s="126">
        <f>+SUM(AK3:AK47)</f>
        <v>0</v>
      </c>
      <c r="AL48" s="126">
        <f>+SUM(AL3:AL47)</f>
        <v>46</v>
      </c>
      <c r="AM48" s="238">
        <f t="shared" ref="AM48:AM49" si="41">IF(AND(AK48&gt;0,AL48&gt;0),AK48/AL48,IF(AND(AK48&gt;0,AL48=0),100%,IF(AND(AK48=0,AL48&gt;0),0,IF(AND(AK48=0,AL48=0),"***",0))))</f>
        <v>0</v>
      </c>
      <c r="AN48" s="126">
        <f>+SUM(AN3:AN47)</f>
        <v>0</v>
      </c>
      <c r="AO48" s="126">
        <f>+SUM(AO3:AO47)</f>
        <v>0</v>
      </c>
      <c r="AP48" s="239" t="str">
        <f t="shared" ref="AP48:AP49" si="42">IF(AND(AN48&gt;0,AO48&gt;0),AN48/AO48,IF(AND(AN48&gt;0,AO48=0),100%,IF(AND(AN48=0,AO48&gt;0),0,IF(AND(AN48=0,AO48=0),"***",0))))</f>
        <v>***</v>
      </c>
    </row>
    <row r="49" spans="1:42" ht="20.100000000000001" customHeight="1" thickBot="1" x14ac:dyDescent="0.3">
      <c r="A49" s="240" t="s">
        <v>23</v>
      </c>
      <c r="B49" s="241"/>
      <c r="C49" s="242"/>
      <c r="D49" s="139">
        <f>+SUMPRODUCT(D3:D47,$B$3:$B$47)</f>
        <v>0</v>
      </c>
      <c r="E49" s="140">
        <f>+SUMPRODUCT(E3:E47,$B$3:$B$47)</f>
        <v>58</v>
      </c>
      <c r="F49" s="243">
        <f>IF(AND(D49&gt;0,E49&gt;0),D49/E49,IF(AND(D49&gt;0,E49=0),100%,IF(AND(D49=0,E49&gt;0),0,IF(AND(D49=0,E49=0),"***",0))))</f>
        <v>0</v>
      </c>
      <c r="G49" s="140">
        <f>+SUMPRODUCT(G3:G47,$B$3:$B$47)</f>
        <v>0</v>
      </c>
      <c r="H49" s="140">
        <f>+SUMPRODUCT(H3:H47,$B$3:$B$47)</f>
        <v>58</v>
      </c>
      <c r="I49" s="244">
        <f t="shared" si="31"/>
        <v>0</v>
      </c>
      <c r="J49" s="140">
        <f>+SUMPRODUCT(J3:J47,$B$3:$B$47)</f>
        <v>0</v>
      </c>
      <c r="K49" s="140">
        <f>+SUMPRODUCT(K3:K47,$B$3:$B$47)</f>
        <v>24</v>
      </c>
      <c r="L49" s="244">
        <f t="shared" si="32"/>
        <v>0</v>
      </c>
      <c r="M49" s="140">
        <f>+SUMPRODUCT(M3:M47,$B$3:$B$47)</f>
        <v>0</v>
      </c>
      <c r="N49" s="140">
        <f>+SUMPRODUCT(N3:N47,$B$3:$B$47)</f>
        <v>0</v>
      </c>
      <c r="O49" s="243" t="str">
        <f t="shared" si="33"/>
        <v>***</v>
      </c>
      <c r="P49" s="140">
        <f>+SUMPRODUCT(P3:P47,$B$3:$B$47)</f>
        <v>0</v>
      </c>
      <c r="Q49" s="140">
        <f>+SUMPRODUCT(Q3:Q47,$B$3:$B$47)</f>
        <v>0</v>
      </c>
      <c r="R49" s="244" t="str">
        <f t="shared" si="34"/>
        <v>***</v>
      </c>
      <c r="S49" s="140">
        <f>+SUMPRODUCT(S3:S47,$B$3:$B$47)</f>
        <v>0</v>
      </c>
      <c r="T49" s="140">
        <f>+SUMPRODUCT(T3:T47,$B$3:$B$47)</f>
        <v>0</v>
      </c>
      <c r="U49" s="244" t="str">
        <f t="shared" si="35"/>
        <v>***</v>
      </c>
      <c r="V49" s="140">
        <f>+SUMPRODUCT(V3:V47,$B$3:$B$47)</f>
        <v>0</v>
      </c>
      <c r="W49" s="140">
        <f>+SUMPRODUCT(W3:W47,$B$3:$B$47)</f>
        <v>99</v>
      </c>
      <c r="X49" s="243">
        <f t="shared" si="36"/>
        <v>0</v>
      </c>
      <c r="Y49" s="140">
        <f>+SUMPRODUCT(Y3:Y47,$B$3:$B$47)</f>
        <v>0</v>
      </c>
      <c r="Z49" s="140">
        <f>+SUMPRODUCT(Z3:Z47,$B$3:$B$47)</f>
        <v>0</v>
      </c>
      <c r="AA49" s="244" t="str">
        <f t="shared" si="37"/>
        <v>***</v>
      </c>
      <c r="AB49" s="140">
        <f>+SUMPRODUCT(AB3:AB47,$B$3:$B$47)</f>
        <v>0</v>
      </c>
      <c r="AC49" s="140">
        <f>+SUMPRODUCT(AC3:AC47,$B$3:$B$47)</f>
        <v>28</v>
      </c>
      <c r="AD49" s="244">
        <f t="shared" si="38"/>
        <v>0</v>
      </c>
      <c r="AE49" s="140">
        <f>+SUMPRODUCT(AE3:AE47,$B$3:$B$47)</f>
        <v>0</v>
      </c>
      <c r="AF49" s="140">
        <f>+SUMPRODUCT(AF3:AF47,$B$3:$B$47)</f>
        <v>28</v>
      </c>
      <c r="AG49" s="243">
        <f t="shared" si="39"/>
        <v>0</v>
      </c>
      <c r="AH49" s="140">
        <f>+SUMPRODUCT(AH3:AH47,$B$3:$B$47)</f>
        <v>0</v>
      </c>
      <c r="AI49" s="140">
        <f>+SUMPRODUCT(AI3:AI47,$B$3:$B$47)</f>
        <v>88</v>
      </c>
      <c r="AJ49" s="244">
        <f t="shared" si="40"/>
        <v>0</v>
      </c>
      <c r="AK49" s="140">
        <f>+SUMPRODUCT(AK3:AK47,$B$3:$B$47)</f>
        <v>0</v>
      </c>
      <c r="AL49" s="140">
        <f>+SUMPRODUCT(AL3:AL47,$B$3:$B$47)</f>
        <v>46</v>
      </c>
      <c r="AM49" s="244">
        <f t="shared" si="41"/>
        <v>0</v>
      </c>
      <c r="AN49" s="140">
        <f>+SUMPRODUCT(AN3:AN47,$B$3:$B$47)</f>
        <v>0</v>
      </c>
      <c r="AO49" s="140">
        <f>+SUMPRODUCT(AO3:AO47,$B$3:$B$47)</f>
        <v>0</v>
      </c>
      <c r="AP49" s="245" t="str">
        <f t="shared" si="42"/>
        <v>***</v>
      </c>
    </row>
  </sheetData>
  <mergeCells count="16">
    <mergeCell ref="AK1:AM1"/>
    <mergeCell ref="AN1:AP1"/>
    <mergeCell ref="A48:C48"/>
    <mergeCell ref="A49:C49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conditionalFormatting sqref="F3:F49 I3:I49 L3:L49 O3:O49 R3:R49 U3:U49 X3:X49 AA3:AA49 AD3:AD49 AG3:AG49 AJ3:AJ49 AM3:AM49 AP3:AP49">
    <cfRule type="cellIs" priority="1" operator="equal">
      <formula>"***"</formula>
    </cfRule>
    <cfRule type="cellIs" dxfId="7" priority="2" operator="lessThan">
      <formula>1</formula>
    </cfRule>
    <cfRule type="cellIs" dxfId="6" priority="3" operator="greaterThanOr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AFD2-7071-4FCC-B852-A3CA5B84437B}">
  <sheetPr>
    <tabColor theme="8" tint="0.59999389629810485"/>
  </sheetPr>
  <dimension ref="A1:AP47"/>
  <sheetViews>
    <sheetView showGridLines="0" zoomScale="115" zoomScaleNormal="115" workbookViewId="0">
      <pane xSplit="6" ySplit="2" topLeftCell="G11" activePane="bottomRight" state="frozen"/>
      <selection pane="topRight" activeCell="G1" sqref="G1"/>
      <selection pane="bottomLeft" activeCell="A3" sqref="A3"/>
      <selection pane="bottomRight" activeCell="B18" sqref="B18"/>
    </sheetView>
  </sheetViews>
  <sheetFormatPr defaultRowHeight="20.100000000000001" customHeight="1" x14ac:dyDescent="0.25"/>
  <cols>
    <col min="1" max="1" width="15.85546875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+'KPIs - Schematics'!D1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48">
        <f>+G3</f>
        <v>0</v>
      </c>
      <c r="E3" s="36">
        <f>+H3</f>
        <v>0</v>
      </c>
      <c r="F3" s="230" t="str">
        <f>IF(AND(D3&gt;0,E3&gt;0),D3/E3,IF(AND(D3&gt;0,E3=0),100%,IF(AND(D3=0,E3&gt;0),0,IF(AND(D3=0,E3=0),"***",0))))</f>
        <v>***</v>
      </c>
      <c r="G3" s="36"/>
      <c r="H3" s="36">
        <f>+IFERROR(VLOOKUP($A3,'Goals &amp; Budget 2026'!$A$2:$EJ$49,116,FALSE),0)</f>
        <v>0</v>
      </c>
      <c r="I3" s="49" t="str">
        <f>IF(AND(G3&gt;0,H3&gt;0),G3/H3,IF(AND(G3&gt;0,H3=0),100%,IF(AND(G3=0,H3&gt;0),0,IF(AND(G3=0,H3=0),"***",0))))</f>
        <v>***</v>
      </c>
      <c r="J3" s="36"/>
      <c r="K3" s="36">
        <f>+IFERROR(VLOOKUP($A3,'Goals &amp; Budget 2026'!$A$2:$EJ$49,117,FALSE),0)</f>
        <v>0</v>
      </c>
      <c r="L3" s="49" t="str">
        <f>IF(AND(J3&gt;0,K3&gt;0),J3/K3,IF(AND(J3&gt;0,K3=0),100%,IF(AND(J3=0,K3&gt;0),0,IF(AND(J3=0,K3=0),"***",0))))</f>
        <v>***</v>
      </c>
      <c r="M3" s="36"/>
      <c r="N3" s="36">
        <f>+IFERROR(VLOOKUP($A3,'Goals &amp; Budget 2026'!$A$2:$EJ$49,118,FALSE),0)</f>
        <v>0</v>
      </c>
      <c r="O3" s="230" t="str">
        <f>IF(AND(M3&gt;0,N3&gt;0),M3/N3,IF(AND(M3&gt;0,N3=0),100%,IF(AND(M3=0,N3&gt;0),0,IF(AND(M3=0,N3=0),"***",0))))</f>
        <v>***</v>
      </c>
      <c r="P3" s="36"/>
      <c r="Q3" s="36">
        <f>+IFERROR(VLOOKUP($A3,'Goals &amp; Budget 2026'!$A$2:$EJ$49,119,FALSE),0)</f>
        <v>0</v>
      </c>
      <c r="R3" s="49" t="str">
        <f>IF(AND(P3&gt;0,Q3&gt;0),P3/Q3,IF(AND(P3&gt;0,Q3=0),100%,IF(AND(P3=0,Q3&gt;0),0,IF(AND(P3=0,Q3=0),"***",0))))</f>
        <v>***</v>
      </c>
      <c r="S3" s="36"/>
      <c r="T3" s="36">
        <f>+IFERROR(VLOOKUP($A3,'Goals &amp; Budget 2026'!$A$2:$EJ$49,120,FALSE),0)</f>
        <v>0</v>
      </c>
      <c r="U3" s="49" t="str">
        <f>IF(AND(S3&gt;0,T3&gt;0),S3/T3,IF(AND(S3&gt;0,T3=0),100%,IF(AND(S3=0,T3&gt;0),0,IF(AND(S3=0,T3=0),"***",0))))</f>
        <v>***</v>
      </c>
      <c r="V3" s="36"/>
      <c r="W3" s="36">
        <f>+IFERROR(VLOOKUP($A3,'Goals &amp; Budget 2026'!$A$2:$EJ$49,121,FALSE),0)</f>
        <v>0</v>
      </c>
      <c r="X3" s="230" t="str">
        <f>IF(AND(V3&gt;0,W3&gt;0),V3/W3,IF(AND(V3&gt;0,W3=0),100%,IF(AND(V3=0,W3&gt;0),0,IF(AND(V3=0,W3=0),"***",0))))</f>
        <v>***</v>
      </c>
      <c r="Y3" s="36"/>
      <c r="Z3" s="36">
        <f>+IFERROR(VLOOKUP($A3,'Goals &amp; Budget 2026'!$A$2:$EJ$49,122,FALSE),0)</f>
        <v>0</v>
      </c>
      <c r="AA3" s="49" t="str">
        <f>IF(AND(Y3&gt;0,Z3&gt;0),Y3/Z3,IF(AND(Y3&gt;0,Z3=0),100%,IF(AND(Y3=0,Z3&gt;0),0,IF(AND(Y3=0,Z3=0),"***",0))))</f>
        <v>***</v>
      </c>
      <c r="AB3" s="36"/>
      <c r="AC3" s="36">
        <f>+IFERROR(VLOOKUP($A3,'Goals &amp; Budget 2026'!$A$2:$EJ$49,123,FALSE),0)</f>
        <v>0</v>
      </c>
      <c r="AD3" s="49" t="str">
        <f>IF(AND(AB3&gt;0,AC3&gt;0),AB3/AC3,IF(AND(AB3&gt;0,AC3=0),100%,IF(AND(AB3=0,AC3&gt;0),0,IF(AND(AB3=0,AC3=0),"***",0))))</f>
        <v>***</v>
      </c>
      <c r="AE3" s="36"/>
      <c r="AF3" s="36">
        <f>+IFERROR(VLOOKUP($A3,'Goals &amp; Budget 2026'!$A$2:$EJ$49,124,FALSE),0)</f>
        <v>0</v>
      </c>
      <c r="AG3" s="230" t="str">
        <f>IF(AND(AE3&gt;0,AF3&gt;0),AE3/AF3,IF(AND(AE3&gt;0,AF3=0),100%,IF(AND(AE3=0,AF3&gt;0),0,IF(AND(AE3=0,AF3=0),"***",0))))</f>
        <v>***</v>
      </c>
      <c r="AH3" s="36"/>
      <c r="AI3" s="36">
        <f>+IFERROR(VLOOKUP($A3,'Goals &amp; Budget 2026'!$A$2:$EJ$49,125,FALSE),0)</f>
        <v>0</v>
      </c>
      <c r="AJ3" s="49" t="str">
        <f>IF(AND(AH3&gt;0,AI3&gt;0),AH3/AI3,IF(AND(AH3&gt;0,AI3=0),100%,IF(AND(AH3=0,AI3&gt;0),0,IF(AND(AH3=0,AI3=0),"***",0))))</f>
        <v>***</v>
      </c>
      <c r="AK3" s="36"/>
      <c r="AL3" s="36">
        <f>+IFERROR(VLOOKUP($A3,'Goals &amp; Budget 2026'!$A$2:$EJ$49,126,FALSE),0)</f>
        <v>0</v>
      </c>
      <c r="AM3" s="49" t="str">
        <f>IF(AND(AK3&gt;0,AL3&gt;0),AK3/AL3,IF(AND(AK3&gt;0,AL3=0),100%,IF(AND(AK3=0,AL3&gt;0),0,IF(AND(AK3=0,AL3=0),"***",0))))</f>
        <v>***</v>
      </c>
      <c r="AN3" s="36"/>
      <c r="AO3" s="36">
        <f>+IFERROR(VLOOKUP($A3,'Goals &amp; Budget 2026'!$A$2:$EJ$49,127,FALSE),0)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83">
        <f t="shared" ref="D4:D33" si="0">+G4</f>
        <v>0</v>
      </c>
      <c r="E4" s="71">
        <f t="shared" ref="E4:E33" si="1">+H4</f>
        <v>0.95</v>
      </c>
      <c r="F4" s="231">
        <f t="shared" ref="F4:F33" si="2">IF(AND(D4&gt;0,E4&gt;0),D4/E4,IF(AND(D4&gt;0,E4=0),100%,IF(AND(D4=0,E4&gt;0),0,IF(AND(D4=0,E4=0),"***",0))))</f>
        <v>0</v>
      </c>
      <c r="G4" s="71"/>
      <c r="H4" s="71">
        <f>+IFERROR(VLOOKUP($A4,'Goals &amp; Budget 2026'!$A$2:$EJ$49,116,FALSE),0)</f>
        <v>0.95</v>
      </c>
      <c r="I4" s="84">
        <f t="shared" ref="I4:I33" si="3">IF(AND(G4&gt;0,H4&gt;0),G4/H4,IF(AND(G4&gt;0,H4=0),100%,IF(AND(G4=0,H4&gt;0),0,IF(AND(G4=0,H4=0),"***",0))))</f>
        <v>0</v>
      </c>
      <c r="J4" s="71"/>
      <c r="K4" s="71">
        <f>+IFERROR(VLOOKUP($A4,'Goals &amp; Budget 2026'!$A$2:$EJ$49,117,FALSE),0)</f>
        <v>0.99</v>
      </c>
      <c r="L4" s="84">
        <f t="shared" ref="L4:L33" si="4">IF(AND(J4&gt;0,K4&gt;0),J4/K4,IF(AND(J4&gt;0,K4=0),100%,IF(AND(J4=0,K4&gt;0),0,IF(AND(J4=0,K4=0),"***",0))))</f>
        <v>0</v>
      </c>
      <c r="M4" s="71"/>
      <c r="N4" s="71">
        <f>+IFERROR(VLOOKUP($A4,'Goals &amp; Budget 2026'!$A$2:$EJ$49,118,FALSE),0)</f>
        <v>1</v>
      </c>
      <c r="O4" s="231">
        <f t="shared" ref="O4:O33" si="5">IF(AND(M4&gt;0,N4&gt;0),M4/N4,IF(AND(M4&gt;0,N4=0),100%,IF(AND(M4=0,N4&gt;0),0,IF(AND(M4=0,N4=0),"***",0))))</f>
        <v>0</v>
      </c>
      <c r="P4" s="71"/>
      <c r="Q4" s="71">
        <f>+IFERROR(VLOOKUP($A4,'Goals &amp; Budget 2026'!$A$2:$EJ$49,119,FALSE),0)</f>
        <v>0</v>
      </c>
      <c r="R4" s="84" t="str">
        <f t="shared" ref="R4:R33" si="6">IF(AND(P4&gt;0,Q4&gt;0),P4/Q4,IF(AND(P4&gt;0,Q4=0),100%,IF(AND(P4=0,Q4&gt;0),0,IF(AND(P4=0,Q4=0),"***",0))))</f>
        <v>***</v>
      </c>
      <c r="S4" s="71"/>
      <c r="T4" s="71">
        <f>+IFERROR(VLOOKUP($A4,'Goals &amp; Budget 2026'!$A$2:$EJ$49,120,FALSE),0)</f>
        <v>0</v>
      </c>
      <c r="U4" s="84" t="str">
        <f t="shared" ref="U4:U33" si="7">IF(AND(S4&gt;0,T4&gt;0),S4/T4,IF(AND(S4&gt;0,T4=0),100%,IF(AND(S4=0,T4&gt;0),0,IF(AND(S4=0,T4=0),"***",0))))</f>
        <v>***</v>
      </c>
      <c r="V4" s="71"/>
      <c r="W4" s="71">
        <f>+IFERROR(VLOOKUP($A4,'Goals &amp; Budget 2026'!$A$2:$EJ$49,121,FALSE),0)</f>
        <v>0</v>
      </c>
      <c r="X4" s="231" t="str">
        <f t="shared" ref="X4:X33" si="8">IF(AND(V4&gt;0,W4&gt;0),V4/W4,IF(AND(V4&gt;0,W4=0),100%,IF(AND(V4=0,W4&gt;0),0,IF(AND(V4=0,W4=0),"***",0))))</f>
        <v>***</v>
      </c>
      <c r="Y4" s="71"/>
      <c r="Z4" s="71">
        <f>+IFERROR(VLOOKUP($A4,'Goals &amp; Budget 2026'!$A$2:$EJ$49,122,FALSE),0)</f>
        <v>0</v>
      </c>
      <c r="AA4" s="84" t="str">
        <f t="shared" ref="AA4:AA33" si="9">IF(AND(Y4&gt;0,Z4&gt;0),Y4/Z4,IF(AND(Y4&gt;0,Z4=0),100%,IF(AND(Y4=0,Z4&gt;0),0,IF(AND(Y4=0,Z4=0),"***",0))))</f>
        <v>***</v>
      </c>
      <c r="AB4" s="71"/>
      <c r="AC4" s="71">
        <f>+IFERROR(VLOOKUP($A4,'Goals &amp; Budget 2026'!$A$2:$EJ$49,123,FALSE),0)</f>
        <v>0</v>
      </c>
      <c r="AD4" s="84" t="str">
        <f t="shared" ref="AD4:AD33" si="10">IF(AND(AB4&gt;0,AC4&gt;0),AB4/AC4,IF(AND(AB4&gt;0,AC4=0),100%,IF(AND(AB4=0,AC4&gt;0),0,IF(AND(AB4=0,AC4=0),"***",0))))</f>
        <v>***</v>
      </c>
      <c r="AE4" s="71"/>
      <c r="AF4" s="71">
        <f>+IFERROR(VLOOKUP($A4,'Goals &amp; Budget 2026'!$A$2:$EJ$49,124,FALSE),0)</f>
        <v>0</v>
      </c>
      <c r="AG4" s="231" t="str">
        <f t="shared" ref="AG4:AG33" si="11">IF(AND(AE4&gt;0,AF4&gt;0),AE4/AF4,IF(AND(AE4&gt;0,AF4=0),100%,IF(AND(AE4=0,AF4&gt;0),0,IF(AND(AE4=0,AF4=0),"***",0))))</f>
        <v>***</v>
      </c>
      <c r="AH4" s="71"/>
      <c r="AI4" s="71">
        <f>+IFERROR(VLOOKUP($A4,'Goals &amp; Budget 2026'!$A$2:$EJ$49,125,FALSE),0)</f>
        <v>0</v>
      </c>
      <c r="AJ4" s="84" t="str">
        <f t="shared" ref="AJ4:AJ33" si="12">IF(AND(AH4&gt;0,AI4&gt;0),AH4/AI4,IF(AND(AH4&gt;0,AI4=0),100%,IF(AND(AH4=0,AI4&gt;0),0,IF(AND(AH4=0,AI4=0),"***",0))))</f>
        <v>***</v>
      </c>
      <c r="AK4" s="71"/>
      <c r="AL4" s="71">
        <f>+IFERROR(VLOOKUP($A4,'Goals &amp; Budget 2026'!$A$2:$EJ$49,126,FALSE),0)</f>
        <v>0</v>
      </c>
      <c r="AM4" s="84" t="str">
        <f t="shared" ref="AM4:AM33" si="13">IF(AND(AK4&gt;0,AL4&gt;0),AK4/AL4,IF(AND(AK4&gt;0,AL4=0),100%,IF(AND(AK4=0,AL4&gt;0),0,IF(AND(AK4=0,AL4=0),"***",0))))</f>
        <v>***</v>
      </c>
      <c r="AN4" s="71"/>
      <c r="AO4" s="71">
        <f>+IFERROR(VLOOKUP($A4,'Goals &amp; Budget 2026'!$A$2:$EJ$49,127,FALSE),0)</f>
        <v>0</v>
      </c>
      <c r="AP4" s="85" t="str">
        <f t="shared" ref="AP4:AP33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83">
        <f t="shared" si="0"/>
        <v>0</v>
      </c>
      <c r="E5" s="71">
        <f t="shared" si="1"/>
        <v>0</v>
      </c>
      <c r="F5" s="231" t="str">
        <f t="shared" si="2"/>
        <v>***</v>
      </c>
      <c r="G5" s="71"/>
      <c r="H5" s="71">
        <f>+IFERROR(VLOOKUP($A5,'Goals &amp; Budget 2026'!$A$2:$EJ$49,116,FALSE),0)</f>
        <v>0</v>
      </c>
      <c r="I5" s="84" t="str">
        <f t="shared" si="3"/>
        <v>***</v>
      </c>
      <c r="J5" s="71"/>
      <c r="K5" s="71">
        <f>+IFERROR(VLOOKUP($A5,'Goals &amp; Budget 2026'!$A$2:$EJ$49,117,FALSE),0)</f>
        <v>0</v>
      </c>
      <c r="L5" s="84" t="str">
        <f t="shared" si="4"/>
        <v>***</v>
      </c>
      <c r="M5" s="71"/>
      <c r="N5" s="71">
        <f>+IFERROR(VLOOKUP($A5,'Goals &amp; Budget 2026'!$A$2:$EJ$49,118,FALSE),0)</f>
        <v>0</v>
      </c>
      <c r="O5" s="231" t="str">
        <f t="shared" si="5"/>
        <v>***</v>
      </c>
      <c r="P5" s="71"/>
      <c r="Q5" s="71">
        <f>+IFERROR(VLOOKUP($A5,'Goals &amp; Budget 2026'!$A$2:$EJ$49,119,FALSE),0)</f>
        <v>0</v>
      </c>
      <c r="R5" s="84" t="str">
        <f t="shared" si="6"/>
        <v>***</v>
      </c>
      <c r="S5" s="71"/>
      <c r="T5" s="71">
        <f>+IFERROR(VLOOKUP($A5,'Goals &amp; Budget 2026'!$A$2:$EJ$49,120,FALSE),0)</f>
        <v>0</v>
      </c>
      <c r="U5" s="84" t="str">
        <f t="shared" si="7"/>
        <v>***</v>
      </c>
      <c r="V5" s="71"/>
      <c r="W5" s="71">
        <f>+IFERROR(VLOOKUP($A5,'Goals &amp; Budget 2026'!$A$2:$EJ$49,121,FALSE),0)</f>
        <v>0</v>
      </c>
      <c r="X5" s="231" t="str">
        <f t="shared" si="8"/>
        <v>***</v>
      </c>
      <c r="Y5" s="71"/>
      <c r="Z5" s="71">
        <f>+IFERROR(VLOOKUP($A5,'Goals &amp; Budget 2026'!$A$2:$EJ$49,122,FALSE),0)</f>
        <v>0</v>
      </c>
      <c r="AA5" s="84" t="str">
        <f t="shared" si="9"/>
        <v>***</v>
      </c>
      <c r="AB5" s="71"/>
      <c r="AC5" s="71">
        <f>+IFERROR(VLOOKUP($A5,'Goals &amp; Budget 2026'!$A$2:$EJ$49,123,FALSE),0)</f>
        <v>0</v>
      </c>
      <c r="AD5" s="84" t="str">
        <f t="shared" si="10"/>
        <v>***</v>
      </c>
      <c r="AE5" s="71"/>
      <c r="AF5" s="71">
        <f>+IFERROR(VLOOKUP($A5,'Goals &amp; Budget 2026'!$A$2:$EJ$49,124,FALSE),0)</f>
        <v>0</v>
      </c>
      <c r="AG5" s="231" t="str">
        <f t="shared" si="11"/>
        <v>***</v>
      </c>
      <c r="AH5" s="71"/>
      <c r="AI5" s="71">
        <f>+IFERROR(VLOOKUP($A5,'Goals &amp; Budget 2026'!$A$2:$EJ$49,125,FALSE),0)</f>
        <v>0</v>
      </c>
      <c r="AJ5" s="84" t="str">
        <f t="shared" si="12"/>
        <v>***</v>
      </c>
      <c r="AK5" s="71"/>
      <c r="AL5" s="71">
        <f>+IFERROR(VLOOKUP($A5,'Goals &amp; Budget 2026'!$A$2:$EJ$49,126,FALSE),0)</f>
        <v>0</v>
      </c>
      <c r="AM5" s="84" t="str">
        <f t="shared" si="13"/>
        <v>***</v>
      </c>
      <c r="AN5" s="71"/>
      <c r="AO5" s="71">
        <f>+IFERROR(VLOOKUP($A5,'Goals &amp; Budget 2026'!$A$2:$EJ$49,127,FALSE),0)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83">
        <f t="shared" si="0"/>
        <v>0</v>
      </c>
      <c r="E6" s="71">
        <f t="shared" si="1"/>
        <v>0.42</v>
      </c>
      <c r="F6" s="231">
        <f t="shared" si="2"/>
        <v>0</v>
      </c>
      <c r="G6" s="71"/>
      <c r="H6" s="71">
        <f>+IFERROR(VLOOKUP($A6,'Goals &amp; Budget 2026'!$A$2:$EJ$49,116,FALSE),0)</f>
        <v>0.42</v>
      </c>
      <c r="I6" s="84">
        <f t="shared" si="3"/>
        <v>0</v>
      </c>
      <c r="J6" s="71"/>
      <c r="K6" s="71">
        <f>+IFERROR(VLOOKUP($A6,'Goals &amp; Budget 2026'!$A$2:$EJ$49,117,FALSE),0)</f>
        <v>0.47</v>
      </c>
      <c r="L6" s="84">
        <f t="shared" si="4"/>
        <v>0</v>
      </c>
      <c r="M6" s="71"/>
      <c r="N6" s="71">
        <f>+IFERROR(VLOOKUP($A6,'Goals &amp; Budget 2026'!$A$2:$EJ$49,118,FALSE),0)</f>
        <v>0.52</v>
      </c>
      <c r="O6" s="231">
        <f t="shared" si="5"/>
        <v>0</v>
      </c>
      <c r="P6" s="71"/>
      <c r="Q6" s="71">
        <f>+IFERROR(VLOOKUP($A6,'Goals &amp; Budget 2026'!$A$2:$EJ$49,119,FALSE),0)</f>
        <v>0.57000000000000006</v>
      </c>
      <c r="R6" s="84">
        <f t="shared" si="6"/>
        <v>0</v>
      </c>
      <c r="S6" s="71"/>
      <c r="T6" s="71">
        <f>+IFERROR(VLOOKUP($A6,'Goals &amp; Budget 2026'!$A$2:$EJ$49,120,FALSE),0)</f>
        <v>0.63000000000000012</v>
      </c>
      <c r="U6" s="84">
        <f t="shared" si="7"/>
        <v>0</v>
      </c>
      <c r="V6" s="71"/>
      <c r="W6" s="71">
        <f>+IFERROR(VLOOKUP($A6,'Goals &amp; Budget 2026'!$A$2:$EJ$49,121,FALSE),0)</f>
        <v>0.69000000000000017</v>
      </c>
      <c r="X6" s="231">
        <f t="shared" si="8"/>
        <v>0</v>
      </c>
      <c r="Y6" s="71"/>
      <c r="Z6" s="71">
        <f>+IFERROR(VLOOKUP($A6,'Goals &amp; Budget 2026'!$A$2:$EJ$49,122,FALSE),0)</f>
        <v>0.75000000000000022</v>
      </c>
      <c r="AA6" s="84">
        <f t="shared" si="9"/>
        <v>0</v>
      </c>
      <c r="AB6" s="71"/>
      <c r="AC6" s="71">
        <f>+IFERROR(VLOOKUP($A6,'Goals &amp; Budget 2026'!$A$2:$EJ$49,123,FALSE),0)</f>
        <v>0.81000000000000028</v>
      </c>
      <c r="AD6" s="84">
        <f t="shared" si="10"/>
        <v>0</v>
      </c>
      <c r="AE6" s="71"/>
      <c r="AF6" s="71">
        <f>+IFERROR(VLOOKUP($A6,'Goals &amp; Budget 2026'!$A$2:$EJ$49,124,FALSE),0)</f>
        <v>0.87000000000000033</v>
      </c>
      <c r="AG6" s="231">
        <f t="shared" si="11"/>
        <v>0</v>
      </c>
      <c r="AH6" s="71"/>
      <c r="AI6" s="71">
        <f>+IFERROR(VLOOKUP($A6,'Goals &amp; Budget 2026'!$A$2:$EJ$49,125,FALSE),0)</f>
        <v>0.92000000000000037</v>
      </c>
      <c r="AJ6" s="84">
        <f t="shared" si="12"/>
        <v>0</v>
      </c>
      <c r="AK6" s="71"/>
      <c r="AL6" s="71">
        <f>+IFERROR(VLOOKUP($A6,'Goals &amp; Budget 2026'!$A$2:$EJ$49,126,FALSE),0)</f>
        <v>0.97000000000000042</v>
      </c>
      <c r="AM6" s="84">
        <f t="shared" si="13"/>
        <v>0</v>
      </c>
      <c r="AN6" s="71"/>
      <c r="AO6" s="71">
        <f>+IFERROR(VLOOKUP($A6,'Goals &amp; Budget 2026'!$A$2:$EJ$49,127,FALSE),0)</f>
        <v>1</v>
      </c>
      <c r="AP6" s="85">
        <f t="shared" si="14"/>
        <v>0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83">
        <f t="shared" si="0"/>
        <v>0</v>
      </c>
      <c r="E7" s="71">
        <f t="shared" si="1"/>
        <v>0.52</v>
      </c>
      <c r="F7" s="231">
        <f t="shared" si="2"/>
        <v>0</v>
      </c>
      <c r="G7" s="71"/>
      <c r="H7" s="71">
        <f>+IFERROR(VLOOKUP($A7,'Goals &amp; Budget 2026'!$A$2:$EJ$49,116,FALSE),0)</f>
        <v>0.52</v>
      </c>
      <c r="I7" s="84">
        <f t="shared" si="3"/>
        <v>0</v>
      </c>
      <c r="J7" s="71"/>
      <c r="K7" s="71">
        <f>+IFERROR(VLOOKUP($A7,'Goals &amp; Budget 2026'!$A$2:$EJ$49,117,FALSE),0)</f>
        <v>0.57000000000000006</v>
      </c>
      <c r="L7" s="84">
        <f t="shared" si="4"/>
        <v>0</v>
      </c>
      <c r="M7" s="71"/>
      <c r="N7" s="71">
        <f>+IFERROR(VLOOKUP($A7,'Goals &amp; Budget 2026'!$A$2:$EJ$49,118,FALSE),0)</f>
        <v>0.62000000000000011</v>
      </c>
      <c r="O7" s="231">
        <f t="shared" si="5"/>
        <v>0</v>
      </c>
      <c r="P7" s="71"/>
      <c r="Q7" s="71">
        <f>+IFERROR(VLOOKUP($A7,'Goals &amp; Budget 2026'!$A$2:$EJ$49,119,FALSE),0)</f>
        <v>0.67000000000000015</v>
      </c>
      <c r="R7" s="84">
        <f t="shared" si="6"/>
        <v>0</v>
      </c>
      <c r="S7" s="71"/>
      <c r="T7" s="71">
        <f>+IFERROR(VLOOKUP($A7,'Goals &amp; Budget 2026'!$A$2:$EJ$49,120,FALSE),0)</f>
        <v>0.7200000000000002</v>
      </c>
      <c r="U7" s="84">
        <f t="shared" si="7"/>
        <v>0</v>
      </c>
      <c r="V7" s="71"/>
      <c r="W7" s="71">
        <f>+IFERROR(VLOOKUP($A7,'Goals &amp; Budget 2026'!$A$2:$EJ$49,121,FALSE),0)</f>
        <v>0.77000000000000024</v>
      </c>
      <c r="X7" s="231">
        <f t="shared" si="8"/>
        <v>0</v>
      </c>
      <c r="Y7" s="71"/>
      <c r="Z7" s="71">
        <f>+IFERROR(VLOOKUP($A7,'Goals &amp; Budget 2026'!$A$2:$EJ$49,122,FALSE),0)</f>
        <v>0.82000000000000028</v>
      </c>
      <c r="AA7" s="84">
        <f t="shared" si="9"/>
        <v>0</v>
      </c>
      <c r="AB7" s="71"/>
      <c r="AC7" s="71">
        <f>+IFERROR(VLOOKUP($A7,'Goals &amp; Budget 2026'!$A$2:$EJ$49,123,FALSE),0)</f>
        <v>0.87000000000000033</v>
      </c>
      <c r="AD7" s="84">
        <f t="shared" si="10"/>
        <v>0</v>
      </c>
      <c r="AE7" s="71"/>
      <c r="AF7" s="71">
        <f>+IFERROR(VLOOKUP($A7,'Goals &amp; Budget 2026'!$A$2:$EJ$49,124,FALSE),0)</f>
        <v>0.92000000000000037</v>
      </c>
      <c r="AG7" s="231">
        <f t="shared" si="11"/>
        <v>0</v>
      </c>
      <c r="AH7" s="71"/>
      <c r="AI7" s="71">
        <f>+IFERROR(VLOOKUP($A7,'Goals &amp; Budget 2026'!$A$2:$EJ$49,125,FALSE),0)</f>
        <v>0.97000000000000042</v>
      </c>
      <c r="AJ7" s="84">
        <f t="shared" si="12"/>
        <v>0</v>
      </c>
      <c r="AK7" s="71"/>
      <c r="AL7" s="71">
        <f>+IFERROR(VLOOKUP($A7,'Goals &amp; Budget 2026'!$A$2:$EJ$49,126,FALSE),0)</f>
        <v>1</v>
      </c>
      <c r="AM7" s="84">
        <f t="shared" si="13"/>
        <v>0</v>
      </c>
      <c r="AN7" s="71"/>
      <c r="AO7" s="71">
        <f>+IFERROR(VLOOKUP($A7,'Goals &amp; Budget 2026'!$A$2:$EJ$49,127,FALSE),0)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83">
        <f t="shared" si="0"/>
        <v>0</v>
      </c>
      <c r="E8" s="71">
        <f t="shared" si="1"/>
        <v>0</v>
      </c>
      <c r="F8" s="231" t="str">
        <f t="shared" si="2"/>
        <v>***</v>
      </c>
      <c r="G8" s="71"/>
      <c r="H8" s="71">
        <f>+IFERROR(VLOOKUP($A8,'Goals &amp; Budget 2026'!$A$2:$EJ$49,116,FALSE),0)</f>
        <v>0</v>
      </c>
      <c r="I8" s="84" t="str">
        <f t="shared" si="3"/>
        <v>***</v>
      </c>
      <c r="J8" s="71"/>
      <c r="K8" s="71">
        <f>+IFERROR(VLOOKUP($A8,'Goals &amp; Budget 2026'!$A$2:$EJ$49,117,FALSE),0)</f>
        <v>0</v>
      </c>
      <c r="L8" s="84" t="str">
        <f t="shared" si="4"/>
        <v>***</v>
      </c>
      <c r="M8" s="71"/>
      <c r="N8" s="71">
        <f>+IFERROR(VLOOKUP($A8,'Goals &amp; Budget 2026'!$A$2:$EJ$49,118,FALSE),0)</f>
        <v>0</v>
      </c>
      <c r="O8" s="231" t="str">
        <f t="shared" si="5"/>
        <v>***</v>
      </c>
      <c r="P8" s="71"/>
      <c r="Q8" s="71">
        <f>+IFERROR(VLOOKUP($A8,'Goals &amp; Budget 2026'!$A$2:$EJ$49,119,FALSE),0)</f>
        <v>0</v>
      </c>
      <c r="R8" s="84" t="str">
        <f t="shared" si="6"/>
        <v>***</v>
      </c>
      <c r="S8" s="71"/>
      <c r="T8" s="71">
        <f>+IFERROR(VLOOKUP($A8,'Goals &amp; Budget 2026'!$A$2:$EJ$49,120,FALSE),0)</f>
        <v>0</v>
      </c>
      <c r="U8" s="84" t="str">
        <f t="shared" si="7"/>
        <v>***</v>
      </c>
      <c r="V8" s="71"/>
      <c r="W8" s="71">
        <f>+IFERROR(VLOOKUP($A8,'Goals &amp; Budget 2026'!$A$2:$EJ$49,121,FALSE),0)</f>
        <v>0</v>
      </c>
      <c r="X8" s="231" t="str">
        <f t="shared" si="8"/>
        <v>***</v>
      </c>
      <c r="Y8" s="71"/>
      <c r="Z8" s="71">
        <f>+IFERROR(VLOOKUP($A8,'Goals &amp; Budget 2026'!$A$2:$EJ$49,122,FALSE),0)</f>
        <v>0</v>
      </c>
      <c r="AA8" s="84" t="str">
        <f t="shared" si="9"/>
        <v>***</v>
      </c>
      <c r="AB8" s="71"/>
      <c r="AC8" s="71">
        <f>+IFERROR(VLOOKUP($A8,'Goals &amp; Budget 2026'!$A$2:$EJ$49,123,FALSE),0)</f>
        <v>0</v>
      </c>
      <c r="AD8" s="84" t="str">
        <f t="shared" si="10"/>
        <v>***</v>
      </c>
      <c r="AE8" s="71"/>
      <c r="AF8" s="71">
        <f>+IFERROR(VLOOKUP($A8,'Goals &amp; Budget 2026'!$A$2:$EJ$49,124,FALSE),0)</f>
        <v>0</v>
      </c>
      <c r="AG8" s="231" t="str">
        <f t="shared" si="11"/>
        <v>***</v>
      </c>
      <c r="AH8" s="71"/>
      <c r="AI8" s="71">
        <f>+IFERROR(VLOOKUP($A8,'Goals &amp; Budget 2026'!$A$2:$EJ$49,125,FALSE),0)</f>
        <v>0</v>
      </c>
      <c r="AJ8" s="84" t="str">
        <f t="shared" si="12"/>
        <v>***</v>
      </c>
      <c r="AK8" s="71"/>
      <c r="AL8" s="71">
        <f>+IFERROR(VLOOKUP($A8,'Goals &amp; Budget 2026'!$A$2:$EJ$49,126,FALSE),0)</f>
        <v>0</v>
      </c>
      <c r="AM8" s="84" t="str">
        <f t="shared" si="13"/>
        <v>***</v>
      </c>
      <c r="AN8" s="71"/>
      <c r="AO8" s="71">
        <f>+IFERROR(VLOOKUP($A8,'Goals &amp; Budget 2026'!$A$2:$EJ$49,127,FALSE),0)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83">
        <f t="shared" si="0"/>
        <v>0</v>
      </c>
      <c r="E9" s="71">
        <f t="shared" si="1"/>
        <v>0</v>
      </c>
      <c r="F9" s="231" t="str">
        <f t="shared" si="2"/>
        <v>***</v>
      </c>
      <c r="G9" s="71"/>
      <c r="H9" s="71">
        <f>+IFERROR(VLOOKUP($A9,'Goals &amp; Budget 2026'!$A$2:$EJ$49,116,FALSE),0)</f>
        <v>0</v>
      </c>
      <c r="I9" s="84" t="str">
        <f t="shared" si="3"/>
        <v>***</v>
      </c>
      <c r="J9" s="71"/>
      <c r="K9" s="71">
        <f>+IFERROR(VLOOKUP($A9,'Goals &amp; Budget 2026'!$A$2:$EJ$49,117,FALSE),0)</f>
        <v>6.0000000000000001E-3</v>
      </c>
      <c r="L9" s="84">
        <f t="shared" si="4"/>
        <v>0</v>
      </c>
      <c r="M9" s="71"/>
      <c r="N9" s="71">
        <f>+IFERROR(VLOOKUP($A9,'Goals &amp; Budget 2026'!$A$2:$EJ$49,118,FALSE),0)</f>
        <v>3.5000000000000003E-2</v>
      </c>
      <c r="O9" s="231">
        <f t="shared" si="5"/>
        <v>0</v>
      </c>
      <c r="P9" s="71"/>
      <c r="Q9" s="71">
        <f>+IFERROR(VLOOKUP($A9,'Goals &amp; Budget 2026'!$A$2:$EJ$49,119,FALSE),0)</f>
        <v>6.4000000000000001E-2</v>
      </c>
      <c r="R9" s="84">
        <f t="shared" si="6"/>
        <v>0</v>
      </c>
      <c r="S9" s="71"/>
      <c r="T9" s="71">
        <f>+IFERROR(VLOOKUP($A9,'Goals &amp; Budget 2026'!$A$2:$EJ$49,120,FALSE),0)</f>
        <v>9.4E-2</v>
      </c>
      <c r="U9" s="84">
        <f t="shared" si="7"/>
        <v>0</v>
      </c>
      <c r="V9" s="71"/>
      <c r="W9" s="71">
        <f>+IFERROR(VLOOKUP($A9,'Goals &amp; Budget 2026'!$A$2:$EJ$49,121,FALSE),0)</f>
        <v>0.124</v>
      </c>
      <c r="X9" s="231">
        <f t="shared" si="8"/>
        <v>0</v>
      </c>
      <c r="Y9" s="71"/>
      <c r="Z9" s="71">
        <f>+IFERROR(VLOOKUP($A9,'Goals &amp; Budget 2026'!$A$2:$EJ$49,122,FALSE),0)</f>
        <v>0.156</v>
      </c>
      <c r="AA9" s="84">
        <f t="shared" si="9"/>
        <v>0</v>
      </c>
      <c r="AB9" s="71"/>
      <c r="AC9" s="71">
        <f>+IFERROR(VLOOKUP($A9,'Goals &amp; Budget 2026'!$A$2:$EJ$49,123,FALSE),0)</f>
        <v>0.191</v>
      </c>
      <c r="AD9" s="84">
        <f t="shared" si="10"/>
        <v>0</v>
      </c>
      <c r="AE9" s="71"/>
      <c r="AF9" s="71">
        <f>+IFERROR(VLOOKUP($A9,'Goals &amp; Budget 2026'!$A$2:$EJ$49,124,FALSE),0)</f>
        <v>0.22600000000000001</v>
      </c>
      <c r="AG9" s="231">
        <f t="shared" si="11"/>
        <v>0</v>
      </c>
      <c r="AH9" s="71"/>
      <c r="AI9" s="71">
        <f>+IFERROR(VLOOKUP($A9,'Goals &amp; Budget 2026'!$A$2:$EJ$49,125,FALSE),0)</f>
        <v>0.26700000000000002</v>
      </c>
      <c r="AJ9" s="84">
        <f t="shared" si="12"/>
        <v>0</v>
      </c>
      <c r="AK9" s="71"/>
      <c r="AL9" s="71">
        <f>+IFERROR(VLOOKUP($A9,'Goals &amp; Budget 2026'!$A$2:$EJ$49,126,FALSE),0)</f>
        <v>0.316</v>
      </c>
      <c r="AM9" s="84">
        <f t="shared" si="13"/>
        <v>0</v>
      </c>
      <c r="AN9" s="71"/>
      <c r="AO9" s="71">
        <f>+IFERROR(VLOOKUP($A9,'Goals &amp; Budget 2026'!$A$2:$EJ$49,127,FALSE),0)</f>
        <v>0.36799999999999999</v>
      </c>
      <c r="AP9" s="85">
        <f t="shared" si="14"/>
        <v>0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83">
        <f t="shared" si="0"/>
        <v>0</v>
      </c>
      <c r="E10" s="71">
        <f t="shared" si="1"/>
        <v>0</v>
      </c>
      <c r="F10" s="231" t="str">
        <f t="shared" si="2"/>
        <v>***</v>
      </c>
      <c r="G10" s="71"/>
      <c r="H10" s="71">
        <f>+IFERROR(VLOOKUP($A10,'Goals &amp; Budget 2026'!$A$2:$EJ$49,116,FALSE),0)</f>
        <v>0</v>
      </c>
      <c r="I10" s="84" t="str">
        <f t="shared" si="3"/>
        <v>***</v>
      </c>
      <c r="J10" s="71"/>
      <c r="K10" s="71">
        <f>+IFERROR(VLOOKUP($A10,'Goals &amp; Budget 2026'!$A$2:$EJ$49,117,FALSE),0)</f>
        <v>0</v>
      </c>
      <c r="L10" s="84" t="str">
        <f t="shared" si="4"/>
        <v>***</v>
      </c>
      <c r="M10" s="71"/>
      <c r="N10" s="71">
        <f>+IFERROR(VLOOKUP($A10,'Goals &amp; Budget 2026'!$A$2:$EJ$49,118,FALSE),0)</f>
        <v>0</v>
      </c>
      <c r="O10" s="231" t="str">
        <f t="shared" si="5"/>
        <v>***</v>
      </c>
      <c r="P10" s="71"/>
      <c r="Q10" s="71">
        <f>+IFERROR(VLOOKUP($A10,'Goals &amp; Budget 2026'!$A$2:$EJ$49,119,FALSE),0)</f>
        <v>0</v>
      </c>
      <c r="R10" s="84" t="str">
        <f t="shared" si="6"/>
        <v>***</v>
      </c>
      <c r="S10" s="71"/>
      <c r="T10" s="71">
        <f>+IFERROR(VLOOKUP($A10,'Goals &amp; Budget 2026'!$A$2:$EJ$49,120,FALSE),0)</f>
        <v>0</v>
      </c>
      <c r="U10" s="84" t="str">
        <f t="shared" si="7"/>
        <v>***</v>
      </c>
      <c r="V10" s="71"/>
      <c r="W10" s="71">
        <f>+IFERROR(VLOOKUP($A10,'Goals &amp; Budget 2026'!$A$2:$EJ$49,121,FALSE),0)</f>
        <v>0</v>
      </c>
      <c r="X10" s="231" t="str">
        <f t="shared" si="8"/>
        <v>***</v>
      </c>
      <c r="Y10" s="71"/>
      <c r="Z10" s="71">
        <f>+IFERROR(VLOOKUP($A10,'Goals &amp; Budget 2026'!$A$2:$EJ$49,122,FALSE),0)</f>
        <v>0</v>
      </c>
      <c r="AA10" s="84" t="str">
        <f t="shared" si="9"/>
        <v>***</v>
      </c>
      <c r="AB10" s="71"/>
      <c r="AC10" s="71">
        <f>+IFERROR(VLOOKUP($A10,'Goals &amp; Budget 2026'!$A$2:$EJ$49,123,FALSE),0)</f>
        <v>0</v>
      </c>
      <c r="AD10" s="84" t="str">
        <f t="shared" si="10"/>
        <v>***</v>
      </c>
      <c r="AE10" s="71"/>
      <c r="AF10" s="71">
        <f>+IFERROR(VLOOKUP($A10,'Goals &amp; Budget 2026'!$A$2:$EJ$49,124,FALSE),0)</f>
        <v>0</v>
      </c>
      <c r="AG10" s="231" t="str">
        <f t="shared" si="11"/>
        <v>***</v>
      </c>
      <c r="AH10" s="71"/>
      <c r="AI10" s="71">
        <f>+IFERROR(VLOOKUP($A10,'Goals &amp; Budget 2026'!$A$2:$EJ$49,125,FALSE),0)</f>
        <v>0</v>
      </c>
      <c r="AJ10" s="84" t="str">
        <f t="shared" si="12"/>
        <v>***</v>
      </c>
      <c r="AK10" s="71"/>
      <c r="AL10" s="71">
        <f>+IFERROR(VLOOKUP($A10,'Goals &amp; Budget 2026'!$A$2:$EJ$49,126,FALSE),0)</f>
        <v>0</v>
      </c>
      <c r="AM10" s="84" t="str">
        <f t="shared" si="13"/>
        <v>***</v>
      </c>
      <c r="AN10" s="71"/>
      <c r="AO10" s="71">
        <f>+IFERROR(VLOOKUP($A10,'Goals &amp; Budget 2026'!$A$2:$EJ$49,127,FALSE),0)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83">
        <f t="shared" si="0"/>
        <v>0</v>
      </c>
      <c r="E11" s="71">
        <f t="shared" si="1"/>
        <v>0.97</v>
      </c>
      <c r="F11" s="231">
        <f t="shared" si="2"/>
        <v>0</v>
      </c>
      <c r="G11" s="71"/>
      <c r="H11" s="71">
        <f>+IFERROR(VLOOKUP($A11,'Goals &amp; Budget 2026'!$A$2:$EJ$49,116,FALSE),0)</f>
        <v>0.97</v>
      </c>
      <c r="I11" s="84">
        <f t="shared" si="3"/>
        <v>0</v>
      </c>
      <c r="J11" s="71"/>
      <c r="K11" s="71">
        <f>+IFERROR(VLOOKUP($A11,'Goals &amp; Budget 2026'!$A$2:$EJ$49,117,FALSE),0)</f>
        <v>1</v>
      </c>
      <c r="L11" s="84">
        <f t="shared" si="4"/>
        <v>0</v>
      </c>
      <c r="M11" s="71"/>
      <c r="N11" s="71">
        <f>+IFERROR(VLOOKUP($A11,'Goals &amp; Budget 2026'!$A$2:$EJ$49,118,FALSE),0)</f>
        <v>0</v>
      </c>
      <c r="O11" s="231" t="str">
        <f t="shared" si="5"/>
        <v>***</v>
      </c>
      <c r="P11" s="71"/>
      <c r="Q11" s="71">
        <f>+IFERROR(VLOOKUP($A11,'Goals &amp; Budget 2026'!$A$2:$EJ$49,119,FALSE),0)</f>
        <v>0</v>
      </c>
      <c r="R11" s="84" t="str">
        <f t="shared" si="6"/>
        <v>***</v>
      </c>
      <c r="S11" s="71"/>
      <c r="T11" s="71">
        <f>+IFERROR(VLOOKUP($A11,'Goals &amp; Budget 2026'!$A$2:$EJ$49,120,FALSE),0)</f>
        <v>0</v>
      </c>
      <c r="U11" s="84" t="str">
        <f t="shared" si="7"/>
        <v>***</v>
      </c>
      <c r="V11" s="71"/>
      <c r="W11" s="71">
        <f>+IFERROR(VLOOKUP($A11,'Goals &amp; Budget 2026'!$A$2:$EJ$49,121,FALSE),0)</f>
        <v>0</v>
      </c>
      <c r="X11" s="231" t="str">
        <f t="shared" si="8"/>
        <v>***</v>
      </c>
      <c r="Y11" s="71"/>
      <c r="Z11" s="71">
        <f>+IFERROR(VLOOKUP($A11,'Goals &amp; Budget 2026'!$A$2:$EJ$49,122,FALSE),0)</f>
        <v>0</v>
      </c>
      <c r="AA11" s="84" t="str">
        <f t="shared" si="9"/>
        <v>***</v>
      </c>
      <c r="AB11" s="71"/>
      <c r="AC11" s="71">
        <f>+IFERROR(VLOOKUP($A11,'Goals &amp; Budget 2026'!$A$2:$EJ$49,123,FALSE),0)</f>
        <v>0</v>
      </c>
      <c r="AD11" s="84" t="str">
        <f t="shared" si="10"/>
        <v>***</v>
      </c>
      <c r="AE11" s="71"/>
      <c r="AF11" s="71">
        <f>+IFERROR(VLOOKUP($A11,'Goals &amp; Budget 2026'!$A$2:$EJ$49,124,FALSE),0)</f>
        <v>0</v>
      </c>
      <c r="AG11" s="231" t="str">
        <f t="shared" si="11"/>
        <v>***</v>
      </c>
      <c r="AH11" s="71"/>
      <c r="AI11" s="71">
        <f>+IFERROR(VLOOKUP($A11,'Goals &amp; Budget 2026'!$A$2:$EJ$49,125,FALSE),0)</f>
        <v>0</v>
      </c>
      <c r="AJ11" s="84" t="str">
        <f t="shared" si="12"/>
        <v>***</v>
      </c>
      <c r="AK11" s="71"/>
      <c r="AL11" s="71">
        <f>+IFERROR(VLOOKUP($A11,'Goals &amp; Budget 2026'!$A$2:$EJ$49,126,FALSE),0)</f>
        <v>0</v>
      </c>
      <c r="AM11" s="84" t="str">
        <f t="shared" si="13"/>
        <v>***</v>
      </c>
      <c r="AN11" s="71"/>
      <c r="AO11" s="71">
        <f>+IFERROR(VLOOKUP($A11,'Goals &amp; Budget 2026'!$A$2:$EJ$49,127,FALSE),0)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83">
        <f t="shared" si="0"/>
        <v>0</v>
      </c>
      <c r="E12" s="71">
        <f t="shared" si="1"/>
        <v>0.83</v>
      </c>
      <c r="F12" s="231">
        <f t="shared" si="2"/>
        <v>0</v>
      </c>
      <c r="G12" s="71"/>
      <c r="H12" s="71">
        <f>+IFERROR(VLOOKUP($A12,'Goals &amp; Budget 2026'!$A$2:$EJ$49,116,FALSE),0)</f>
        <v>0.83</v>
      </c>
      <c r="I12" s="84">
        <f t="shared" si="3"/>
        <v>0</v>
      </c>
      <c r="J12" s="71"/>
      <c r="K12" s="71">
        <f>+IFERROR(VLOOKUP($A12,'Goals &amp; Budget 2026'!$A$2:$EJ$49,117,FALSE),0)</f>
        <v>0.87</v>
      </c>
      <c r="L12" s="84">
        <f t="shared" si="4"/>
        <v>0</v>
      </c>
      <c r="M12" s="71"/>
      <c r="N12" s="71">
        <f>+IFERROR(VLOOKUP($A12,'Goals &amp; Budget 2026'!$A$2:$EJ$49,118,FALSE),0)</f>
        <v>0.91</v>
      </c>
      <c r="O12" s="231">
        <f t="shared" si="5"/>
        <v>0</v>
      </c>
      <c r="P12" s="71"/>
      <c r="Q12" s="71">
        <f>+IFERROR(VLOOKUP($A12,'Goals &amp; Budget 2026'!$A$2:$EJ$49,119,FALSE),0)</f>
        <v>0.94</v>
      </c>
      <c r="R12" s="84">
        <f t="shared" si="6"/>
        <v>0</v>
      </c>
      <c r="S12" s="71"/>
      <c r="T12" s="71">
        <f>+IFERROR(VLOOKUP($A12,'Goals &amp; Budget 2026'!$A$2:$EJ$49,120,FALSE),0)</f>
        <v>0.97</v>
      </c>
      <c r="U12" s="84">
        <f t="shared" si="7"/>
        <v>0</v>
      </c>
      <c r="V12" s="71"/>
      <c r="W12" s="71">
        <f>+IFERROR(VLOOKUP($A12,'Goals &amp; Budget 2026'!$A$2:$EJ$49,121,FALSE),0)</f>
        <v>1</v>
      </c>
      <c r="X12" s="231">
        <f t="shared" si="8"/>
        <v>0</v>
      </c>
      <c r="Y12" s="71"/>
      <c r="Z12" s="71">
        <f>+IFERROR(VLOOKUP($A12,'Goals &amp; Budget 2026'!$A$2:$EJ$49,122,FALSE),0)</f>
        <v>0</v>
      </c>
      <c r="AA12" s="84" t="str">
        <f t="shared" si="9"/>
        <v>***</v>
      </c>
      <c r="AB12" s="71"/>
      <c r="AC12" s="71">
        <f>+IFERROR(VLOOKUP($A12,'Goals &amp; Budget 2026'!$A$2:$EJ$49,123,FALSE),0)</f>
        <v>0</v>
      </c>
      <c r="AD12" s="84" t="str">
        <f t="shared" si="10"/>
        <v>***</v>
      </c>
      <c r="AE12" s="71"/>
      <c r="AF12" s="71">
        <f>+IFERROR(VLOOKUP($A12,'Goals &amp; Budget 2026'!$A$2:$EJ$49,124,FALSE),0)</f>
        <v>0</v>
      </c>
      <c r="AG12" s="231" t="str">
        <f t="shared" si="11"/>
        <v>***</v>
      </c>
      <c r="AH12" s="71"/>
      <c r="AI12" s="71">
        <f>+IFERROR(VLOOKUP($A12,'Goals &amp; Budget 2026'!$A$2:$EJ$49,125,FALSE),0)</f>
        <v>0</v>
      </c>
      <c r="AJ12" s="84" t="str">
        <f t="shared" si="12"/>
        <v>***</v>
      </c>
      <c r="AK12" s="71"/>
      <c r="AL12" s="71">
        <f>+IFERROR(VLOOKUP($A12,'Goals &amp; Budget 2026'!$A$2:$EJ$49,126,FALSE),0)</f>
        <v>0</v>
      </c>
      <c r="AM12" s="84" t="str">
        <f t="shared" si="13"/>
        <v>***</v>
      </c>
      <c r="AN12" s="71"/>
      <c r="AO12" s="71">
        <f>+IFERROR(VLOOKUP($A12,'Goals &amp; Budget 2026'!$A$2:$EJ$49,127,FALSE),0)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83">
        <f t="shared" si="0"/>
        <v>0</v>
      </c>
      <c r="E13" s="71">
        <f t="shared" si="1"/>
        <v>0.91</v>
      </c>
      <c r="F13" s="231">
        <f t="shared" si="2"/>
        <v>0</v>
      </c>
      <c r="G13" s="71"/>
      <c r="H13" s="71">
        <f>+IFERROR(VLOOKUP($A13,'Goals &amp; Budget 2026'!$A$2:$EJ$49,116,FALSE),0)</f>
        <v>0.91</v>
      </c>
      <c r="I13" s="84">
        <f t="shared" si="3"/>
        <v>0</v>
      </c>
      <c r="J13" s="71"/>
      <c r="K13" s="71">
        <f>+IFERROR(VLOOKUP($A13,'Goals &amp; Budget 2026'!$A$2:$EJ$49,117,FALSE),0)</f>
        <v>0.95</v>
      </c>
      <c r="L13" s="84">
        <f t="shared" si="4"/>
        <v>0</v>
      </c>
      <c r="M13" s="71"/>
      <c r="N13" s="71">
        <f>+IFERROR(VLOOKUP($A13,'Goals &amp; Budget 2026'!$A$2:$EJ$49,118,FALSE),0)</f>
        <v>0.97</v>
      </c>
      <c r="O13" s="231">
        <f t="shared" si="5"/>
        <v>0</v>
      </c>
      <c r="P13" s="71"/>
      <c r="Q13" s="71">
        <f>+IFERROR(VLOOKUP($A13,'Goals &amp; Budget 2026'!$A$2:$EJ$49,119,FALSE),0)</f>
        <v>1</v>
      </c>
      <c r="R13" s="84">
        <f t="shared" si="6"/>
        <v>0</v>
      </c>
      <c r="S13" s="71"/>
      <c r="T13" s="71">
        <f>+IFERROR(VLOOKUP($A13,'Goals &amp; Budget 2026'!$A$2:$EJ$49,120,FALSE),0)</f>
        <v>0</v>
      </c>
      <c r="U13" s="84" t="str">
        <f t="shared" si="7"/>
        <v>***</v>
      </c>
      <c r="V13" s="71"/>
      <c r="W13" s="71">
        <f>+IFERROR(VLOOKUP($A13,'Goals &amp; Budget 2026'!$A$2:$EJ$49,121,FALSE),0)</f>
        <v>0</v>
      </c>
      <c r="X13" s="231" t="str">
        <f t="shared" si="8"/>
        <v>***</v>
      </c>
      <c r="Y13" s="71"/>
      <c r="Z13" s="71">
        <f>+IFERROR(VLOOKUP($A13,'Goals &amp; Budget 2026'!$A$2:$EJ$49,122,FALSE),0)</f>
        <v>0</v>
      </c>
      <c r="AA13" s="84" t="str">
        <f t="shared" si="9"/>
        <v>***</v>
      </c>
      <c r="AB13" s="71"/>
      <c r="AC13" s="71">
        <f>+IFERROR(VLOOKUP($A13,'Goals &amp; Budget 2026'!$A$2:$EJ$49,123,FALSE),0)</f>
        <v>0</v>
      </c>
      <c r="AD13" s="84" t="str">
        <f t="shared" si="10"/>
        <v>***</v>
      </c>
      <c r="AE13" s="71"/>
      <c r="AF13" s="71">
        <f>+IFERROR(VLOOKUP($A13,'Goals &amp; Budget 2026'!$A$2:$EJ$49,124,FALSE),0)</f>
        <v>0</v>
      </c>
      <c r="AG13" s="231" t="str">
        <f t="shared" si="11"/>
        <v>***</v>
      </c>
      <c r="AH13" s="71"/>
      <c r="AI13" s="71">
        <f>+IFERROR(VLOOKUP($A13,'Goals &amp; Budget 2026'!$A$2:$EJ$49,125,FALSE),0)</f>
        <v>0</v>
      </c>
      <c r="AJ13" s="84" t="str">
        <f t="shared" si="12"/>
        <v>***</v>
      </c>
      <c r="AK13" s="71"/>
      <c r="AL13" s="71">
        <f>+IFERROR(VLOOKUP($A13,'Goals &amp; Budget 2026'!$A$2:$EJ$49,126,FALSE),0)</f>
        <v>0</v>
      </c>
      <c r="AM13" s="84" t="str">
        <f t="shared" si="13"/>
        <v>***</v>
      </c>
      <c r="AN13" s="71"/>
      <c r="AO13" s="71">
        <f>+IFERROR(VLOOKUP($A13,'Goals &amp; Budget 2026'!$A$2:$EJ$49,127,FALSE),0)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83">
        <f t="shared" si="0"/>
        <v>0</v>
      </c>
      <c r="E14" s="71">
        <f t="shared" si="1"/>
        <v>0.62</v>
      </c>
      <c r="F14" s="231">
        <f t="shared" si="2"/>
        <v>0</v>
      </c>
      <c r="G14" s="71"/>
      <c r="H14" s="71">
        <f>+IFERROR(VLOOKUP($A14,'Goals &amp; Budget 2026'!$A$2:$EJ$49,116,FALSE),0)</f>
        <v>0.62</v>
      </c>
      <c r="I14" s="84">
        <f t="shared" si="3"/>
        <v>0</v>
      </c>
      <c r="J14" s="71"/>
      <c r="K14" s="71">
        <f>+IFERROR(VLOOKUP($A14,'Goals &amp; Budget 2026'!$A$2:$EJ$49,117,FALSE),0)</f>
        <v>0.67</v>
      </c>
      <c r="L14" s="84">
        <f t="shared" si="4"/>
        <v>0</v>
      </c>
      <c r="M14" s="71"/>
      <c r="N14" s="71">
        <f>+IFERROR(VLOOKUP($A14,'Goals &amp; Budget 2026'!$A$2:$EJ$49,118,FALSE),0)</f>
        <v>0.72</v>
      </c>
      <c r="O14" s="231">
        <f t="shared" si="5"/>
        <v>0</v>
      </c>
      <c r="P14" s="71"/>
      <c r="Q14" s="71">
        <f>+IFERROR(VLOOKUP($A14,'Goals &amp; Budget 2026'!$A$2:$EJ$49,119,FALSE),0)</f>
        <v>0.77</v>
      </c>
      <c r="R14" s="84">
        <f t="shared" si="6"/>
        <v>0</v>
      </c>
      <c r="S14" s="71"/>
      <c r="T14" s="71">
        <f>+IFERROR(VLOOKUP($A14,'Goals &amp; Budget 2026'!$A$2:$EJ$49,120,FALSE),0)</f>
        <v>0.81</v>
      </c>
      <c r="U14" s="84">
        <f t="shared" si="7"/>
        <v>0</v>
      </c>
      <c r="V14" s="71"/>
      <c r="W14" s="71">
        <f>+IFERROR(VLOOKUP($A14,'Goals &amp; Budget 2026'!$A$2:$EJ$49,121,FALSE),0)</f>
        <v>0.86</v>
      </c>
      <c r="X14" s="231">
        <f t="shared" si="8"/>
        <v>0</v>
      </c>
      <c r="Y14" s="71"/>
      <c r="Z14" s="71">
        <f>+IFERROR(VLOOKUP($A14,'Goals &amp; Budget 2026'!$A$2:$EJ$49,122,FALSE),0)</f>
        <v>0.89</v>
      </c>
      <c r="AA14" s="84">
        <f t="shared" si="9"/>
        <v>0</v>
      </c>
      <c r="AB14" s="71"/>
      <c r="AC14" s="71">
        <f>+IFERROR(VLOOKUP($A14,'Goals &amp; Budget 2026'!$A$2:$EJ$49,123,FALSE),0)</f>
        <v>0.92</v>
      </c>
      <c r="AD14" s="84">
        <f t="shared" si="10"/>
        <v>0</v>
      </c>
      <c r="AE14" s="71"/>
      <c r="AF14" s="71">
        <f>+IFERROR(VLOOKUP($A14,'Goals &amp; Budget 2026'!$A$2:$EJ$49,124,FALSE),0)</f>
        <v>0.95</v>
      </c>
      <c r="AG14" s="231">
        <f t="shared" si="11"/>
        <v>0</v>
      </c>
      <c r="AH14" s="71"/>
      <c r="AI14" s="71">
        <f>+IFERROR(VLOOKUP($A14,'Goals &amp; Budget 2026'!$A$2:$EJ$49,125,FALSE),0)</f>
        <v>0.97</v>
      </c>
      <c r="AJ14" s="84">
        <f t="shared" si="12"/>
        <v>0</v>
      </c>
      <c r="AK14" s="71"/>
      <c r="AL14" s="71">
        <f>+IFERROR(VLOOKUP($A14,'Goals &amp; Budget 2026'!$A$2:$EJ$49,126,FALSE),0)</f>
        <v>1</v>
      </c>
      <c r="AM14" s="84">
        <f t="shared" si="13"/>
        <v>0</v>
      </c>
      <c r="AN14" s="71"/>
      <c r="AO14" s="71">
        <f>+IFERROR(VLOOKUP($A14,'Goals &amp; Budget 2026'!$A$2:$EJ$49,127,FALSE),0)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83">
        <f t="shared" si="0"/>
        <v>0</v>
      </c>
      <c r="E15" s="71">
        <f t="shared" si="1"/>
        <v>0.75</v>
      </c>
      <c r="F15" s="231">
        <f t="shared" si="2"/>
        <v>0</v>
      </c>
      <c r="G15" s="71"/>
      <c r="H15" s="71">
        <f>+IFERROR(VLOOKUP($A15,'Goals &amp; Budget 2026'!$A$2:$EJ$49,116,FALSE),0)</f>
        <v>0.75</v>
      </c>
      <c r="I15" s="84">
        <f t="shared" si="3"/>
        <v>0</v>
      </c>
      <c r="J15" s="71"/>
      <c r="K15" s="71">
        <f>+IFERROR(VLOOKUP($A15,'Goals &amp; Budget 2026'!$A$2:$EJ$49,117,FALSE),0)</f>
        <v>0.9</v>
      </c>
      <c r="L15" s="84">
        <f t="shared" si="4"/>
        <v>0</v>
      </c>
      <c r="M15" s="71"/>
      <c r="N15" s="71">
        <f>+IFERROR(VLOOKUP($A15,'Goals &amp; Budget 2026'!$A$2:$EJ$49,118,FALSE),0)</f>
        <v>1</v>
      </c>
      <c r="O15" s="231">
        <f t="shared" si="5"/>
        <v>0</v>
      </c>
      <c r="P15" s="71"/>
      <c r="Q15" s="71">
        <f>+IFERROR(VLOOKUP($A15,'Goals &amp; Budget 2026'!$A$2:$EJ$49,119,FALSE),0)</f>
        <v>0</v>
      </c>
      <c r="R15" s="84" t="str">
        <f t="shared" si="6"/>
        <v>***</v>
      </c>
      <c r="S15" s="71"/>
      <c r="T15" s="71">
        <f>+IFERROR(VLOOKUP($A15,'Goals &amp; Budget 2026'!$A$2:$EJ$49,120,FALSE),0)</f>
        <v>0</v>
      </c>
      <c r="U15" s="84" t="str">
        <f t="shared" si="7"/>
        <v>***</v>
      </c>
      <c r="V15" s="71"/>
      <c r="W15" s="71">
        <f>+IFERROR(VLOOKUP($A15,'Goals &amp; Budget 2026'!$A$2:$EJ$49,121,FALSE),0)</f>
        <v>0</v>
      </c>
      <c r="X15" s="231" t="str">
        <f t="shared" si="8"/>
        <v>***</v>
      </c>
      <c r="Y15" s="71"/>
      <c r="Z15" s="71">
        <f>+IFERROR(VLOOKUP($A15,'Goals &amp; Budget 2026'!$A$2:$EJ$49,122,FALSE),0)</f>
        <v>0</v>
      </c>
      <c r="AA15" s="84" t="str">
        <f t="shared" si="9"/>
        <v>***</v>
      </c>
      <c r="AB15" s="71"/>
      <c r="AC15" s="71">
        <f>+IFERROR(VLOOKUP($A15,'Goals &amp; Budget 2026'!$A$2:$EJ$49,123,FALSE),0)</f>
        <v>0</v>
      </c>
      <c r="AD15" s="84" t="str">
        <f t="shared" si="10"/>
        <v>***</v>
      </c>
      <c r="AE15" s="71"/>
      <c r="AF15" s="71">
        <f>+IFERROR(VLOOKUP($A15,'Goals &amp; Budget 2026'!$A$2:$EJ$49,124,FALSE),0)</f>
        <v>0</v>
      </c>
      <c r="AG15" s="231" t="str">
        <f t="shared" si="11"/>
        <v>***</v>
      </c>
      <c r="AH15" s="71"/>
      <c r="AI15" s="71">
        <f>+IFERROR(VLOOKUP($A15,'Goals &amp; Budget 2026'!$A$2:$EJ$49,125,FALSE),0)</f>
        <v>0</v>
      </c>
      <c r="AJ15" s="84" t="str">
        <f t="shared" si="12"/>
        <v>***</v>
      </c>
      <c r="AK15" s="71"/>
      <c r="AL15" s="71">
        <f>+IFERROR(VLOOKUP($A15,'Goals &amp; Budget 2026'!$A$2:$EJ$49,126,FALSE),0)</f>
        <v>0</v>
      </c>
      <c r="AM15" s="84" t="str">
        <f t="shared" si="13"/>
        <v>***</v>
      </c>
      <c r="AN15" s="71"/>
      <c r="AO15" s="71">
        <f>+IFERROR(VLOOKUP($A15,'Goals &amp; Budget 2026'!$A$2:$EJ$49,127,FALSE),0)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83">
        <f t="shared" si="0"/>
        <v>0</v>
      </c>
      <c r="E16" s="71">
        <f t="shared" si="1"/>
        <v>0</v>
      </c>
      <c r="F16" s="231" t="str">
        <f t="shared" si="2"/>
        <v>***</v>
      </c>
      <c r="G16" s="71"/>
      <c r="H16" s="71">
        <f>+IFERROR(VLOOKUP($A16,'Goals &amp; Budget 2026'!$A$2:$EJ$49,116,FALSE),0)</f>
        <v>0</v>
      </c>
      <c r="I16" s="84" t="str">
        <f t="shared" si="3"/>
        <v>***</v>
      </c>
      <c r="J16" s="71"/>
      <c r="K16" s="71">
        <f>+IFERROR(VLOOKUP($A16,'Goals &amp; Budget 2026'!$A$2:$EJ$49,117,FALSE),0)</f>
        <v>0</v>
      </c>
      <c r="L16" s="84" t="str">
        <f t="shared" si="4"/>
        <v>***</v>
      </c>
      <c r="M16" s="71"/>
      <c r="N16" s="71">
        <f>+IFERROR(VLOOKUP($A16,'Goals &amp; Budget 2026'!$A$2:$EJ$49,118,FALSE),0)</f>
        <v>0</v>
      </c>
      <c r="O16" s="231" t="str">
        <f t="shared" si="5"/>
        <v>***</v>
      </c>
      <c r="P16" s="71"/>
      <c r="Q16" s="71">
        <f>+IFERROR(VLOOKUP($A16,'Goals &amp; Budget 2026'!$A$2:$EJ$49,119,FALSE),0)</f>
        <v>0</v>
      </c>
      <c r="R16" s="84" t="str">
        <f t="shared" si="6"/>
        <v>***</v>
      </c>
      <c r="S16" s="71"/>
      <c r="T16" s="71">
        <f>+IFERROR(VLOOKUP($A16,'Goals &amp; Budget 2026'!$A$2:$EJ$49,120,FALSE),0)</f>
        <v>0</v>
      </c>
      <c r="U16" s="84" t="str">
        <f t="shared" si="7"/>
        <v>***</v>
      </c>
      <c r="V16" s="71"/>
      <c r="W16" s="71">
        <f>+IFERROR(VLOOKUP($A16,'Goals &amp; Budget 2026'!$A$2:$EJ$49,121,FALSE),0)</f>
        <v>0</v>
      </c>
      <c r="X16" s="231" t="str">
        <f t="shared" si="8"/>
        <v>***</v>
      </c>
      <c r="Y16" s="71"/>
      <c r="Z16" s="71">
        <f>+IFERROR(VLOOKUP($A16,'Goals &amp; Budget 2026'!$A$2:$EJ$49,122,FALSE),0)</f>
        <v>0</v>
      </c>
      <c r="AA16" s="84" t="str">
        <f t="shared" si="9"/>
        <v>***</v>
      </c>
      <c r="AB16" s="71"/>
      <c r="AC16" s="71">
        <f>+IFERROR(VLOOKUP($A16,'Goals &amp; Budget 2026'!$A$2:$EJ$49,123,FALSE),0)</f>
        <v>0</v>
      </c>
      <c r="AD16" s="84" t="str">
        <f t="shared" si="10"/>
        <v>***</v>
      </c>
      <c r="AE16" s="71"/>
      <c r="AF16" s="71">
        <f>+IFERROR(VLOOKUP($A16,'Goals &amp; Budget 2026'!$A$2:$EJ$49,124,FALSE),0)</f>
        <v>0</v>
      </c>
      <c r="AG16" s="231" t="str">
        <f t="shared" si="11"/>
        <v>***</v>
      </c>
      <c r="AH16" s="71"/>
      <c r="AI16" s="71">
        <f>+IFERROR(VLOOKUP($A16,'Goals &amp; Budget 2026'!$A$2:$EJ$49,125,FALSE),0)</f>
        <v>0</v>
      </c>
      <c r="AJ16" s="84" t="str">
        <f t="shared" si="12"/>
        <v>***</v>
      </c>
      <c r="AK16" s="71"/>
      <c r="AL16" s="71">
        <f>+IFERROR(VLOOKUP($A16,'Goals &amp; Budget 2026'!$A$2:$EJ$49,126,FALSE),0)</f>
        <v>0</v>
      </c>
      <c r="AM16" s="84" t="str">
        <f t="shared" si="13"/>
        <v>***</v>
      </c>
      <c r="AN16" s="71"/>
      <c r="AO16" s="71">
        <f>+IFERROR(VLOOKUP($A16,'Goals &amp; Budget 2026'!$A$2:$EJ$49,127,FALSE),0)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83">
        <f t="shared" si="0"/>
        <v>0</v>
      </c>
      <c r="E17" s="71">
        <f t="shared" si="1"/>
        <v>0</v>
      </c>
      <c r="F17" s="231" t="str">
        <f t="shared" si="2"/>
        <v>***</v>
      </c>
      <c r="G17" s="71"/>
      <c r="H17" s="71">
        <f>+IFERROR(VLOOKUP($A17,'Goals &amp; Budget 2026'!$A$2:$EJ$49,116,FALSE),0)</f>
        <v>0</v>
      </c>
      <c r="I17" s="84" t="str">
        <f t="shared" si="3"/>
        <v>***</v>
      </c>
      <c r="J17" s="71"/>
      <c r="K17" s="71">
        <f>+IFERROR(VLOOKUP($A17,'Goals &amp; Budget 2026'!$A$2:$EJ$49,117,FALSE),0)</f>
        <v>0</v>
      </c>
      <c r="L17" s="84" t="str">
        <f t="shared" si="4"/>
        <v>***</v>
      </c>
      <c r="M17" s="71"/>
      <c r="N17" s="71">
        <f>+IFERROR(VLOOKUP($A17,'Goals &amp; Budget 2026'!$A$2:$EJ$49,118,FALSE),0)</f>
        <v>0</v>
      </c>
      <c r="O17" s="231" t="str">
        <f t="shared" si="5"/>
        <v>***</v>
      </c>
      <c r="P17" s="71"/>
      <c r="Q17" s="71">
        <f>+IFERROR(VLOOKUP($A17,'Goals &amp; Budget 2026'!$A$2:$EJ$49,119,FALSE),0)</f>
        <v>0</v>
      </c>
      <c r="R17" s="84" t="str">
        <f t="shared" si="6"/>
        <v>***</v>
      </c>
      <c r="S17" s="71"/>
      <c r="T17" s="71">
        <f>+IFERROR(VLOOKUP($A17,'Goals &amp; Budget 2026'!$A$2:$EJ$49,120,FALSE),0)</f>
        <v>0</v>
      </c>
      <c r="U17" s="84" t="str">
        <f t="shared" si="7"/>
        <v>***</v>
      </c>
      <c r="V17" s="71"/>
      <c r="W17" s="71">
        <f>+IFERROR(VLOOKUP($A17,'Goals &amp; Budget 2026'!$A$2:$EJ$49,121,FALSE),0)</f>
        <v>0</v>
      </c>
      <c r="X17" s="231" t="str">
        <f t="shared" si="8"/>
        <v>***</v>
      </c>
      <c r="Y17" s="71"/>
      <c r="Z17" s="71">
        <f>+IFERROR(VLOOKUP($A17,'Goals &amp; Budget 2026'!$A$2:$EJ$49,122,FALSE),0)</f>
        <v>0</v>
      </c>
      <c r="AA17" s="84" t="str">
        <f t="shared" si="9"/>
        <v>***</v>
      </c>
      <c r="AB17" s="71"/>
      <c r="AC17" s="71">
        <f>+IFERROR(VLOOKUP($A17,'Goals &amp; Budget 2026'!$A$2:$EJ$49,123,FALSE),0)</f>
        <v>0</v>
      </c>
      <c r="AD17" s="84" t="str">
        <f t="shared" si="10"/>
        <v>***</v>
      </c>
      <c r="AE17" s="71"/>
      <c r="AF17" s="71">
        <f>+IFERROR(VLOOKUP($A17,'Goals &amp; Budget 2026'!$A$2:$EJ$49,124,FALSE),0)</f>
        <v>0</v>
      </c>
      <c r="AG17" s="231" t="str">
        <f t="shared" si="11"/>
        <v>***</v>
      </c>
      <c r="AH17" s="71"/>
      <c r="AI17" s="71">
        <f>+IFERROR(VLOOKUP($A17,'Goals &amp; Budget 2026'!$A$2:$EJ$49,125,FALSE),0)</f>
        <v>6.0000000000000001E-3</v>
      </c>
      <c r="AJ17" s="84">
        <f t="shared" si="12"/>
        <v>0</v>
      </c>
      <c r="AK17" s="71"/>
      <c r="AL17" s="71">
        <f>+IFERROR(VLOOKUP($A17,'Goals &amp; Budget 2026'!$A$2:$EJ$49,126,FALSE),0)</f>
        <v>3.5000000000000003E-2</v>
      </c>
      <c r="AM17" s="84">
        <f t="shared" si="13"/>
        <v>0</v>
      </c>
      <c r="AN17" s="71"/>
      <c r="AO17" s="71">
        <f>+IFERROR(VLOOKUP($A17,'Goals &amp; Budget 2026'!$A$2:$EJ$49,127,FALSE),0)</f>
        <v>6.4000000000000001E-2</v>
      </c>
      <c r="AP17" s="85">
        <f t="shared" si="14"/>
        <v>0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83">
        <f t="shared" si="0"/>
        <v>0</v>
      </c>
      <c r="E18" s="71">
        <f t="shared" si="1"/>
        <v>0</v>
      </c>
      <c r="F18" s="231" t="str">
        <f t="shared" si="2"/>
        <v>***</v>
      </c>
      <c r="G18" s="71"/>
      <c r="H18" s="71">
        <f>+IFERROR(VLOOKUP($A18,'Goals &amp; Budget 2026'!$A$2:$EJ$49,116,FALSE),0)</f>
        <v>0</v>
      </c>
      <c r="I18" s="84" t="str">
        <f t="shared" si="3"/>
        <v>***</v>
      </c>
      <c r="J18" s="71"/>
      <c r="K18" s="71">
        <f>+IFERROR(VLOOKUP($A18,'Goals &amp; Budget 2026'!$A$2:$EJ$49,117,FALSE),0)</f>
        <v>0</v>
      </c>
      <c r="L18" s="84" t="str">
        <f t="shared" si="4"/>
        <v>***</v>
      </c>
      <c r="M18" s="71"/>
      <c r="N18" s="71">
        <f>+IFERROR(VLOOKUP($A18,'Goals &amp; Budget 2026'!$A$2:$EJ$49,118,FALSE),0)</f>
        <v>0</v>
      </c>
      <c r="O18" s="231" t="str">
        <f t="shared" si="5"/>
        <v>***</v>
      </c>
      <c r="P18" s="71"/>
      <c r="Q18" s="71">
        <f>+IFERROR(VLOOKUP($A18,'Goals &amp; Budget 2026'!$A$2:$EJ$49,119,FALSE),0)</f>
        <v>0</v>
      </c>
      <c r="R18" s="84" t="str">
        <f t="shared" si="6"/>
        <v>***</v>
      </c>
      <c r="S18" s="71"/>
      <c r="T18" s="71">
        <f>+IFERROR(VLOOKUP($A18,'Goals &amp; Budget 2026'!$A$2:$EJ$49,120,FALSE),0)</f>
        <v>0</v>
      </c>
      <c r="U18" s="84" t="str">
        <f t="shared" si="7"/>
        <v>***</v>
      </c>
      <c r="V18" s="71"/>
      <c r="W18" s="71">
        <f>+IFERROR(VLOOKUP($A18,'Goals &amp; Budget 2026'!$A$2:$EJ$49,121,FALSE),0)</f>
        <v>0</v>
      </c>
      <c r="X18" s="231" t="str">
        <f t="shared" si="8"/>
        <v>***</v>
      </c>
      <c r="Y18" s="71"/>
      <c r="Z18" s="71">
        <f>+IFERROR(VLOOKUP($A18,'Goals &amp; Budget 2026'!$A$2:$EJ$49,122,FALSE),0)</f>
        <v>0</v>
      </c>
      <c r="AA18" s="84" t="str">
        <f t="shared" si="9"/>
        <v>***</v>
      </c>
      <c r="AB18" s="71"/>
      <c r="AC18" s="71">
        <f>+IFERROR(VLOOKUP($A18,'Goals &amp; Budget 2026'!$A$2:$EJ$49,123,FALSE),0)</f>
        <v>0</v>
      </c>
      <c r="AD18" s="84" t="str">
        <f t="shared" si="10"/>
        <v>***</v>
      </c>
      <c r="AE18" s="71"/>
      <c r="AF18" s="71">
        <f>+IFERROR(VLOOKUP($A18,'Goals &amp; Budget 2026'!$A$2:$EJ$49,124,FALSE),0)</f>
        <v>6.0000000000000001E-3</v>
      </c>
      <c r="AG18" s="231">
        <f t="shared" si="11"/>
        <v>0</v>
      </c>
      <c r="AH18" s="71"/>
      <c r="AI18" s="71">
        <f>+IFERROR(VLOOKUP($A18,'Goals &amp; Budget 2026'!$A$2:$EJ$49,125,FALSE),0)</f>
        <v>3.5000000000000003E-2</v>
      </c>
      <c r="AJ18" s="84">
        <f t="shared" si="12"/>
        <v>0</v>
      </c>
      <c r="AK18" s="71"/>
      <c r="AL18" s="71">
        <f>+IFERROR(VLOOKUP($A18,'Goals &amp; Budget 2026'!$A$2:$EJ$49,126,FALSE),0)</f>
        <v>6.4000000000000001E-2</v>
      </c>
      <c r="AM18" s="84">
        <f t="shared" si="13"/>
        <v>0</v>
      </c>
      <c r="AN18" s="71"/>
      <c r="AO18" s="71">
        <f>+IFERROR(VLOOKUP($A18,'Goals &amp; Budget 2026'!$A$2:$EJ$49,127,FALSE),0)</f>
        <v>9.4E-2</v>
      </c>
      <c r="AP18" s="85">
        <f t="shared" si="14"/>
        <v>0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83">
        <f t="shared" si="0"/>
        <v>0</v>
      </c>
      <c r="E19" s="71">
        <f t="shared" si="1"/>
        <v>0</v>
      </c>
      <c r="F19" s="231" t="str">
        <f t="shared" si="2"/>
        <v>***</v>
      </c>
      <c r="G19" s="71"/>
      <c r="H19" s="71">
        <f>+IFERROR(VLOOKUP($A19,'Goals &amp; Budget 2026'!$A$2:$EJ$49,116,FALSE),0)</f>
        <v>0</v>
      </c>
      <c r="I19" s="84" t="str">
        <f t="shared" si="3"/>
        <v>***</v>
      </c>
      <c r="J19" s="71"/>
      <c r="K19" s="71">
        <f>+IFERROR(VLOOKUP($A19,'Goals &amp; Budget 2026'!$A$2:$EJ$49,117,FALSE),0)</f>
        <v>0</v>
      </c>
      <c r="L19" s="84" t="str">
        <f t="shared" si="4"/>
        <v>***</v>
      </c>
      <c r="M19" s="71"/>
      <c r="N19" s="71">
        <f>+IFERROR(VLOOKUP($A19,'Goals &amp; Budget 2026'!$A$2:$EJ$49,118,FALSE),0)</f>
        <v>0</v>
      </c>
      <c r="O19" s="231" t="str">
        <f t="shared" si="5"/>
        <v>***</v>
      </c>
      <c r="P19" s="71"/>
      <c r="Q19" s="71">
        <f>+IFERROR(VLOOKUP($A19,'Goals &amp; Budget 2026'!$A$2:$EJ$49,119,FALSE),0)</f>
        <v>0</v>
      </c>
      <c r="R19" s="84" t="str">
        <f t="shared" si="6"/>
        <v>***</v>
      </c>
      <c r="S19" s="71"/>
      <c r="T19" s="71">
        <f>+IFERROR(VLOOKUP($A19,'Goals &amp; Budget 2026'!$A$2:$EJ$49,120,FALSE),0)</f>
        <v>0</v>
      </c>
      <c r="U19" s="84" t="str">
        <f t="shared" si="7"/>
        <v>***</v>
      </c>
      <c r="V19" s="71"/>
      <c r="W19" s="71">
        <f>+IFERROR(VLOOKUP($A19,'Goals &amp; Budget 2026'!$A$2:$EJ$49,121,FALSE),0)</f>
        <v>0</v>
      </c>
      <c r="X19" s="231" t="str">
        <f t="shared" si="8"/>
        <v>***</v>
      </c>
      <c r="Y19" s="71"/>
      <c r="Z19" s="71">
        <f>+IFERROR(VLOOKUP($A19,'Goals &amp; Budget 2026'!$A$2:$EJ$49,122,FALSE),0)</f>
        <v>0</v>
      </c>
      <c r="AA19" s="84" t="str">
        <f t="shared" si="9"/>
        <v>***</v>
      </c>
      <c r="AB19" s="71"/>
      <c r="AC19" s="71">
        <f>+IFERROR(VLOOKUP($A19,'Goals &amp; Budget 2026'!$A$2:$EJ$49,123,FALSE),0)</f>
        <v>6.0000000000000001E-3</v>
      </c>
      <c r="AD19" s="84">
        <f t="shared" si="10"/>
        <v>0</v>
      </c>
      <c r="AE19" s="71"/>
      <c r="AF19" s="71">
        <f>+IFERROR(VLOOKUP($A19,'Goals &amp; Budget 2026'!$A$2:$EJ$49,124,FALSE),0)</f>
        <v>3.5000000000000003E-2</v>
      </c>
      <c r="AG19" s="231">
        <f t="shared" si="11"/>
        <v>0</v>
      </c>
      <c r="AH19" s="71"/>
      <c r="AI19" s="71">
        <f>+IFERROR(VLOOKUP($A19,'Goals &amp; Budget 2026'!$A$2:$EJ$49,125,FALSE),0)</f>
        <v>6.4000000000000001E-2</v>
      </c>
      <c r="AJ19" s="84">
        <f t="shared" si="12"/>
        <v>0</v>
      </c>
      <c r="AK19" s="71"/>
      <c r="AL19" s="71">
        <f>+IFERROR(VLOOKUP($A19,'Goals &amp; Budget 2026'!$A$2:$EJ$49,126,FALSE),0)</f>
        <v>9.4E-2</v>
      </c>
      <c r="AM19" s="84">
        <f t="shared" si="13"/>
        <v>0</v>
      </c>
      <c r="AN19" s="71"/>
      <c r="AO19" s="71">
        <f>+IFERROR(VLOOKUP($A19,'Goals &amp; Budget 2026'!$A$2:$EJ$49,127,FALSE),0)</f>
        <v>0.124</v>
      </c>
      <c r="AP19" s="85">
        <f t="shared" si="14"/>
        <v>0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83">
        <f t="shared" si="0"/>
        <v>0</v>
      </c>
      <c r="E20" s="71">
        <f t="shared" si="1"/>
        <v>0</v>
      </c>
      <c r="F20" s="231" t="str">
        <f t="shared" si="2"/>
        <v>***</v>
      </c>
      <c r="G20" s="71"/>
      <c r="H20" s="71">
        <f>+IFERROR(VLOOKUP($A20,'Goals &amp; Budget 2026'!$A$2:$EJ$49,116,FALSE),0)</f>
        <v>0</v>
      </c>
      <c r="I20" s="84" t="str">
        <f t="shared" si="3"/>
        <v>***</v>
      </c>
      <c r="J20" s="71"/>
      <c r="K20" s="71">
        <f>+IFERROR(VLOOKUP($A20,'Goals &amp; Budget 2026'!$A$2:$EJ$49,117,FALSE),0)</f>
        <v>0</v>
      </c>
      <c r="L20" s="84" t="str">
        <f t="shared" si="4"/>
        <v>***</v>
      </c>
      <c r="M20" s="71"/>
      <c r="N20" s="71">
        <f>+IFERROR(VLOOKUP($A20,'Goals &amp; Budget 2026'!$A$2:$EJ$49,118,FALSE),0)</f>
        <v>0</v>
      </c>
      <c r="O20" s="231" t="str">
        <f t="shared" si="5"/>
        <v>***</v>
      </c>
      <c r="P20" s="71"/>
      <c r="Q20" s="71">
        <f>+IFERROR(VLOOKUP($A20,'Goals &amp; Budget 2026'!$A$2:$EJ$49,119,FALSE),0)</f>
        <v>0</v>
      </c>
      <c r="R20" s="84" t="str">
        <f t="shared" si="6"/>
        <v>***</v>
      </c>
      <c r="S20" s="71"/>
      <c r="T20" s="71">
        <f>+IFERROR(VLOOKUP($A20,'Goals &amp; Budget 2026'!$A$2:$EJ$49,120,FALSE),0)</f>
        <v>0</v>
      </c>
      <c r="U20" s="84" t="str">
        <f t="shared" si="7"/>
        <v>***</v>
      </c>
      <c r="V20" s="71"/>
      <c r="W20" s="71">
        <f>+IFERROR(VLOOKUP($A20,'Goals &amp; Budget 2026'!$A$2:$EJ$49,121,FALSE),0)</f>
        <v>0</v>
      </c>
      <c r="X20" s="231" t="str">
        <f t="shared" si="8"/>
        <v>***</v>
      </c>
      <c r="Y20" s="71"/>
      <c r="Z20" s="71">
        <f>+IFERROR(VLOOKUP($A20,'Goals &amp; Budget 2026'!$A$2:$EJ$49,122,FALSE),0)</f>
        <v>0</v>
      </c>
      <c r="AA20" s="84" t="str">
        <f t="shared" si="9"/>
        <v>***</v>
      </c>
      <c r="AB20" s="71"/>
      <c r="AC20" s="71">
        <f>+IFERROR(VLOOKUP($A20,'Goals &amp; Budget 2026'!$A$2:$EJ$49,123,FALSE),0)</f>
        <v>6.0000000000000001E-3</v>
      </c>
      <c r="AD20" s="84">
        <f t="shared" si="10"/>
        <v>0</v>
      </c>
      <c r="AE20" s="71"/>
      <c r="AF20" s="71">
        <f>+IFERROR(VLOOKUP($A20,'Goals &amp; Budget 2026'!$A$2:$EJ$49,124,FALSE),0)</f>
        <v>3.5000000000000003E-2</v>
      </c>
      <c r="AG20" s="231">
        <f t="shared" si="11"/>
        <v>0</v>
      </c>
      <c r="AH20" s="71"/>
      <c r="AI20" s="71">
        <f>+IFERROR(VLOOKUP($A20,'Goals &amp; Budget 2026'!$A$2:$EJ$49,125,FALSE),0)</f>
        <v>6.4000000000000001E-2</v>
      </c>
      <c r="AJ20" s="84">
        <f t="shared" si="12"/>
        <v>0</v>
      </c>
      <c r="AK20" s="71"/>
      <c r="AL20" s="71">
        <f>+IFERROR(VLOOKUP($A20,'Goals &amp; Budget 2026'!$A$2:$EJ$49,126,FALSE),0)</f>
        <v>9.4E-2</v>
      </c>
      <c r="AM20" s="84">
        <f t="shared" si="13"/>
        <v>0</v>
      </c>
      <c r="AN20" s="71"/>
      <c r="AO20" s="71">
        <f>+IFERROR(VLOOKUP($A20,'Goals &amp; Budget 2026'!$A$2:$EJ$49,127,FALSE),0)</f>
        <v>0.124</v>
      </c>
      <c r="AP20" s="85">
        <f t="shared" si="14"/>
        <v>0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83">
        <f t="shared" si="0"/>
        <v>0</v>
      </c>
      <c r="E21" s="71">
        <f t="shared" si="1"/>
        <v>0.01</v>
      </c>
      <c r="F21" s="231">
        <f t="shared" si="2"/>
        <v>0</v>
      </c>
      <c r="G21" s="71"/>
      <c r="H21" s="71">
        <f>+IFERROR(VLOOKUP($A21,'Goals &amp; Budget 2026'!$A$2:$EJ$49,116,FALSE),0)</f>
        <v>0.01</v>
      </c>
      <c r="I21" s="84">
        <f t="shared" si="3"/>
        <v>0</v>
      </c>
      <c r="J21" s="71"/>
      <c r="K21" s="71">
        <f>+IFERROR(VLOOKUP($A21,'Goals &amp; Budget 2026'!$A$2:$EJ$49,117,FALSE),0)</f>
        <v>0.02</v>
      </c>
      <c r="L21" s="84">
        <f t="shared" si="4"/>
        <v>0</v>
      </c>
      <c r="M21" s="71"/>
      <c r="N21" s="71">
        <f>+IFERROR(VLOOKUP($A21,'Goals &amp; Budget 2026'!$A$2:$EJ$49,118,FALSE),0)</f>
        <v>0.04</v>
      </c>
      <c r="O21" s="231">
        <f t="shared" si="5"/>
        <v>0</v>
      </c>
      <c r="P21" s="71"/>
      <c r="Q21" s="71">
        <f>+IFERROR(VLOOKUP($A21,'Goals &amp; Budget 2026'!$A$2:$EJ$49,119,FALSE),0)</f>
        <v>0.06</v>
      </c>
      <c r="R21" s="84">
        <f t="shared" si="6"/>
        <v>0</v>
      </c>
      <c r="S21" s="71"/>
      <c r="T21" s="71">
        <f>+IFERROR(VLOOKUP($A21,'Goals &amp; Budget 2026'!$A$2:$EJ$49,120,FALSE),0)</f>
        <v>0.08</v>
      </c>
      <c r="U21" s="84">
        <f t="shared" si="7"/>
        <v>0</v>
      </c>
      <c r="V21" s="71"/>
      <c r="W21" s="71">
        <f>+IFERROR(VLOOKUP($A21,'Goals &amp; Budget 2026'!$A$2:$EJ$49,121,FALSE),0)</f>
        <v>0.1</v>
      </c>
      <c r="X21" s="231">
        <f t="shared" si="8"/>
        <v>0</v>
      </c>
      <c r="Y21" s="71"/>
      <c r="Z21" s="71">
        <f>+IFERROR(VLOOKUP($A21,'Goals &amp; Budget 2026'!$A$2:$EJ$49,122,FALSE),0)</f>
        <v>0.12</v>
      </c>
      <c r="AA21" s="84">
        <f t="shared" si="9"/>
        <v>0</v>
      </c>
      <c r="AB21" s="71"/>
      <c r="AC21" s="71">
        <f>+IFERROR(VLOOKUP($A21,'Goals &amp; Budget 2026'!$A$2:$EJ$49,123,FALSE),0)</f>
        <v>0.14000000000000001</v>
      </c>
      <c r="AD21" s="84">
        <f t="shared" si="10"/>
        <v>0</v>
      </c>
      <c r="AE21" s="71"/>
      <c r="AF21" s="71">
        <f>+IFERROR(VLOOKUP($A21,'Goals &amp; Budget 2026'!$A$2:$EJ$49,124,FALSE),0)</f>
        <v>0.16</v>
      </c>
      <c r="AG21" s="231">
        <f t="shared" si="11"/>
        <v>0</v>
      </c>
      <c r="AH21" s="71"/>
      <c r="AI21" s="71">
        <f>+IFERROR(VLOOKUP($A21,'Goals &amp; Budget 2026'!$A$2:$EJ$49,125,FALSE),0)</f>
        <v>0.2</v>
      </c>
      <c r="AJ21" s="84">
        <f t="shared" si="12"/>
        <v>0</v>
      </c>
      <c r="AK21" s="71"/>
      <c r="AL21" s="71">
        <f>+IFERROR(VLOOKUP($A21,'Goals &amp; Budget 2026'!$A$2:$EJ$49,126,FALSE),0)</f>
        <v>0.22</v>
      </c>
      <c r="AM21" s="84">
        <f t="shared" si="13"/>
        <v>0</v>
      </c>
      <c r="AN21" s="71"/>
      <c r="AO21" s="71">
        <f>+IFERROR(VLOOKUP($A21,'Goals &amp; Budget 2026'!$A$2:$EJ$49,127,FALSE),0)</f>
        <v>0.24</v>
      </c>
      <c r="AP21" s="85">
        <f t="shared" si="14"/>
        <v>0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83">
        <f t="shared" si="0"/>
        <v>0</v>
      </c>
      <c r="E22" s="71">
        <f t="shared" si="1"/>
        <v>0.01</v>
      </c>
      <c r="F22" s="231">
        <f t="shared" si="2"/>
        <v>0</v>
      </c>
      <c r="G22" s="71"/>
      <c r="H22" s="71">
        <f>+IFERROR(VLOOKUP($A22,'Goals &amp; Budget 2026'!$A$2:$EJ$49,116,FALSE),0)</f>
        <v>0.01</v>
      </c>
      <c r="I22" s="84">
        <f t="shared" si="3"/>
        <v>0</v>
      </c>
      <c r="J22" s="71"/>
      <c r="K22" s="71">
        <f>+IFERROR(VLOOKUP($A22,'Goals &amp; Budget 2026'!$A$2:$EJ$49,117,FALSE),0)</f>
        <v>0.02</v>
      </c>
      <c r="L22" s="84">
        <f t="shared" si="4"/>
        <v>0</v>
      </c>
      <c r="M22" s="71"/>
      <c r="N22" s="71">
        <f>+IFERROR(VLOOKUP($A22,'Goals &amp; Budget 2026'!$A$2:$EJ$49,118,FALSE),0)</f>
        <v>0.04</v>
      </c>
      <c r="O22" s="231">
        <f t="shared" si="5"/>
        <v>0</v>
      </c>
      <c r="P22" s="71"/>
      <c r="Q22" s="71">
        <f>+IFERROR(VLOOKUP($A22,'Goals &amp; Budget 2026'!$A$2:$EJ$49,119,FALSE),0)</f>
        <v>0.06</v>
      </c>
      <c r="R22" s="84">
        <f t="shared" si="6"/>
        <v>0</v>
      </c>
      <c r="S22" s="71"/>
      <c r="T22" s="71">
        <f>+IFERROR(VLOOKUP($A22,'Goals &amp; Budget 2026'!$A$2:$EJ$49,120,FALSE),0)</f>
        <v>0.08</v>
      </c>
      <c r="U22" s="84">
        <f t="shared" si="7"/>
        <v>0</v>
      </c>
      <c r="V22" s="71"/>
      <c r="W22" s="71">
        <f>+IFERROR(VLOOKUP($A22,'Goals &amp; Budget 2026'!$A$2:$EJ$49,121,FALSE),0)</f>
        <v>0.1</v>
      </c>
      <c r="X22" s="231">
        <f t="shared" si="8"/>
        <v>0</v>
      </c>
      <c r="Y22" s="71"/>
      <c r="Z22" s="71">
        <f>+IFERROR(VLOOKUP($A22,'Goals &amp; Budget 2026'!$A$2:$EJ$49,122,FALSE),0)</f>
        <v>0.12</v>
      </c>
      <c r="AA22" s="84">
        <f t="shared" si="9"/>
        <v>0</v>
      </c>
      <c r="AB22" s="71"/>
      <c r="AC22" s="71">
        <f>+IFERROR(VLOOKUP($A22,'Goals &amp; Budget 2026'!$A$2:$EJ$49,123,FALSE),0)</f>
        <v>0.14000000000000001</v>
      </c>
      <c r="AD22" s="84">
        <f t="shared" si="10"/>
        <v>0</v>
      </c>
      <c r="AE22" s="71"/>
      <c r="AF22" s="71">
        <f>+IFERROR(VLOOKUP($A22,'Goals &amp; Budget 2026'!$A$2:$EJ$49,124,FALSE),0)</f>
        <v>0.16</v>
      </c>
      <c r="AG22" s="231">
        <f t="shared" si="11"/>
        <v>0</v>
      </c>
      <c r="AH22" s="71"/>
      <c r="AI22" s="71">
        <f>+IFERROR(VLOOKUP($A22,'Goals &amp; Budget 2026'!$A$2:$EJ$49,125,FALSE),0)</f>
        <v>0.2</v>
      </c>
      <c r="AJ22" s="84">
        <f t="shared" si="12"/>
        <v>0</v>
      </c>
      <c r="AK22" s="71"/>
      <c r="AL22" s="71">
        <f>+IFERROR(VLOOKUP($A22,'Goals &amp; Budget 2026'!$A$2:$EJ$49,126,FALSE),0)</f>
        <v>0.22</v>
      </c>
      <c r="AM22" s="84">
        <f t="shared" si="13"/>
        <v>0</v>
      </c>
      <c r="AN22" s="71"/>
      <c r="AO22" s="71">
        <f>+IFERROR(VLOOKUP($A22,'Goals &amp; Budget 2026'!$A$2:$EJ$49,127,FALSE),0)</f>
        <v>0.24</v>
      </c>
      <c r="AP22" s="85">
        <f t="shared" si="14"/>
        <v>0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83">
        <f t="shared" ref="D23:D47" si="15">+G23</f>
        <v>0</v>
      </c>
      <c r="E23" s="71">
        <f t="shared" ref="E23:E47" si="16">+H23</f>
        <v>6.0000000000000001E-3</v>
      </c>
      <c r="F23" s="231">
        <f t="shared" ref="F23:F47" si="17">IF(AND(D23&gt;0,E23&gt;0),D23/E23,IF(AND(D23&gt;0,E23=0),100%,IF(AND(D23=0,E23&gt;0),0,IF(AND(D23=0,E23=0),"***",0))))</f>
        <v>0</v>
      </c>
      <c r="G23" s="71"/>
      <c r="H23" s="71">
        <f>+IFERROR(VLOOKUP($A23,'Goals &amp; Budget 2026'!$A$2:$EJ$49,116,FALSE),0)</f>
        <v>6.0000000000000001E-3</v>
      </c>
      <c r="I23" s="84">
        <f t="shared" ref="I23:I47" si="18">IF(AND(G23&gt;0,H23&gt;0),G23/H23,IF(AND(G23&gt;0,H23=0),100%,IF(AND(G23=0,H23&gt;0),0,IF(AND(G23=0,H23=0),"***",0))))</f>
        <v>0</v>
      </c>
      <c r="J23" s="71"/>
      <c r="K23" s="71">
        <f>+IFERROR(VLOOKUP($A23,'Goals &amp; Budget 2026'!$A$2:$EJ$49,117,FALSE),0)</f>
        <v>3.5000000000000003E-2</v>
      </c>
      <c r="L23" s="84">
        <f t="shared" ref="L23:L47" si="19">IF(AND(J23&gt;0,K23&gt;0),J23/K23,IF(AND(J23&gt;0,K23=0),100%,IF(AND(J23=0,K23&gt;0),0,IF(AND(J23=0,K23=0),"***",0))))</f>
        <v>0</v>
      </c>
      <c r="M23" s="71"/>
      <c r="N23" s="71">
        <f>+IFERROR(VLOOKUP($A23,'Goals &amp; Budget 2026'!$A$2:$EJ$49,118,FALSE),0)</f>
        <v>6.4000000000000001E-2</v>
      </c>
      <c r="O23" s="231">
        <f t="shared" ref="O23:O47" si="20">IF(AND(M23&gt;0,N23&gt;0),M23/N23,IF(AND(M23&gt;0,N23=0),100%,IF(AND(M23=0,N23&gt;0),0,IF(AND(M23=0,N23=0),"***",0))))</f>
        <v>0</v>
      </c>
      <c r="P23" s="71"/>
      <c r="Q23" s="71">
        <f>+IFERROR(VLOOKUP($A23,'Goals &amp; Budget 2026'!$A$2:$EJ$49,119,FALSE),0)</f>
        <v>9.4E-2</v>
      </c>
      <c r="R23" s="84">
        <f t="shared" ref="R23:R47" si="21">IF(AND(P23&gt;0,Q23&gt;0),P23/Q23,IF(AND(P23&gt;0,Q23=0),100%,IF(AND(P23=0,Q23&gt;0),0,IF(AND(P23=0,Q23=0),"***",0))))</f>
        <v>0</v>
      </c>
      <c r="S23" s="71"/>
      <c r="T23" s="71">
        <f>+IFERROR(VLOOKUP($A23,'Goals &amp; Budget 2026'!$A$2:$EJ$49,120,FALSE),0)</f>
        <v>0.124</v>
      </c>
      <c r="U23" s="84">
        <f t="shared" ref="U23:U47" si="22">IF(AND(S23&gt;0,T23&gt;0),S23/T23,IF(AND(S23&gt;0,T23=0),100%,IF(AND(S23=0,T23&gt;0),0,IF(AND(S23=0,T23=0),"***",0))))</f>
        <v>0</v>
      </c>
      <c r="V23" s="71"/>
      <c r="W23" s="71">
        <f>+IFERROR(VLOOKUP($A23,'Goals &amp; Budget 2026'!$A$2:$EJ$49,121,FALSE),0)</f>
        <v>0.156</v>
      </c>
      <c r="X23" s="231">
        <f t="shared" ref="X23:X47" si="23">IF(AND(V23&gt;0,W23&gt;0),V23/W23,IF(AND(V23&gt;0,W23=0),100%,IF(AND(V23=0,W23&gt;0),0,IF(AND(V23=0,W23=0),"***",0))))</f>
        <v>0</v>
      </c>
      <c r="Y23" s="71"/>
      <c r="Z23" s="71">
        <f>+IFERROR(VLOOKUP($A23,'Goals &amp; Budget 2026'!$A$2:$EJ$49,122,FALSE),0)</f>
        <v>0.191</v>
      </c>
      <c r="AA23" s="84">
        <f t="shared" ref="AA23:AA47" si="24">IF(AND(Y23&gt;0,Z23&gt;0),Y23/Z23,IF(AND(Y23&gt;0,Z23=0),100%,IF(AND(Y23=0,Z23&gt;0),0,IF(AND(Y23=0,Z23=0),"***",0))))</f>
        <v>0</v>
      </c>
      <c r="AB23" s="71"/>
      <c r="AC23" s="71">
        <f>+IFERROR(VLOOKUP($A23,'Goals &amp; Budget 2026'!$A$2:$EJ$49,123,FALSE),0)</f>
        <v>0.22600000000000001</v>
      </c>
      <c r="AD23" s="84">
        <f t="shared" ref="AD23:AD47" si="25">IF(AND(AB23&gt;0,AC23&gt;0),AB23/AC23,IF(AND(AB23&gt;0,AC23=0),100%,IF(AND(AB23=0,AC23&gt;0),0,IF(AND(AB23=0,AC23=0),"***",0))))</f>
        <v>0</v>
      </c>
      <c r="AE23" s="71"/>
      <c r="AF23" s="71">
        <f>+IFERROR(VLOOKUP($A23,'Goals &amp; Budget 2026'!$A$2:$EJ$49,124,FALSE),0)</f>
        <v>0.26700000000000002</v>
      </c>
      <c r="AG23" s="231">
        <f t="shared" ref="AG23:AG47" si="26">IF(AND(AE23&gt;0,AF23&gt;0),AE23/AF23,IF(AND(AE23&gt;0,AF23=0),100%,IF(AND(AE23=0,AF23&gt;0),0,IF(AND(AE23=0,AF23=0),"***",0))))</f>
        <v>0</v>
      </c>
      <c r="AH23" s="71"/>
      <c r="AI23" s="71">
        <f>+IFERROR(VLOOKUP($A23,'Goals &amp; Budget 2026'!$A$2:$EJ$49,125,FALSE),0)</f>
        <v>0.316</v>
      </c>
      <c r="AJ23" s="84">
        <f t="shared" ref="AJ23:AJ47" si="27">IF(AND(AH23&gt;0,AI23&gt;0),AH23/AI23,IF(AND(AH23&gt;0,AI23=0),100%,IF(AND(AH23=0,AI23&gt;0),0,IF(AND(AH23=0,AI23=0),"***",0))))</f>
        <v>0</v>
      </c>
      <c r="AK23" s="71"/>
      <c r="AL23" s="71">
        <f>+IFERROR(VLOOKUP($A23,'Goals &amp; Budget 2026'!$A$2:$EJ$49,126,FALSE),0)</f>
        <v>0.36799999999999999</v>
      </c>
      <c r="AM23" s="84">
        <f t="shared" ref="AM23:AM47" si="28">IF(AND(AK23&gt;0,AL23&gt;0),AK23/AL23,IF(AND(AK23&gt;0,AL23=0),100%,IF(AND(AK23=0,AL23&gt;0),0,IF(AND(AK23=0,AL23=0),"***",0))))</f>
        <v>0</v>
      </c>
      <c r="AN23" s="71"/>
      <c r="AO23" s="71">
        <f>+IFERROR(VLOOKUP($A23,'Goals &amp; Budget 2026'!$A$2:$EJ$49,127,FALSE),0)</f>
        <v>0.42199999999999999</v>
      </c>
      <c r="AP23" s="85">
        <f t="shared" ref="AP23:AP47" si="29">IF(AND(AN23&gt;0,AO23&gt;0),AN23/AO23,IF(AND(AN23&gt;0,AO23=0),100%,IF(AND(AN23=0,AO23&gt;0),0,IF(AND(AN23=0,AO23=0),"***",0))))</f>
        <v>0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83">
        <f t="shared" si="15"/>
        <v>0</v>
      </c>
      <c r="E24" s="71">
        <f t="shared" si="16"/>
        <v>0</v>
      </c>
      <c r="F24" s="231" t="str">
        <f t="shared" si="17"/>
        <v>***</v>
      </c>
      <c r="G24" s="71"/>
      <c r="H24" s="71">
        <f>+IFERROR(VLOOKUP($A24,'Goals &amp; Budget 2026'!$A$2:$EJ$49,116,FALSE),0)</f>
        <v>0</v>
      </c>
      <c r="I24" s="84" t="str">
        <f t="shared" si="18"/>
        <v>***</v>
      </c>
      <c r="J24" s="71"/>
      <c r="K24" s="71">
        <f>+IFERROR(VLOOKUP($A24,'Goals &amp; Budget 2026'!$A$2:$EJ$49,117,FALSE),0)</f>
        <v>0</v>
      </c>
      <c r="L24" s="84" t="str">
        <f t="shared" si="19"/>
        <v>***</v>
      </c>
      <c r="M24" s="71"/>
      <c r="N24" s="71">
        <f>+IFERROR(VLOOKUP($A24,'Goals &amp; Budget 2026'!$A$2:$EJ$49,118,FALSE),0)</f>
        <v>0</v>
      </c>
      <c r="O24" s="231" t="str">
        <f t="shared" si="20"/>
        <v>***</v>
      </c>
      <c r="P24" s="71"/>
      <c r="Q24" s="71">
        <f>+IFERROR(VLOOKUP($A24,'Goals &amp; Budget 2026'!$A$2:$EJ$49,119,FALSE),0)</f>
        <v>0</v>
      </c>
      <c r="R24" s="84" t="str">
        <f t="shared" si="21"/>
        <v>***</v>
      </c>
      <c r="S24" s="71"/>
      <c r="T24" s="71">
        <f>+IFERROR(VLOOKUP($A24,'Goals &amp; Budget 2026'!$A$2:$EJ$49,120,FALSE),0)</f>
        <v>0</v>
      </c>
      <c r="U24" s="84" t="str">
        <f t="shared" si="22"/>
        <v>***</v>
      </c>
      <c r="V24" s="71"/>
      <c r="W24" s="71">
        <f>+IFERROR(VLOOKUP($A24,'Goals &amp; Budget 2026'!$A$2:$EJ$49,121,FALSE),0)</f>
        <v>0</v>
      </c>
      <c r="X24" s="231" t="str">
        <f t="shared" si="23"/>
        <v>***</v>
      </c>
      <c r="Y24" s="71"/>
      <c r="Z24" s="71">
        <f>+IFERROR(VLOOKUP($A24,'Goals &amp; Budget 2026'!$A$2:$EJ$49,122,FALSE),0)</f>
        <v>0</v>
      </c>
      <c r="AA24" s="84" t="str">
        <f t="shared" si="24"/>
        <v>***</v>
      </c>
      <c r="AB24" s="71"/>
      <c r="AC24" s="71">
        <f>+IFERROR(VLOOKUP($A24,'Goals &amp; Budget 2026'!$A$2:$EJ$49,123,FALSE),0)</f>
        <v>0</v>
      </c>
      <c r="AD24" s="84" t="str">
        <f t="shared" si="25"/>
        <v>***</v>
      </c>
      <c r="AE24" s="71"/>
      <c r="AF24" s="71">
        <f>+IFERROR(VLOOKUP($A24,'Goals &amp; Budget 2026'!$A$2:$EJ$49,124,FALSE),0)</f>
        <v>0</v>
      </c>
      <c r="AG24" s="231" t="str">
        <f t="shared" si="26"/>
        <v>***</v>
      </c>
      <c r="AH24" s="71"/>
      <c r="AI24" s="71">
        <f>+IFERROR(VLOOKUP($A24,'Goals &amp; Budget 2026'!$A$2:$EJ$49,125,FALSE),0)</f>
        <v>0</v>
      </c>
      <c r="AJ24" s="84" t="str">
        <f t="shared" si="27"/>
        <v>***</v>
      </c>
      <c r="AK24" s="71"/>
      <c r="AL24" s="71">
        <f>+IFERROR(VLOOKUP($A24,'Goals &amp; Budget 2026'!$A$2:$EJ$49,126,FALSE),0)</f>
        <v>0</v>
      </c>
      <c r="AM24" s="84" t="str">
        <f t="shared" si="28"/>
        <v>***</v>
      </c>
      <c r="AN24" s="71"/>
      <c r="AO24" s="71">
        <f>+IFERROR(VLOOKUP($A24,'Goals &amp; Budget 2026'!$A$2:$EJ$49,127,FALSE),0)</f>
        <v>0</v>
      </c>
      <c r="AP24" s="85" t="str">
        <f t="shared" si="29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83">
        <f t="shared" si="15"/>
        <v>0</v>
      </c>
      <c r="E25" s="71">
        <f t="shared" si="16"/>
        <v>0</v>
      </c>
      <c r="F25" s="231" t="str">
        <f t="shared" si="17"/>
        <v>***</v>
      </c>
      <c r="G25" s="71"/>
      <c r="H25" s="71">
        <f>+IFERROR(VLOOKUP($A25,'Goals &amp; Budget 2026'!$A$2:$EJ$49,116,FALSE),0)</f>
        <v>0</v>
      </c>
      <c r="I25" s="84" t="str">
        <f t="shared" si="18"/>
        <v>***</v>
      </c>
      <c r="J25" s="71"/>
      <c r="K25" s="71">
        <f>+IFERROR(VLOOKUP($A25,'Goals &amp; Budget 2026'!$A$2:$EJ$49,117,FALSE),0)</f>
        <v>0</v>
      </c>
      <c r="L25" s="84" t="str">
        <f t="shared" si="19"/>
        <v>***</v>
      </c>
      <c r="M25" s="71"/>
      <c r="N25" s="71">
        <f>+IFERROR(VLOOKUP($A25,'Goals &amp; Budget 2026'!$A$2:$EJ$49,118,FALSE),0)</f>
        <v>0</v>
      </c>
      <c r="O25" s="231" t="str">
        <f t="shared" si="20"/>
        <v>***</v>
      </c>
      <c r="P25" s="71"/>
      <c r="Q25" s="71">
        <f>+IFERROR(VLOOKUP($A25,'Goals &amp; Budget 2026'!$A$2:$EJ$49,119,FALSE),0)</f>
        <v>0</v>
      </c>
      <c r="R25" s="84" t="str">
        <f t="shared" si="21"/>
        <v>***</v>
      </c>
      <c r="S25" s="71"/>
      <c r="T25" s="71">
        <f>+IFERROR(VLOOKUP($A25,'Goals &amp; Budget 2026'!$A$2:$EJ$49,120,FALSE),0)</f>
        <v>0</v>
      </c>
      <c r="U25" s="84" t="str">
        <f t="shared" si="22"/>
        <v>***</v>
      </c>
      <c r="V25" s="71"/>
      <c r="W25" s="71">
        <f>+IFERROR(VLOOKUP($A25,'Goals &amp; Budget 2026'!$A$2:$EJ$49,121,FALSE),0)</f>
        <v>0</v>
      </c>
      <c r="X25" s="231" t="str">
        <f t="shared" si="23"/>
        <v>***</v>
      </c>
      <c r="Y25" s="71"/>
      <c r="Z25" s="71">
        <f>+IFERROR(VLOOKUP($A25,'Goals &amp; Budget 2026'!$A$2:$EJ$49,122,FALSE),0)</f>
        <v>0</v>
      </c>
      <c r="AA25" s="84" t="str">
        <f t="shared" si="24"/>
        <v>***</v>
      </c>
      <c r="AB25" s="71"/>
      <c r="AC25" s="71">
        <f>+IFERROR(VLOOKUP($A25,'Goals &amp; Budget 2026'!$A$2:$EJ$49,123,FALSE),0)</f>
        <v>0</v>
      </c>
      <c r="AD25" s="84" t="str">
        <f t="shared" si="25"/>
        <v>***</v>
      </c>
      <c r="AE25" s="71"/>
      <c r="AF25" s="71">
        <f>+IFERROR(VLOOKUP($A25,'Goals &amp; Budget 2026'!$A$2:$EJ$49,124,FALSE),0)</f>
        <v>0</v>
      </c>
      <c r="AG25" s="231" t="str">
        <f t="shared" si="26"/>
        <v>***</v>
      </c>
      <c r="AH25" s="71"/>
      <c r="AI25" s="71">
        <f>+IFERROR(VLOOKUP($A25,'Goals &amp; Budget 2026'!$A$2:$EJ$49,125,FALSE),0)</f>
        <v>0</v>
      </c>
      <c r="AJ25" s="84" t="str">
        <f t="shared" si="27"/>
        <v>***</v>
      </c>
      <c r="AK25" s="71"/>
      <c r="AL25" s="71">
        <f>+IFERROR(VLOOKUP($A25,'Goals &amp; Budget 2026'!$A$2:$EJ$49,126,FALSE),0)</f>
        <v>0</v>
      </c>
      <c r="AM25" s="84" t="str">
        <f t="shared" si="28"/>
        <v>***</v>
      </c>
      <c r="AN25" s="71"/>
      <c r="AO25" s="71">
        <f>+IFERROR(VLOOKUP($A25,'Goals &amp; Budget 2026'!$A$2:$EJ$49,127,FALSE),0)</f>
        <v>0</v>
      </c>
      <c r="AP25" s="85" t="str">
        <f t="shared" si="29"/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64">
        <f t="shared" si="15"/>
        <v>0</v>
      </c>
      <c r="E26" s="52">
        <f t="shared" si="16"/>
        <v>0</v>
      </c>
      <c r="F26" s="232" t="str">
        <f t="shared" si="17"/>
        <v>***</v>
      </c>
      <c r="G26" s="52"/>
      <c r="H26" s="52">
        <f>+IFERROR(VLOOKUP($A26,'Goals &amp; Budget 2026'!$A$2:$EJ$49,116,FALSE),0)</f>
        <v>0</v>
      </c>
      <c r="I26" s="65" t="str">
        <f t="shared" si="18"/>
        <v>***</v>
      </c>
      <c r="J26" s="52"/>
      <c r="K26" s="52">
        <f>+IFERROR(VLOOKUP($A26,'Goals &amp; Budget 2026'!$A$2:$EJ$49,117,FALSE),0)</f>
        <v>0</v>
      </c>
      <c r="L26" s="65" t="str">
        <f t="shared" si="19"/>
        <v>***</v>
      </c>
      <c r="M26" s="52"/>
      <c r="N26" s="52">
        <f>+IFERROR(VLOOKUP($A26,'Goals &amp; Budget 2026'!$A$2:$EJ$49,118,FALSE),0)</f>
        <v>0</v>
      </c>
      <c r="O26" s="232" t="str">
        <f t="shared" si="20"/>
        <v>***</v>
      </c>
      <c r="P26" s="52"/>
      <c r="Q26" s="52">
        <f>+IFERROR(VLOOKUP($A26,'Goals &amp; Budget 2026'!$A$2:$EJ$49,119,FALSE),0)</f>
        <v>0</v>
      </c>
      <c r="R26" s="65" t="str">
        <f t="shared" si="21"/>
        <v>***</v>
      </c>
      <c r="S26" s="52"/>
      <c r="T26" s="52">
        <f>+IFERROR(VLOOKUP($A26,'Goals &amp; Budget 2026'!$A$2:$EJ$49,120,FALSE),0)</f>
        <v>0</v>
      </c>
      <c r="U26" s="65" t="str">
        <f t="shared" si="22"/>
        <v>***</v>
      </c>
      <c r="V26" s="52"/>
      <c r="W26" s="52">
        <f>+IFERROR(VLOOKUP($A26,'Goals &amp; Budget 2026'!$A$2:$EJ$49,121,FALSE),0)</f>
        <v>0</v>
      </c>
      <c r="X26" s="232" t="str">
        <f t="shared" si="23"/>
        <v>***</v>
      </c>
      <c r="Y26" s="52"/>
      <c r="Z26" s="52">
        <f>+IFERROR(VLOOKUP($A26,'Goals &amp; Budget 2026'!$A$2:$EJ$49,122,FALSE),0)</f>
        <v>0</v>
      </c>
      <c r="AA26" s="65" t="str">
        <f t="shared" si="24"/>
        <v>***</v>
      </c>
      <c r="AB26" s="52"/>
      <c r="AC26" s="52">
        <f>+IFERROR(VLOOKUP($A26,'Goals &amp; Budget 2026'!$A$2:$EJ$49,123,FALSE),0)</f>
        <v>0</v>
      </c>
      <c r="AD26" s="65" t="str">
        <f t="shared" si="25"/>
        <v>***</v>
      </c>
      <c r="AE26" s="52"/>
      <c r="AF26" s="52">
        <f>+IFERROR(VLOOKUP($A26,'Goals &amp; Budget 2026'!$A$2:$EJ$49,124,FALSE),0)</f>
        <v>0</v>
      </c>
      <c r="AG26" s="232" t="str">
        <f t="shared" si="26"/>
        <v>***</v>
      </c>
      <c r="AH26" s="52"/>
      <c r="AI26" s="52">
        <f>+IFERROR(VLOOKUP($A26,'Goals &amp; Budget 2026'!$A$2:$EJ$49,125,FALSE),0)</f>
        <v>0</v>
      </c>
      <c r="AJ26" s="65" t="str">
        <f t="shared" si="27"/>
        <v>***</v>
      </c>
      <c r="AK26" s="52"/>
      <c r="AL26" s="52">
        <f>+IFERROR(VLOOKUP($A26,'Goals &amp; Budget 2026'!$A$2:$EJ$49,126,FALSE),0)</f>
        <v>0</v>
      </c>
      <c r="AM26" s="65" t="str">
        <f t="shared" si="28"/>
        <v>***</v>
      </c>
      <c r="AN26" s="52"/>
      <c r="AO26" s="52">
        <f>+IFERROR(VLOOKUP($A26,'Goals &amp; Budget 2026'!$A$2:$EJ$49,127,FALSE),0)</f>
        <v>0</v>
      </c>
      <c r="AP26" s="66" t="str">
        <f t="shared" si="29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64">
        <f t="shared" si="15"/>
        <v>0</v>
      </c>
      <c r="E27" s="52">
        <f t="shared" si="16"/>
        <v>0</v>
      </c>
      <c r="F27" s="232" t="str">
        <f t="shared" si="17"/>
        <v>***</v>
      </c>
      <c r="G27" s="52"/>
      <c r="H27" s="52">
        <f>+IFERROR(VLOOKUP($A27,'Goals &amp; Budget 2026'!$A$2:$EJ$49,116,FALSE),0)</f>
        <v>0</v>
      </c>
      <c r="I27" s="65" t="str">
        <f t="shared" si="18"/>
        <v>***</v>
      </c>
      <c r="J27" s="52"/>
      <c r="K27" s="52">
        <f>+IFERROR(VLOOKUP($A27,'Goals &amp; Budget 2026'!$A$2:$EJ$49,117,FALSE),0)</f>
        <v>0</v>
      </c>
      <c r="L27" s="65" t="str">
        <f t="shared" si="19"/>
        <v>***</v>
      </c>
      <c r="M27" s="52"/>
      <c r="N27" s="52">
        <f>+IFERROR(VLOOKUP($A27,'Goals &amp; Budget 2026'!$A$2:$EJ$49,118,FALSE),0)</f>
        <v>0</v>
      </c>
      <c r="O27" s="232" t="str">
        <f t="shared" si="20"/>
        <v>***</v>
      </c>
      <c r="P27" s="52"/>
      <c r="Q27" s="52">
        <f>+IFERROR(VLOOKUP($A27,'Goals &amp; Budget 2026'!$A$2:$EJ$49,119,FALSE),0)</f>
        <v>0</v>
      </c>
      <c r="R27" s="65" t="str">
        <f t="shared" si="21"/>
        <v>***</v>
      </c>
      <c r="S27" s="52"/>
      <c r="T27" s="52">
        <f>+IFERROR(VLOOKUP($A27,'Goals &amp; Budget 2026'!$A$2:$EJ$49,120,FALSE),0)</f>
        <v>0</v>
      </c>
      <c r="U27" s="65" t="str">
        <f t="shared" si="22"/>
        <v>***</v>
      </c>
      <c r="V27" s="52"/>
      <c r="W27" s="52">
        <f>+IFERROR(VLOOKUP($A27,'Goals &amp; Budget 2026'!$A$2:$EJ$49,121,FALSE),0)</f>
        <v>0</v>
      </c>
      <c r="X27" s="232" t="str">
        <f t="shared" si="23"/>
        <v>***</v>
      </c>
      <c r="Y27" s="52"/>
      <c r="Z27" s="52">
        <f>+IFERROR(VLOOKUP($A27,'Goals &amp; Budget 2026'!$A$2:$EJ$49,122,FALSE),0)</f>
        <v>0</v>
      </c>
      <c r="AA27" s="65" t="str">
        <f t="shared" si="24"/>
        <v>***</v>
      </c>
      <c r="AB27" s="52"/>
      <c r="AC27" s="52">
        <f>+IFERROR(VLOOKUP($A27,'Goals &amp; Budget 2026'!$A$2:$EJ$49,123,FALSE),0)</f>
        <v>0</v>
      </c>
      <c r="AD27" s="65" t="str">
        <f t="shared" si="25"/>
        <v>***</v>
      </c>
      <c r="AE27" s="52"/>
      <c r="AF27" s="52">
        <f>+IFERROR(VLOOKUP($A27,'Goals &amp; Budget 2026'!$A$2:$EJ$49,124,FALSE),0)</f>
        <v>0</v>
      </c>
      <c r="AG27" s="232" t="str">
        <f t="shared" si="26"/>
        <v>***</v>
      </c>
      <c r="AH27" s="52"/>
      <c r="AI27" s="52">
        <f>+IFERROR(VLOOKUP($A27,'Goals &amp; Budget 2026'!$A$2:$EJ$49,125,FALSE),0)</f>
        <v>0</v>
      </c>
      <c r="AJ27" s="65" t="str">
        <f t="shared" si="27"/>
        <v>***</v>
      </c>
      <c r="AK27" s="52"/>
      <c r="AL27" s="52">
        <f>+IFERROR(VLOOKUP($A27,'Goals &amp; Budget 2026'!$A$2:$EJ$49,126,FALSE),0)</f>
        <v>0</v>
      </c>
      <c r="AM27" s="65" t="str">
        <f t="shared" si="28"/>
        <v>***</v>
      </c>
      <c r="AN27" s="52"/>
      <c r="AO27" s="52">
        <f>+IFERROR(VLOOKUP($A27,'Goals &amp; Budget 2026'!$A$2:$EJ$49,127,FALSE),0)</f>
        <v>0</v>
      </c>
      <c r="AP27" s="66" t="str">
        <f t="shared" si="29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64">
        <f t="shared" si="15"/>
        <v>0</v>
      </c>
      <c r="E28" s="52">
        <f t="shared" si="16"/>
        <v>0</v>
      </c>
      <c r="F28" s="232" t="str">
        <f t="shared" si="17"/>
        <v>***</v>
      </c>
      <c r="G28" s="52"/>
      <c r="H28" s="52">
        <f>+IFERROR(VLOOKUP($A28,'Goals &amp; Budget 2026'!$A$2:$EJ$49,116,FALSE),0)</f>
        <v>0</v>
      </c>
      <c r="I28" s="65" t="str">
        <f t="shared" si="18"/>
        <v>***</v>
      </c>
      <c r="J28" s="52"/>
      <c r="K28" s="52">
        <f>+IFERROR(VLOOKUP($A28,'Goals &amp; Budget 2026'!$A$2:$EJ$49,117,FALSE),0)</f>
        <v>0</v>
      </c>
      <c r="L28" s="65" t="str">
        <f t="shared" si="19"/>
        <v>***</v>
      </c>
      <c r="M28" s="52"/>
      <c r="N28" s="52">
        <f>+IFERROR(VLOOKUP($A28,'Goals &amp; Budget 2026'!$A$2:$EJ$49,118,FALSE),0)</f>
        <v>0</v>
      </c>
      <c r="O28" s="232" t="str">
        <f t="shared" si="20"/>
        <v>***</v>
      </c>
      <c r="P28" s="52"/>
      <c r="Q28" s="52">
        <f>+IFERROR(VLOOKUP($A28,'Goals &amp; Budget 2026'!$A$2:$EJ$49,119,FALSE),0)</f>
        <v>0</v>
      </c>
      <c r="R28" s="65" t="str">
        <f t="shared" si="21"/>
        <v>***</v>
      </c>
      <c r="S28" s="52"/>
      <c r="T28" s="52">
        <f>+IFERROR(VLOOKUP($A28,'Goals &amp; Budget 2026'!$A$2:$EJ$49,120,FALSE),0)</f>
        <v>0</v>
      </c>
      <c r="U28" s="65" t="str">
        <f t="shared" si="22"/>
        <v>***</v>
      </c>
      <c r="V28" s="52"/>
      <c r="W28" s="52">
        <f>+IFERROR(VLOOKUP($A28,'Goals &amp; Budget 2026'!$A$2:$EJ$49,121,FALSE),0)</f>
        <v>0</v>
      </c>
      <c r="X28" s="232" t="str">
        <f t="shared" si="23"/>
        <v>***</v>
      </c>
      <c r="Y28" s="52"/>
      <c r="Z28" s="52">
        <f>+IFERROR(VLOOKUP($A28,'Goals &amp; Budget 2026'!$A$2:$EJ$49,122,FALSE),0)</f>
        <v>0</v>
      </c>
      <c r="AA28" s="65" t="str">
        <f t="shared" si="24"/>
        <v>***</v>
      </c>
      <c r="AB28" s="52"/>
      <c r="AC28" s="52">
        <f>+IFERROR(VLOOKUP($A28,'Goals &amp; Budget 2026'!$A$2:$EJ$49,123,FALSE),0)</f>
        <v>0</v>
      </c>
      <c r="AD28" s="65" t="str">
        <f t="shared" si="25"/>
        <v>***</v>
      </c>
      <c r="AE28" s="52"/>
      <c r="AF28" s="52">
        <f>+IFERROR(VLOOKUP($A28,'Goals &amp; Budget 2026'!$A$2:$EJ$49,124,FALSE),0)</f>
        <v>0</v>
      </c>
      <c r="AG28" s="232" t="str">
        <f t="shared" si="26"/>
        <v>***</v>
      </c>
      <c r="AH28" s="52"/>
      <c r="AI28" s="52">
        <f>+IFERROR(VLOOKUP($A28,'Goals &amp; Budget 2026'!$A$2:$EJ$49,125,FALSE),0)</f>
        <v>0</v>
      </c>
      <c r="AJ28" s="65" t="str">
        <f t="shared" si="27"/>
        <v>***</v>
      </c>
      <c r="AK28" s="52"/>
      <c r="AL28" s="52">
        <f>+IFERROR(VLOOKUP($A28,'Goals &amp; Budget 2026'!$A$2:$EJ$49,126,FALSE),0)</f>
        <v>0</v>
      </c>
      <c r="AM28" s="65" t="str">
        <f t="shared" si="28"/>
        <v>***</v>
      </c>
      <c r="AN28" s="52"/>
      <c r="AO28" s="52">
        <f>+IFERROR(VLOOKUP($A28,'Goals &amp; Budget 2026'!$A$2:$EJ$49,127,FALSE),0)</f>
        <v>0</v>
      </c>
      <c r="AP28" s="66" t="str">
        <f t="shared" si="29"/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64">
        <f t="shared" si="15"/>
        <v>0</v>
      </c>
      <c r="E29" s="52">
        <f t="shared" si="16"/>
        <v>0</v>
      </c>
      <c r="F29" s="232" t="str">
        <f t="shared" si="17"/>
        <v>***</v>
      </c>
      <c r="G29" s="52"/>
      <c r="H29" s="52">
        <f>+IFERROR(VLOOKUP($A29,'Goals &amp; Budget 2026'!$A$2:$EJ$49,116,FALSE),0)</f>
        <v>0</v>
      </c>
      <c r="I29" s="65" t="str">
        <f t="shared" si="18"/>
        <v>***</v>
      </c>
      <c r="J29" s="52"/>
      <c r="K29" s="52">
        <f>+IFERROR(VLOOKUP($A29,'Goals &amp; Budget 2026'!$A$2:$EJ$49,117,FALSE),0)</f>
        <v>0</v>
      </c>
      <c r="L29" s="65" t="str">
        <f t="shared" si="19"/>
        <v>***</v>
      </c>
      <c r="M29" s="52"/>
      <c r="N29" s="52">
        <f>+IFERROR(VLOOKUP($A29,'Goals &amp; Budget 2026'!$A$2:$EJ$49,118,FALSE),0)</f>
        <v>0</v>
      </c>
      <c r="O29" s="232" t="str">
        <f t="shared" si="20"/>
        <v>***</v>
      </c>
      <c r="P29" s="52"/>
      <c r="Q29" s="52">
        <f>+IFERROR(VLOOKUP($A29,'Goals &amp; Budget 2026'!$A$2:$EJ$49,119,FALSE),0)</f>
        <v>0</v>
      </c>
      <c r="R29" s="65" t="str">
        <f t="shared" si="21"/>
        <v>***</v>
      </c>
      <c r="S29" s="52"/>
      <c r="T29" s="52">
        <f>+IFERROR(VLOOKUP($A29,'Goals &amp; Budget 2026'!$A$2:$EJ$49,120,FALSE),0)</f>
        <v>0</v>
      </c>
      <c r="U29" s="65" t="str">
        <f t="shared" si="22"/>
        <v>***</v>
      </c>
      <c r="V29" s="52"/>
      <c r="W29" s="52">
        <f>+IFERROR(VLOOKUP($A29,'Goals &amp; Budget 2026'!$A$2:$EJ$49,121,FALSE),0)</f>
        <v>0</v>
      </c>
      <c r="X29" s="232" t="str">
        <f t="shared" si="23"/>
        <v>***</v>
      </c>
      <c r="Y29" s="52"/>
      <c r="Z29" s="52">
        <f>+IFERROR(VLOOKUP($A29,'Goals &amp; Budget 2026'!$A$2:$EJ$49,122,FALSE),0)</f>
        <v>0</v>
      </c>
      <c r="AA29" s="65" t="str">
        <f t="shared" si="24"/>
        <v>***</v>
      </c>
      <c r="AB29" s="52"/>
      <c r="AC29" s="52">
        <f>+IFERROR(VLOOKUP($A29,'Goals &amp; Budget 2026'!$A$2:$EJ$49,123,FALSE),0)</f>
        <v>0</v>
      </c>
      <c r="AD29" s="65" t="str">
        <f t="shared" si="25"/>
        <v>***</v>
      </c>
      <c r="AE29" s="52"/>
      <c r="AF29" s="52">
        <f>+IFERROR(VLOOKUP($A29,'Goals &amp; Budget 2026'!$A$2:$EJ$49,124,FALSE),0)</f>
        <v>0</v>
      </c>
      <c r="AG29" s="232" t="str">
        <f t="shared" si="26"/>
        <v>***</v>
      </c>
      <c r="AH29" s="52"/>
      <c r="AI29" s="52">
        <f>+IFERROR(VLOOKUP($A29,'Goals &amp; Budget 2026'!$A$2:$EJ$49,125,FALSE),0)</f>
        <v>0</v>
      </c>
      <c r="AJ29" s="65" t="str">
        <f t="shared" si="27"/>
        <v>***</v>
      </c>
      <c r="AK29" s="52"/>
      <c r="AL29" s="52">
        <f>+IFERROR(VLOOKUP($A29,'Goals &amp; Budget 2026'!$A$2:$EJ$49,126,FALSE),0)</f>
        <v>0</v>
      </c>
      <c r="AM29" s="65" t="str">
        <f t="shared" si="28"/>
        <v>***</v>
      </c>
      <c r="AN29" s="52"/>
      <c r="AO29" s="52">
        <f>+IFERROR(VLOOKUP($A29,'Goals &amp; Budget 2026'!$A$2:$EJ$49,127,FALSE),0)</f>
        <v>0</v>
      </c>
      <c r="AP29" s="66" t="str">
        <f t="shared" si="29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64">
        <f t="shared" si="15"/>
        <v>0</v>
      </c>
      <c r="E30" s="52">
        <f t="shared" si="16"/>
        <v>0</v>
      </c>
      <c r="F30" s="232" t="str">
        <f t="shared" si="17"/>
        <v>***</v>
      </c>
      <c r="G30" s="52"/>
      <c r="H30" s="52">
        <f>+IFERROR(VLOOKUP($A30,'Goals &amp; Budget 2026'!$A$2:$EJ$49,116,FALSE),0)</f>
        <v>0</v>
      </c>
      <c r="I30" s="65" t="str">
        <f t="shared" si="18"/>
        <v>***</v>
      </c>
      <c r="J30" s="52"/>
      <c r="K30" s="52">
        <f>+IFERROR(VLOOKUP($A30,'Goals &amp; Budget 2026'!$A$2:$EJ$49,117,FALSE),0)</f>
        <v>0</v>
      </c>
      <c r="L30" s="65" t="str">
        <f t="shared" si="19"/>
        <v>***</v>
      </c>
      <c r="M30" s="52"/>
      <c r="N30" s="52">
        <f>+IFERROR(VLOOKUP($A30,'Goals &amp; Budget 2026'!$A$2:$EJ$49,118,FALSE),0)</f>
        <v>0</v>
      </c>
      <c r="O30" s="232" t="str">
        <f t="shared" si="20"/>
        <v>***</v>
      </c>
      <c r="P30" s="52"/>
      <c r="Q30" s="52">
        <f>+IFERROR(VLOOKUP($A30,'Goals &amp; Budget 2026'!$A$2:$EJ$49,119,FALSE),0)</f>
        <v>0</v>
      </c>
      <c r="R30" s="65" t="str">
        <f t="shared" si="21"/>
        <v>***</v>
      </c>
      <c r="S30" s="52"/>
      <c r="T30" s="52">
        <f>+IFERROR(VLOOKUP($A30,'Goals &amp; Budget 2026'!$A$2:$EJ$49,120,FALSE),0)</f>
        <v>0</v>
      </c>
      <c r="U30" s="65" t="str">
        <f t="shared" si="22"/>
        <v>***</v>
      </c>
      <c r="V30" s="52"/>
      <c r="W30" s="52">
        <f>+IFERROR(VLOOKUP($A30,'Goals &amp; Budget 2026'!$A$2:$EJ$49,121,FALSE),0)</f>
        <v>0</v>
      </c>
      <c r="X30" s="232" t="str">
        <f t="shared" si="23"/>
        <v>***</v>
      </c>
      <c r="Y30" s="52"/>
      <c r="Z30" s="52">
        <f>+IFERROR(VLOOKUP($A30,'Goals &amp; Budget 2026'!$A$2:$EJ$49,122,FALSE),0)</f>
        <v>0</v>
      </c>
      <c r="AA30" s="65" t="str">
        <f t="shared" si="24"/>
        <v>***</v>
      </c>
      <c r="AB30" s="52"/>
      <c r="AC30" s="52">
        <f>+IFERROR(VLOOKUP($A30,'Goals &amp; Budget 2026'!$A$2:$EJ$49,123,FALSE),0)</f>
        <v>0</v>
      </c>
      <c r="AD30" s="65" t="str">
        <f t="shared" si="25"/>
        <v>***</v>
      </c>
      <c r="AE30" s="52"/>
      <c r="AF30" s="52">
        <f>+IFERROR(VLOOKUP($A30,'Goals &amp; Budget 2026'!$A$2:$EJ$49,124,FALSE),0)</f>
        <v>0</v>
      </c>
      <c r="AG30" s="232" t="str">
        <f t="shared" si="26"/>
        <v>***</v>
      </c>
      <c r="AH30" s="52"/>
      <c r="AI30" s="52">
        <f>+IFERROR(VLOOKUP($A30,'Goals &amp; Budget 2026'!$A$2:$EJ$49,125,FALSE),0)</f>
        <v>0</v>
      </c>
      <c r="AJ30" s="65" t="str">
        <f t="shared" si="27"/>
        <v>***</v>
      </c>
      <c r="AK30" s="52"/>
      <c r="AL30" s="52">
        <f>+IFERROR(VLOOKUP($A30,'Goals &amp; Budget 2026'!$A$2:$EJ$49,126,FALSE),0)</f>
        <v>0</v>
      </c>
      <c r="AM30" s="65" t="str">
        <f t="shared" si="28"/>
        <v>***</v>
      </c>
      <c r="AN30" s="52"/>
      <c r="AO30" s="52">
        <f>+IFERROR(VLOOKUP($A30,'Goals &amp; Budget 2026'!$A$2:$EJ$49,127,FALSE),0)</f>
        <v>0</v>
      </c>
      <c r="AP30" s="66" t="str">
        <f t="shared" si="29"/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64">
        <f t="shared" si="15"/>
        <v>0</v>
      </c>
      <c r="E31" s="52">
        <f t="shared" si="16"/>
        <v>0</v>
      </c>
      <c r="F31" s="232" t="str">
        <f t="shared" si="17"/>
        <v>***</v>
      </c>
      <c r="G31" s="52"/>
      <c r="H31" s="52">
        <f>+IFERROR(VLOOKUP($A31,'Goals &amp; Budget 2026'!$A$2:$EJ$49,116,FALSE),0)</f>
        <v>0</v>
      </c>
      <c r="I31" s="65" t="str">
        <f t="shared" si="18"/>
        <v>***</v>
      </c>
      <c r="J31" s="52"/>
      <c r="K31" s="52">
        <f>+IFERROR(VLOOKUP($A31,'Goals &amp; Budget 2026'!$A$2:$EJ$49,117,FALSE),0)</f>
        <v>0</v>
      </c>
      <c r="L31" s="65" t="str">
        <f t="shared" si="19"/>
        <v>***</v>
      </c>
      <c r="M31" s="52"/>
      <c r="N31" s="52">
        <f>+IFERROR(VLOOKUP($A31,'Goals &amp; Budget 2026'!$A$2:$EJ$49,118,FALSE),0)</f>
        <v>0</v>
      </c>
      <c r="O31" s="232" t="str">
        <f t="shared" si="20"/>
        <v>***</v>
      </c>
      <c r="P31" s="52"/>
      <c r="Q31" s="52">
        <f>+IFERROR(VLOOKUP($A31,'Goals &amp; Budget 2026'!$A$2:$EJ$49,119,FALSE),0)</f>
        <v>0</v>
      </c>
      <c r="R31" s="65" t="str">
        <f t="shared" si="21"/>
        <v>***</v>
      </c>
      <c r="S31" s="52"/>
      <c r="T31" s="52">
        <f>+IFERROR(VLOOKUP($A31,'Goals &amp; Budget 2026'!$A$2:$EJ$49,120,FALSE),0)</f>
        <v>0</v>
      </c>
      <c r="U31" s="65" t="str">
        <f t="shared" si="22"/>
        <v>***</v>
      </c>
      <c r="V31" s="52"/>
      <c r="W31" s="52">
        <f>+IFERROR(VLOOKUP($A31,'Goals &amp; Budget 2026'!$A$2:$EJ$49,121,FALSE),0)</f>
        <v>0</v>
      </c>
      <c r="X31" s="232" t="str">
        <f t="shared" si="23"/>
        <v>***</v>
      </c>
      <c r="Y31" s="52"/>
      <c r="Z31" s="52">
        <f>+IFERROR(VLOOKUP($A31,'Goals &amp; Budget 2026'!$A$2:$EJ$49,122,FALSE),0)</f>
        <v>0</v>
      </c>
      <c r="AA31" s="65" t="str">
        <f t="shared" si="24"/>
        <v>***</v>
      </c>
      <c r="AB31" s="52"/>
      <c r="AC31" s="52">
        <f>+IFERROR(VLOOKUP($A31,'Goals &amp; Budget 2026'!$A$2:$EJ$49,123,FALSE),0)</f>
        <v>0</v>
      </c>
      <c r="AD31" s="65" t="str">
        <f t="shared" si="25"/>
        <v>***</v>
      </c>
      <c r="AE31" s="52"/>
      <c r="AF31" s="52">
        <f>+IFERROR(VLOOKUP($A31,'Goals &amp; Budget 2026'!$A$2:$EJ$49,124,FALSE),0)</f>
        <v>0</v>
      </c>
      <c r="AG31" s="232" t="str">
        <f t="shared" si="26"/>
        <v>***</v>
      </c>
      <c r="AH31" s="52"/>
      <c r="AI31" s="52">
        <f>+IFERROR(VLOOKUP($A31,'Goals &amp; Budget 2026'!$A$2:$EJ$49,125,FALSE),0)</f>
        <v>0</v>
      </c>
      <c r="AJ31" s="65" t="str">
        <f t="shared" si="27"/>
        <v>***</v>
      </c>
      <c r="AK31" s="52"/>
      <c r="AL31" s="52">
        <f>+IFERROR(VLOOKUP($A31,'Goals &amp; Budget 2026'!$A$2:$EJ$49,126,FALSE),0)</f>
        <v>0</v>
      </c>
      <c r="AM31" s="65" t="str">
        <f t="shared" si="28"/>
        <v>***</v>
      </c>
      <c r="AN31" s="52"/>
      <c r="AO31" s="52">
        <f>+IFERROR(VLOOKUP($A31,'Goals &amp; Budget 2026'!$A$2:$EJ$49,127,FALSE),0)</f>
        <v>0</v>
      </c>
      <c r="AP31" s="66" t="str">
        <f t="shared" si="29"/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64">
        <f t="shared" si="15"/>
        <v>0</v>
      </c>
      <c r="E32" s="52">
        <f t="shared" si="16"/>
        <v>0</v>
      </c>
      <c r="F32" s="232" t="str">
        <f t="shared" si="17"/>
        <v>***</v>
      </c>
      <c r="G32" s="52"/>
      <c r="H32" s="52">
        <f>+IFERROR(VLOOKUP($A32,'Goals &amp; Budget 2026'!$A$2:$EJ$49,116,FALSE),0)</f>
        <v>0</v>
      </c>
      <c r="I32" s="65" t="str">
        <f t="shared" si="18"/>
        <v>***</v>
      </c>
      <c r="J32" s="52"/>
      <c r="K32" s="52">
        <f>+IFERROR(VLOOKUP($A32,'Goals &amp; Budget 2026'!$A$2:$EJ$49,117,FALSE),0)</f>
        <v>0</v>
      </c>
      <c r="L32" s="65" t="str">
        <f t="shared" si="19"/>
        <v>***</v>
      </c>
      <c r="M32" s="52"/>
      <c r="N32" s="52">
        <f>+IFERROR(VLOOKUP($A32,'Goals &amp; Budget 2026'!$A$2:$EJ$49,118,FALSE),0)</f>
        <v>0</v>
      </c>
      <c r="O32" s="232" t="str">
        <f t="shared" si="20"/>
        <v>***</v>
      </c>
      <c r="P32" s="52"/>
      <c r="Q32" s="52">
        <f>+IFERROR(VLOOKUP($A32,'Goals &amp; Budget 2026'!$A$2:$EJ$49,119,FALSE),0)</f>
        <v>0</v>
      </c>
      <c r="R32" s="65" t="str">
        <f t="shared" si="21"/>
        <v>***</v>
      </c>
      <c r="S32" s="52"/>
      <c r="T32" s="52">
        <f>+IFERROR(VLOOKUP($A32,'Goals &amp; Budget 2026'!$A$2:$EJ$49,120,FALSE),0)</f>
        <v>0</v>
      </c>
      <c r="U32" s="65" t="str">
        <f t="shared" si="22"/>
        <v>***</v>
      </c>
      <c r="V32" s="52"/>
      <c r="W32" s="52">
        <f>+IFERROR(VLOOKUP($A32,'Goals &amp; Budget 2026'!$A$2:$EJ$49,121,FALSE),0)</f>
        <v>0</v>
      </c>
      <c r="X32" s="232" t="str">
        <f t="shared" si="23"/>
        <v>***</v>
      </c>
      <c r="Y32" s="52"/>
      <c r="Z32" s="52">
        <f>+IFERROR(VLOOKUP($A32,'Goals &amp; Budget 2026'!$A$2:$EJ$49,122,FALSE),0)</f>
        <v>0</v>
      </c>
      <c r="AA32" s="65" t="str">
        <f t="shared" si="24"/>
        <v>***</v>
      </c>
      <c r="AB32" s="52"/>
      <c r="AC32" s="52">
        <f>+IFERROR(VLOOKUP($A32,'Goals &amp; Budget 2026'!$A$2:$EJ$49,123,FALSE),0)</f>
        <v>0</v>
      </c>
      <c r="AD32" s="65" t="str">
        <f t="shared" si="25"/>
        <v>***</v>
      </c>
      <c r="AE32" s="52"/>
      <c r="AF32" s="52">
        <f>+IFERROR(VLOOKUP($A32,'Goals &amp; Budget 2026'!$A$2:$EJ$49,124,FALSE),0)</f>
        <v>0</v>
      </c>
      <c r="AG32" s="232" t="str">
        <f t="shared" si="26"/>
        <v>***</v>
      </c>
      <c r="AH32" s="52"/>
      <c r="AI32" s="52">
        <f>+IFERROR(VLOOKUP($A32,'Goals &amp; Budget 2026'!$A$2:$EJ$49,125,FALSE),0)</f>
        <v>0</v>
      </c>
      <c r="AJ32" s="65" t="str">
        <f t="shared" si="27"/>
        <v>***</v>
      </c>
      <c r="AK32" s="52"/>
      <c r="AL32" s="52">
        <f>+IFERROR(VLOOKUP($A32,'Goals &amp; Budget 2026'!$A$2:$EJ$49,126,FALSE),0)</f>
        <v>0</v>
      </c>
      <c r="AM32" s="65" t="str">
        <f t="shared" si="28"/>
        <v>***</v>
      </c>
      <c r="AN32" s="52"/>
      <c r="AO32" s="52">
        <f>+IFERROR(VLOOKUP($A32,'Goals &amp; Budget 2026'!$A$2:$EJ$49,127,FALSE),0)</f>
        <v>0</v>
      </c>
      <c r="AP32" s="66" t="str">
        <f t="shared" si="29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64">
        <f t="shared" si="15"/>
        <v>0</v>
      </c>
      <c r="E33" s="52">
        <f t="shared" si="16"/>
        <v>0</v>
      </c>
      <c r="F33" s="232" t="str">
        <f t="shared" si="17"/>
        <v>***</v>
      </c>
      <c r="G33" s="52"/>
      <c r="H33" s="52">
        <f>+IFERROR(VLOOKUP($A33,'Goals &amp; Budget 2026'!$A$2:$EJ$49,116,FALSE),0)</f>
        <v>0</v>
      </c>
      <c r="I33" s="65" t="str">
        <f t="shared" si="18"/>
        <v>***</v>
      </c>
      <c r="J33" s="52"/>
      <c r="K33" s="52">
        <f>+IFERROR(VLOOKUP($A33,'Goals &amp; Budget 2026'!$A$2:$EJ$49,117,FALSE),0)</f>
        <v>0</v>
      </c>
      <c r="L33" s="65" t="str">
        <f t="shared" si="19"/>
        <v>***</v>
      </c>
      <c r="M33" s="52"/>
      <c r="N33" s="52">
        <f>+IFERROR(VLOOKUP($A33,'Goals &amp; Budget 2026'!$A$2:$EJ$49,118,FALSE),0)</f>
        <v>0</v>
      </c>
      <c r="O33" s="232" t="str">
        <f t="shared" si="20"/>
        <v>***</v>
      </c>
      <c r="P33" s="52"/>
      <c r="Q33" s="52">
        <f>+IFERROR(VLOOKUP($A33,'Goals &amp; Budget 2026'!$A$2:$EJ$49,119,FALSE),0)</f>
        <v>0</v>
      </c>
      <c r="R33" s="65" t="str">
        <f t="shared" si="21"/>
        <v>***</v>
      </c>
      <c r="S33" s="52"/>
      <c r="T33" s="52">
        <f>+IFERROR(VLOOKUP($A33,'Goals &amp; Budget 2026'!$A$2:$EJ$49,120,FALSE),0)</f>
        <v>0</v>
      </c>
      <c r="U33" s="65" t="str">
        <f t="shared" si="22"/>
        <v>***</v>
      </c>
      <c r="V33" s="52"/>
      <c r="W33" s="52">
        <f>+IFERROR(VLOOKUP($A33,'Goals &amp; Budget 2026'!$A$2:$EJ$49,121,FALSE),0)</f>
        <v>0</v>
      </c>
      <c r="X33" s="232" t="str">
        <f t="shared" si="23"/>
        <v>***</v>
      </c>
      <c r="Y33" s="52"/>
      <c r="Z33" s="52">
        <f>+IFERROR(VLOOKUP($A33,'Goals &amp; Budget 2026'!$A$2:$EJ$49,122,FALSE),0)</f>
        <v>0</v>
      </c>
      <c r="AA33" s="65" t="str">
        <f t="shared" si="24"/>
        <v>***</v>
      </c>
      <c r="AB33" s="52"/>
      <c r="AC33" s="52">
        <f>+IFERROR(VLOOKUP($A33,'Goals &amp; Budget 2026'!$A$2:$EJ$49,123,FALSE),0)</f>
        <v>0</v>
      </c>
      <c r="AD33" s="65" t="str">
        <f t="shared" si="25"/>
        <v>***</v>
      </c>
      <c r="AE33" s="52"/>
      <c r="AF33" s="52">
        <f>+IFERROR(VLOOKUP($A33,'Goals &amp; Budget 2026'!$A$2:$EJ$49,124,FALSE),0)</f>
        <v>0</v>
      </c>
      <c r="AG33" s="232" t="str">
        <f t="shared" si="26"/>
        <v>***</v>
      </c>
      <c r="AH33" s="52"/>
      <c r="AI33" s="52">
        <f>+IFERROR(VLOOKUP($A33,'Goals &amp; Budget 2026'!$A$2:$EJ$49,125,FALSE),0)</f>
        <v>0</v>
      </c>
      <c r="AJ33" s="65" t="str">
        <f t="shared" si="27"/>
        <v>***</v>
      </c>
      <c r="AK33" s="52"/>
      <c r="AL33" s="52">
        <f>+IFERROR(VLOOKUP($A33,'Goals &amp; Budget 2026'!$A$2:$EJ$49,126,FALSE),0)</f>
        <v>0</v>
      </c>
      <c r="AM33" s="65" t="str">
        <f t="shared" si="28"/>
        <v>***</v>
      </c>
      <c r="AN33" s="52"/>
      <c r="AO33" s="52">
        <f>+IFERROR(VLOOKUP($A33,'Goals &amp; Budget 2026'!$A$2:$EJ$49,127,FALSE),0)</f>
        <v>0</v>
      </c>
      <c r="AP33" s="66" t="str">
        <f t="shared" si="29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64">
        <f t="shared" si="15"/>
        <v>0</v>
      </c>
      <c r="E34" s="52">
        <f t="shared" si="16"/>
        <v>0</v>
      </c>
      <c r="F34" s="232" t="str">
        <f t="shared" si="17"/>
        <v>***</v>
      </c>
      <c r="G34" s="52"/>
      <c r="H34" s="52">
        <f>+IFERROR(VLOOKUP($A34,'Goals &amp; Budget 2026'!$A$2:$EJ$49,116,FALSE),0)</f>
        <v>0</v>
      </c>
      <c r="I34" s="65" t="str">
        <f t="shared" si="18"/>
        <v>***</v>
      </c>
      <c r="J34" s="52"/>
      <c r="K34" s="52">
        <f>+IFERROR(VLOOKUP($A34,'Goals &amp; Budget 2026'!$A$2:$EJ$49,117,FALSE),0)</f>
        <v>0</v>
      </c>
      <c r="L34" s="65" t="str">
        <f t="shared" si="19"/>
        <v>***</v>
      </c>
      <c r="M34" s="52"/>
      <c r="N34" s="52">
        <f>+IFERROR(VLOOKUP($A34,'Goals &amp; Budget 2026'!$A$2:$EJ$49,118,FALSE),0)</f>
        <v>0</v>
      </c>
      <c r="O34" s="232" t="str">
        <f t="shared" si="20"/>
        <v>***</v>
      </c>
      <c r="P34" s="52"/>
      <c r="Q34" s="52">
        <f>+IFERROR(VLOOKUP($A34,'Goals &amp; Budget 2026'!$A$2:$EJ$49,119,FALSE),0)</f>
        <v>0</v>
      </c>
      <c r="R34" s="65" t="str">
        <f t="shared" si="21"/>
        <v>***</v>
      </c>
      <c r="S34" s="52"/>
      <c r="T34" s="52">
        <f>+IFERROR(VLOOKUP($A34,'Goals &amp; Budget 2026'!$A$2:$EJ$49,120,FALSE),0)</f>
        <v>0</v>
      </c>
      <c r="U34" s="65" t="str">
        <f t="shared" si="22"/>
        <v>***</v>
      </c>
      <c r="V34" s="52"/>
      <c r="W34" s="52">
        <f>+IFERROR(VLOOKUP($A34,'Goals &amp; Budget 2026'!$A$2:$EJ$49,121,FALSE),0)</f>
        <v>0</v>
      </c>
      <c r="X34" s="232" t="str">
        <f t="shared" si="23"/>
        <v>***</v>
      </c>
      <c r="Y34" s="52"/>
      <c r="Z34" s="52">
        <f>+IFERROR(VLOOKUP($A34,'Goals &amp; Budget 2026'!$A$2:$EJ$49,122,FALSE),0)</f>
        <v>0</v>
      </c>
      <c r="AA34" s="65" t="str">
        <f t="shared" si="24"/>
        <v>***</v>
      </c>
      <c r="AB34" s="52"/>
      <c r="AC34" s="52">
        <f>+IFERROR(VLOOKUP($A34,'Goals &amp; Budget 2026'!$A$2:$EJ$49,123,FALSE),0)</f>
        <v>0</v>
      </c>
      <c r="AD34" s="65" t="str">
        <f t="shared" si="25"/>
        <v>***</v>
      </c>
      <c r="AE34" s="52"/>
      <c r="AF34" s="52">
        <f>+IFERROR(VLOOKUP($A34,'Goals &amp; Budget 2026'!$A$2:$EJ$49,124,FALSE),0)</f>
        <v>0</v>
      </c>
      <c r="AG34" s="232" t="str">
        <f t="shared" si="26"/>
        <v>***</v>
      </c>
      <c r="AH34" s="52"/>
      <c r="AI34" s="52">
        <f>+IFERROR(VLOOKUP($A34,'Goals &amp; Budget 2026'!$A$2:$EJ$49,125,FALSE),0)</f>
        <v>0</v>
      </c>
      <c r="AJ34" s="65" t="str">
        <f t="shared" si="27"/>
        <v>***</v>
      </c>
      <c r="AK34" s="52"/>
      <c r="AL34" s="52">
        <f>+IFERROR(VLOOKUP($A34,'Goals &amp; Budget 2026'!$A$2:$EJ$49,126,FALSE),0)</f>
        <v>0</v>
      </c>
      <c r="AM34" s="65" t="str">
        <f t="shared" si="28"/>
        <v>***</v>
      </c>
      <c r="AN34" s="52"/>
      <c r="AO34" s="52">
        <f>+IFERROR(VLOOKUP($A34,'Goals &amp; Budget 2026'!$A$2:$EJ$49,127,FALSE),0)</f>
        <v>0</v>
      </c>
      <c r="AP34" s="66" t="str">
        <f t="shared" si="29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64">
        <f t="shared" si="15"/>
        <v>0</v>
      </c>
      <c r="E35" s="52">
        <f t="shared" si="16"/>
        <v>0.92</v>
      </c>
      <c r="F35" s="232">
        <f t="shared" si="17"/>
        <v>0</v>
      </c>
      <c r="G35" s="52"/>
      <c r="H35" s="52">
        <f>+IFERROR(VLOOKUP($A35,'Goals &amp; Budget 2026'!$A$2:$EJ$49,116,FALSE),0)</f>
        <v>0.92</v>
      </c>
      <c r="I35" s="65">
        <f t="shared" si="18"/>
        <v>0</v>
      </c>
      <c r="J35" s="52"/>
      <c r="K35" s="52">
        <f>+IFERROR(VLOOKUP($A35,'Goals &amp; Budget 2026'!$A$2:$EJ$49,117,FALSE),0)</f>
        <v>0.96</v>
      </c>
      <c r="L35" s="65">
        <f t="shared" si="19"/>
        <v>0</v>
      </c>
      <c r="M35" s="52"/>
      <c r="N35" s="52">
        <f>+IFERROR(VLOOKUP($A35,'Goals &amp; Budget 2026'!$A$2:$EJ$49,118,FALSE),0)</f>
        <v>0.98</v>
      </c>
      <c r="O35" s="232">
        <f t="shared" si="20"/>
        <v>0</v>
      </c>
      <c r="P35" s="52"/>
      <c r="Q35" s="52">
        <f>+IFERROR(VLOOKUP($A35,'Goals &amp; Budget 2026'!$A$2:$EJ$49,119,FALSE),0)</f>
        <v>1</v>
      </c>
      <c r="R35" s="65">
        <f t="shared" si="21"/>
        <v>0</v>
      </c>
      <c r="S35" s="52"/>
      <c r="T35" s="52">
        <f>+IFERROR(VLOOKUP($A35,'Goals &amp; Budget 2026'!$A$2:$EJ$49,120,FALSE),0)</f>
        <v>0</v>
      </c>
      <c r="U35" s="65" t="str">
        <f t="shared" si="22"/>
        <v>***</v>
      </c>
      <c r="V35" s="52"/>
      <c r="W35" s="52">
        <f>+IFERROR(VLOOKUP($A35,'Goals &amp; Budget 2026'!$A$2:$EJ$49,121,FALSE),0)</f>
        <v>0</v>
      </c>
      <c r="X35" s="232" t="str">
        <f t="shared" si="23"/>
        <v>***</v>
      </c>
      <c r="Y35" s="52"/>
      <c r="Z35" s="52">
        <f>+IFERROR(VLOOKUP($A35,'Goals &amp; Budget 2026'!$A$2:$EJ$49,122,FALSE),0)</f>
        <v>0</v>
      </c>
      <c r="AA35" s="65" t="str">
        <f t="shared" si="24"/>
        <v>***</v>
      </c>
      <c r="AB35" s="52"/>
      <c r="AC35" s="52">
        <f>+IFERROR(VLOOKUP($A35,'Goals &amp; Budget 2026'!$A$2:$EJ$49,123,FALSE),0)</f>
        <v>0</v>
      </c>
      <c r="AD35" s="65" t="str">
        <f t="shared" si="25"/>
        <v>***</v>
      </c>
      <c r="AE35" s="52"/>
      <c r="AF35" s="52">
        <f>+IFERROR(VLOOKUP($A35,'Goals &amp; Budget 2026'!$A$2:$EJ$49,124,FALSE),0)</f>
        <v>0</v>
      </c>
      <c r="AG35" s="232" t="str">
        <f t="shared" si="26"/>
        <v>***</v>
      </c>
      <c r="AH35" s="52"/>
      <c r="AI35" s="52">
        <f>+IFERROR(VLOOKUP($A35,'Goals &amp; Budget 2026'!$A$2:$EJ$49,125,FALSE),0)</f>
        <v>0</v>
      </c>
      <c r="AJ35" s="65" t="str">
        <f t="shared" si="27"/>
        <v>***</v>
      </c>
      <c r="AK35" s="52"/>
      <c r="AL35" s="52">
        <f>+IFERROR(VLOOKUP($A35,'Goals &amp; Budget 2026'!$A$2:$EJ$49,126,FALSE),0)</f>
        <v>0</v>
      </c>
      <c r="AM35" s="65" t="str">
        <f t="shared" si="28"/>
        <v>***</v>
      </c>
      <c r="AN35" s="52"/>
      <c r="AO35" s="52">
        <f>+IFERROR(VLOOKUP($A35,'Goals &amp; Budget 2026'!$A$2:$EJ$49,127,FALSE),0)</f>
        <v>0</v>
      </c>
      <c r="AP35" s="66" t="str">
        <f t="shared" si="29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64">
        <f t="shared" si="15"/>
        <v>0</v>
      </c>
      <c r="E36" s="52">
        <f t="shared" si="16"/>
        <v>0.99</v>
      </c>
      <c r="F36" s="232">
        <f t="shared" si="17"/>
        <v>0</v>
      </c>
      <c r="G36" s="52"/>
      <c r="H36" s="52">
        <f>+IFERROR(VLOOKUP($A36,'Goals &amp; Budget 2026'!$A$2:$EJ$49,116,FALSE),0)</f>
        <v>0.99</v>
      </c>
      <c r="I36" s="65">
        <f t="shared" si="18"/>
        <v>0</v>
      </c>
      <c r="J36" s="52"/>
      <c r="K36" s="52">
        <f>+IFERROR(VLOOKUP($A36,'Goals &amp; Budget 2026'!$A$2:$EJ$49,117,FALSE),0)</f>
        <v>0.99</v>
      </c>
      <c r="L36" s="65">
        <f t="shared" si="19"/>
        <v>0</v>
      </c>
      <c r="M36" s="52"/>
      <c r="N36" s="52">
        <f>+IFERROR(VLOOKUP($A36,'Goals &amp; Budget 2026'!$A$2:$EJ$49,118,FALSE),0)</f>
        <v>1</v>
      </c>
      <c r="O36" s="232">
        <f t="shared" si="20"/>
        <v>0</v>
      </c>
      <c r="P36" s="52"/>
      <c r="Q36" s="52">
        <f>+IFERROR(VLOOKUP($A36,'Goals &amp; Budget 2026'!$A$2:$EJ$49,119,FALSE),0)</f>
        <v>0</v>
      </c>
      <c r="R36" s="65" t="str">
        <f t="shared" si="21"/>
        <v>***</v>
      </c>
      <c r="S36" s="52"/>
      <c r="T36" s="52">
        <f>+IFERROR(VLOOKUP($A36,'Goals &amp; Budget 2026'!$A$2:$EJ$49,120,FALSE),0)</f>
        <v>0</v>
      </c>
      <c r="U36" s="65" t="str">
        <f t="shared" si="22"/>
        <v>***</v>
      </c>
      <c r="V36" s="52"/>
      <c r="W36" s="52">
        <f>+IFERROR(VLOOKUP($A36,'Goals &amp; Budget 2026'!$A$2:$EJ$49,121,FALSE),0)</f>
        <v>0</v>
      </c>
      <c r="X36" s="232" t="str">
        <f t="shared" si="23"/>
        <v>***</v>
      </c>
      <c r="Y36" s="52"/>
      <c r="Z36" s="52">
        <f>+IFERROR(VLOOKUP($A36,'Goals &amp; Budget 2026'!$A$2:$EJ$49,122,FALSE),0)</f>
        <v>0</v>
      </c>
      <c r="AA36" s="65" t="str">
        <f t="shared" si="24"/>
        <v>***</v>
      </c>
      <c r="AB36" s="52"/>
      <c r="AC36" s="52">
        <f>+IFERROR(VLOOKUP($A36,'Goals &amp; Budget 2026'!$A$2:$EJ$49,123,FALSE),0)</f>
        <v>0</v>
      </c>
      <c r="AD36" s="65" t="str">
        <f t="shared" si="25"/>
        <v>***</v>
      </c>
      <c r="AE36" s="52"/>
      <c r="AF36" s="52">
        <f>+IFERROR(VLOOKUP($A36,'Goals &amp; Budget 2026'!$A$2:$EJ$49,124,FALSE),0)</f>
        <v>0</v>
      </c>
      <c r="AG36" s="232" t="str">
        <f t="shared" si="26"/>
        <v>***</v>
      </c>
      <c r="AH36" s="52"/>
      <c r="AI36" s="52">
        <f>+IFERROR(VLOOKUP($A36,'Goals &amp; Budget 2026'!$A$2:$EJ$49,125,FALSE),0)</f>
        <v>0</v>
      </c>
      <c r="AJ36" s="65" t="str">
        <f t="shared" si="27"/>
        <v>***</v>
      </c>
      <c r="AK36" s="52"/>
      <c r="AL36" s="52">
        <f>+IFERROR(VLOOKUP($A36,'Goals &amp; Budget 2026'!$A$2:$EJ$49,126,FALSE),0)</f>
        <v>0</v>
      </c>
      <c r="AM36" s="65" t="str">
        <f t="shared" si="28"/>
        <v>***</v>
      </c>
      <c r="AN36" s="52"/>
      <c r="AO36" s="52">
        <f>+IFERROR(VLOOKUP($A36,'Goals &amp; Budget 2026'!$A$2:$EJ$49,127,FALSE),0)</f>
        <v>0</v>
      </c>
      <c r="AP36" s="66" t="str">
        <f t="shared" si="29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64">
        <f t="shared" si="15"/>
        <v>0</v>
      </c>
      <c r="E37" s="52">
        <f t="shared" si="16"/>
        <v>0</v>
      </c>
      <c r="F37" s="232" t="str">
        <f t="shared" si="17"/>
        <v>***</v>
      </c>
      <c r="G37" s="52"/>
      <c r="H37" s="52">
        <f>+IFERROR(VLOOKUP($A37,'Goals &amp; Budget 2026'!$A$2:$EJ$49,116,FALSE),0)</f>
        <v>0</v>
      </c>
      <c r="I37" s="65" t="str">
        <f t="shared" si="18"/>
        <v>***</v>
      </c>
      <c r="J37" s="52"/>
      <c r="K37" s="52">
        <f>+IFERROR(VLOOKUP($A37,'Goals &amp; Budget 2026'!$A$2:$EJ$49,117,FALSE),0)</f>
        <v>0</v>
      </c>
      <c r="L37" s="65" t="str">
        <f t="shared" si="19"/>
        <v>***</v>
      </c>
      <c r="M37" s="52"/>
      <c r="N37" s="52">
        <f>+IFERROR(VLOOKUP($A37,'Goals &amp; Budget 2026'!$A$2:$EJ$49,118,FALSE),0)</f>
        <v>0</v>
      </c>
      <c r="O37" s="232" t="str">
        <f t="shared" si="20"/>
        <v>***</v>
      </c>
      <c r="P37" s="52"/>
      <c r="Q37" s="52">
        <f>+IFERROR(VLOOKUP($A37,'Goals &amp; Budget 2026'!$A$2:$EJ$49,119,FALSE),0)</f>
        <v>0</v>
      </c>
      <c r="R37" s="65" t="str">
        <f t="shared" si="21"/>
        <v>***</v>
      </c>
      <c r="S37" s="52"/>
      <c r="T37" s="52">
        <f>+IFERROR(VLOOKUP($A37,'Goals &amp; Budget 2026'!$A$2:$EJ$49,120,FALSE),0)</f>
        <v>0</v>
      </c>
      <c r="U37" s="65" t="str">
        <f t="shared" si="22"/>
        <v>***</v>
      </c>
      <c r="V37" s="52"/>
      <c r="W37" s="52">
        <f>+IFERROR(VLOOKUP($A37,'Goals &amp; Budget 2026'!$A$2:$EJ$49,121,FALSE),0)</f>
        <v>0</v>
      </c>
      <c r="X37" s="232" t="str">
        <f t="shared" si="23"/>
        <v>***</v>
      </c>
      <c r="Y37" s="52"/>
      <c r="Z37" s="52">
        <f>+IFERROR(VLOOKUP($A37,'Goals &amp; Budget 2026'!$A$2:$EJ$49,122,FALSE),0)</f>
        <v>0</v>
      </c>
      <c r="AA37" s="65" t="str">
        <f t="shared" si="24"/>
        <v>***</v>
      </c>
      <c r="AB37" s="52"/>
      <c r="AC37" s="52">
        <f>+IFERROR(VLOOKUP($A37,'Goals &amp; Budget 2026'!$A$2:$EJ$49,123,FALSE),0)</f>
        <v>0</v>
      </c>
      <c r="AD37" s="65" t="str">
        <f t="shared" si="25"/>
        <v>***</v>
      </c>
      <c r="AE37" s="52"/>
      <c r="AF37" s="52">
        <f>+IFERROR(VLOOKUP($A37,'Goals &amp; Budget 2026'!$A$2:$EJ$49,124,FALSE),0)</f>
        <v>0</v>
      </c>
      <c r="AG37" s="232" t="str">
        <f t="shared" si="26"/>
        <v>***</v>
      </c>
      <c r="AH37" s="52"/>
      <c r="AI37" s="52">
        <f>+IFERROR(VLOOKUP($A37,'Goals &amp; Budget 2026'!$A$2:$EJ$49,125,FALSE),0)</f>
        <v>0</v>
      </c>
      <c r="AJ37" s="65" t="str">
        <f t="shared" si="27"/>
        <v>***</v>
      </c>
      <c r="AK37" s="52"/>
      <c r="AL37" s="52">
        <f>+IFERROR(VLOOKUP($A37,'Goals &amp; Budget 2026'!$A$2:$EJ$49,126,FALSE),0)</f>
        <v>0</v>
      </c>
      <c r="AM37" s="65" t="str">
        <f t="shared" si="28"/>
        <v>***</v>
      </c>
      <c r="AN37" s="52"/>
      <c r="AO37" s="52">
        <f>+IFERROR(VLOOKUP($A37,'Goals &amp; Budget 2026'!$A$2:$EJ$49,127,FALSE),0)</f>
        <v>0</v>
      </c>
      <c r="AP37" s="66" t="str">
        <f t="shared" si="29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64">
        <f t="shared" si="15"/>
        <v>0</v>
      </c>
      <c r="E38" s="52">
        <f t="shared" si="16"/>
        <v>0</v>
      </c>
      <c r="F38" s="232" t="str">
        <f t="shared" si="17"/>
        <v>***</v>
      </c>
      <c r="G38" s="52"/>
      <c r="H38" s="52">
        <f>+IFERROR(VLOOKUP($A38,'Goals &amp; Budget 2026'!$A$2:$EJ$49,116,FALSE),0)</f>
        <v>0</v>
      </c>
      <c r="I38" s="65" t="str">
        <f t="shared" si="18"/>
        <v>***</v>
      </c>
      <c r="J38" s="52"/>
      <c r="K38" s="52">
        <f>+IFERROR(VLOOKUP($A38,'Goals &amp; Budget 2026'!$A$2:$EJ$49,117,FALSE),0)</f>
        <v>0</v>
      </c>
      <c r="L38" s="65" t="str">
        <f t="shared" si="19"/>
        <v>***</v>
      </c>
      <c r="M38" s="52"/>
      <c r="N38" s="52">
        <f>+IFERROR(VLOOKUP($A38,'Goals &amp; Budget 2026'!$A$2:$EJ$49,118,FALSE),0)</f>
        <v>0</v>
      </c>
      <c r="O38" s="232" t="str">
        <f t="shared" si="20"/>
        <v>***</v>
      </c>
      <c r="P38" s="52"/>
      <c r="Q38" s="52">
        <f>+IFERROR(VLOOKUP($A38,'Goals &amp; Budget 2026'!$A$2:$EJ$49,119,FALSE),0)</f>
        <v>0</v>
      </c>
      <c r="R38" s="65" t="str">
        <f t="shared" si="21"/>
        <v>***</v>
      </c>
      <c r="S38" s="52"/>
      <c r="T38" s="52">
        <f>+IFERROR(VLOOKUP($A38,'Goals &amp; Budget 2026'!$A$2:$EJ$49,120,FALSE),0)</f>
        <v>0</v>
      </c>
      <c r="U38" s="65" t="str">
        <f t="shared" si="22"/>
        <v>***</v>
      </c>
      <c r="V38" s="52"/>
      <c r="W38" s="52">
        <f>+IFERROR(VLOOKUP($A38,'Goals &amp; Budget 2026'!$A$2:$EJ$49,121,FALSE),0)</f>
        <v>0</v>
      </c>
      <c r="X38" s="232" t="str">
        <f t="shared" si="23"/>
        <v>***</v>
      </c>
      <c r="Y38" s="52"/>
      <c r="Z38" s="52">
        <f>+IFERROR(VLOOKUP($A38,'Goals &amp; Budget 2026'!$A$2:$EJ$49,122,FALSE),0)</f>
        <v>0</v>
      </c>
      <c r="AA38" s="65" t="str">
        <f t="shared" si="24"/>
        <v>***</v>
      </c>
      <c r="AB38" s="52"/>
      <c r="AC38" s="52">
        <f>+IFERROR(VLOOKUP($A38,'Goals &amp; Budget 2026'!$A$2:$EJ$49,123,FALSE),0)</f>
        <v>0</v>
      </c>
      <c r="AD38" s="65" t="str">
        <f t="shared" si="25"/>
        <v>***</v>
      </c>
      <c r="AE38" s="52"/>
      <c r="AF38" s="52">
        <f>+IFERROR(VLOOKUP($A38,'Goals &amp; Budget 2026'!$A$2:$EJ$49,124,FALSE),0)</f>
        <v>0</v>
      </c>
      <c r="AG38" s="232" t="str">
        <f t="shared" si="26"/>
        <v>***</v>
      </c>
      <c r="AH38" s="52"/>
      <c r="AI38" s="52">
        <f>+IFERROR(VLOOKUP($A38,'Goals &amp; Budget 2026'!$A$2:$EJ$49,125,FALSE),0)</f>
        <v>0</v>
      </c>
      <c r="AJ38" s="65" t="str">
        <f t="shared" si="27"/>
        <v>***</v>
      </c>
      <c r="AK38" s="52"/>
      <c r="AL38" s="52">
        <f>+IFERROR(VLOOKUP($A38,'Goals &amp; Budget 2026'!$A$2:$EJ$49,126,FALSE),0)</f>
        <v>0</v>
      </c>
      <c r="AM38" s="65" t="str">
        <f t="shared" si="28"/>
        <v>***</v>
      </c>
      <c r="AN38" s="52"/>
      <c r="AO38" s="52">
        <f>+IFERROR(VLOOKUP($A38,'Goals &amp; Budget 2026'!$A$2:$EJ$49,127,FALSE),0)</f>
        <v>0</v>
      </c>
      <c r="AP38" s="66" t="str">
        <f t="shared" si="29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64">
        <f t="shared" si="15"/>
        <v>0</v>
      </c>
      <c r="E39" s="52">
        <f t="shared" si="16"/>
        <v>0</v>
      </c>
      <c r="F39" s="232" t="str">
        <f t="shared" si="17"/>
        <v>***</v>
      </c>
      <c r="G39" s="52"/>
      <c r="H39" s="52">
        <f>+IFERROR(VLOOKUP($A39,'Goals &amp; Budget 2026'!$A$2:$EJ$49,116,FALSE),0)</f>
        <v>0</v>
      </c>
      <c r="I39" s="65" t="str">
        <f t="shared" si="18"/>
        <v>***</v>
      </c>
      <c r="J39" s="52"/>
      <c r="K39" s="52">
        <f>+IFERROR(VLOOKUP($A39,'Goals &amp; Budget 2026'!$A$2:$EJ$49,117,FALSE),0)</f>
        <v>0</v>
      </c>
      <c r="L39" s="65" t="str">
        <f t="shared" si="19"/>
        <v>***</v>
      </c>
      <c r="M39" s="52"/>
      <c r="N39" s="52">
        <f>+IFERROR(VLOOKUP($A39,'Goals &amp; Budget 2026'!$A$2:$EJ$49,118,FALSE),0)</f>
        <v>0</v>
      </c>
      <c r="O39" s="232" t="str">
        <f t="shared" si="20"/>
        <v>***</v>
      </c>
      <c r="P39" s="52"/>
      <c r="Q39" s="52">
        <f>+IFERROR(VLOOKUP($A39,'Goals &amp; Budget 2026'!$A$2:$EJ$49,119,FALSE),0)</f>
        <v>0</v>
      </c>
      <c r="R39" s="65" t="str">
        <f t="shared" si="21"/>
        <v>***</v>
      </c>
      <c r="S39" s="52"/>
      <c r="T39" s="52">
        <f>+IFERROR(VLOOKUP($A39,'Goals &amp; Budget 2026'!$A$2:$EJ$49,120,FALSE),0)</f>
        <v>0</v>
      </c>
      <c r="U39" s="65" t="str">
        <f t="shared" si="22"/>
        <v>***</v>
      </c>
      <c r="V39" s="52"/>
      <c r="W39" s="52">
        <f>+IFERROR(VLOOKUP($A39,'Goals &amp; Budget 2026'!$A$2:$EJ$49,121,FALSE),0)</f>
        <v>0</v>
      </c>
      <c r="X39" s="232" t="str">
        <f t="shared" si="23"/>
        <v>***</v>
      </c>
      <c r="Y39" s="52"/>
      <c r="Z39" s="52">
        <f>+IFERROR(VLOOKUP($A39,'Goals &amp; Budget 2026'!$A$2:$EJ$49,122,FALSE),0)</f>
        <v>0</v>
      </c>
      <c r="AA39" s="65" t="str">
        <f t="shared" si="24"/>
        <v>***</v>
      </c>
      <c r="AB39" s="52"/>
      <c r="AC39" s="52">
        <f>+IFERROR(VLOOKUP($A39,'Goals &amp; Budget 2026'!$A$2:$EJ$49,123,FALSE),0)</f>
        <v>0</v>
      </c>
      <c r="AD39" s="65" t="str">
        <f t="shared" si="25"/>
        <v>***</v>
      </c>
      <c r="AE39" s="52"/>
      <c r="AF39" s="52">
        <f>+IFERROR(VLOOKUP($A39,'Goals &amp; Budget 2026'!$A$2:$EJ$49,124,FALSE),0)</f>
        <v>0</v>
      </c>
      <c r="AG39" s="232" t="str">
        <f t="shared" si="26"/>
        <v>***</v>
      </c>
      <c r="AH39" s="52"/>
      <c r="AI39" s="52">
        <f>+IFERROR(VLOOKUP($A39,'Goals &amp; Budget 2026'!$A$2:$EJ$49,125,FALSE),0)</f>
        <v>0</v>
      </c>
      <c r="AJ39" s="65" t="str">
        <f t="shared" si="27"/>
        <v>***</v>
      </c>
      <c r="AK39" s="52"/>
      <c r="AL39" s="52">
        <f>+IFERROR(VLOOKUP($A39,'Goals &amp; Budget 2026'!$A$2:$EJ$49,126,FALSE),0)</f>
        <v>0</v>
      </c>
      <c r="AM39" s="65" t="str">
        <f t="shared" si="28"/>
        <v>***</v>
      </c>
      <c r="AN39" s="52"/>
      <c r="AO39" s="52">
        <f>+IFERROR(VLOOKUP($A39,'Goals &amp; Budget 2026'!$A$2:$EJ$49,127,FALSE),0)</f>
        <v>0</v>
      </c>
      <c r="AP39" s="66" t="str">
        <f t="shared" si="29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64">
        <f t="shared" si="15"/>
        <v>0</v>
      </c>
      <c r="E40" s="52">
        <f t="shared" si="16"/>
        <v>0</v>
      </c>
      <c r="F40" s="232" t="str">
        <f t="shared" si="17"/>
        <v>***</v>
      </c>
      <c r="G40" s="52"/>
      <c r="H40" s="52">
        <f>+IFERROR(VLOOKUP($A40,'Goals &amp; Budget 2026'!$A$2:$EJ$49,116,FALSE),0)</f>
        <v>0</v>
      </c>
      <c r="I40" s="65" t="str">
        <f t="shared" si="18"/>
        <v>***</v>
      </c>
      <c r="J40" s="52"/>
      <c r="K40" s="52">
        <f>+IFERROR(VLOOKUP($A40,'Goals &amp; Budget 2026'!$A$2:$EJ$49,117,FALSE),0)</f>
        <v>0</v>
      </c>
      <c r="L40" s="65" t="str">
        <f t="shared" si="19"/>
        <v>***</v>
      </c>
      <c r="M40" s="52"/>
      <c r="N40" s="52">
        <f>+IFERROR(VLOOKUP($A40,'Goals &amp; Budget 2026'!$A$2:$EJ$49,118,FALSE),0)</f>
        <v>0</v>
      </c>
      <c r="O40" s="232" t="str">
        <f t="shared" si="20"/>
        <v>***</v>
      </c>
      <c r="P40" s="52"/>
      <c r="Q40" s="52">
        <f>+IFERROR(VLOOKUP($A40,'Goals &amp; Budget 2026'!$A$2:$EJ$49,119,FALSE),0)</f>
        <v>0</v>
      </c>
      <c r="R40" s="65" t="str">
        <f t="shared" si="21"/>
        <v>***</v>
      </c>
      <c r="S40" s="52"/>
      <c r="T40" s="52">
        <f>+IFERROR(VLOOKUP($A40,'Goals &amp; Budget 2026'!$A$2:$EJ$49,120,FALSE),0)</f>
        <v>0</v>
      </c>
      <c r="U40" s="65" t="str">
        <f t="shared" si="22"/>
        <v>***</v>
      </c>
      <c r="V40" s="52"/>
      <c r="W40" s="52">
        <f>+IFERROR(VLOOKUP($A40,'Goals &amp; Budget 2026'!$A$2:$EJ$49,121,FALSE),0)</f>
        <v>0</v>
      </c>
      <c r="X40" s="232" t="str">
        <f t="shared" si="23"/>
        <v>***</v>
      </c>
      <c r="Y40" s="52"/>
      <c r="Z40" s="52">
        <f>+IFERROR(VLOOKUP($A40,'Goals &amp; Budget 2026'!$A$2:$EJ$49,122,FALSE),0)</f>
        <v>0</v>
      </c>
      <c r="AA40" s="65" t="str">
        <f t="shared" si="24"/>
        <v>***</v>
      </c>
      <c r="AB40" s="52"/>
      <c r="AC40" s="52">
        <f>+IFERROR(VLOOKUP($A40,'Goals &amp; Budget 2026'!$A$2:$EJ$49,123,FALSE),0)</f>
        <v>0</v>
      </c>
      <c r="AD40" s="65" t="str">
        <f t="shared" si="25"/>
        <v>***</v>
      </c>
      <c r="AE40" s="52"/>
      <c r="AF40" s="52">
        <f>+IFERROR(VLOOKUP($A40,'Goals &amp; Budget 2026'!$A$2:$EJ$49,124,FALSE),0)</f>
        <v>0</v>
      </c>
      <c r="AG40" s="232" t="str">
        <f t="shared" si="26"/>
        <v>***</v>
      </c>
      <c r="AH40" s="52"/>
      <c r="AI40" s="52">
        <f>+IFERROR(VLOOKUP($A40,'Goals &amp; Budget 2026'!$A$2:$EJ$49,125,FALSE),0)</f>
        <v>0</v>
      </c>
      <c r="AJ40" s="65" t="str">
        <f t="shared" si="27"/>
        <v>***</v>
      </c>
      <c r="AK40" s="52"/>
      <c r="AL40" s="52">
        <f>+IFERROR(VLOOKUP($A40,'Goals &amp; Budget 2026'!$A$2:$EJ$49,126,FALSE),0)</f>
        <v>0</v>
      </c>
      <c r="AM40" s="65" t="str">
        <f t="shared" si="28"/>
        <v>***</v>
      </c>
      <c r="AN40" s="52"/>
      <c r="AO40" s="52">
        <f>+IFERROR(VLOOKUP($A40,'Goals &amp; Budget 2026'!$A$2:$EJ$49,127,FALSE),0)</f>
        <v>0</v>
      </c>
      <c r="AP40" s="66" t="str">
        <f t="shared" si="29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64">
        <f t="shared" si="15"/>
        <v>0</v>
      </c>
      <c r="E41" s="52">
        <f t="shared" si="16"/>
        <v>0</v>
      </c>
      <c r="F41" s="232" t="str">
        <f t="shared" si="17"/>
        <v>***</v>
      </c>
      <c r="G41" s="52"/>
      <c r="H41" s="52">
        <f>+IFERROR(VLOOKUP($A41,'Goals &amp; Budget 2026'!$A$2:$EJ$49,116,FALSE),0)</f>
        <v>0</v>
      </c>
      <c r="I41" s="65" t="str">
        <f t="shared" si="18"/>
        <v>***</v>
      </c>
      <c r="J41" s="52"/>
      <c r="K41" s="52">
        <f>+IFERROR(VLOOKUP($A41,'Goals &amp; Budget 2026'!$A$2:$EJ$49,117,FALSE),0)</f>
        <v>0</v>
      </c>
      <c r="L41" s="65" t="str">
        <f t="shared" si="19"/>
        <v>***</v>
      </c>
      <c r="M41" s="52"/>
      <c r="N41" s="52">
        <f>+IFERROR(VLOOKUP($A41,'Goals &amp; Budget 2026'!$A$2:$EJ$49,118,FALSE),0)</f>
        <v>0</v>
      </c>
      <c r="O41" s="232" t="str">
        <f t="shared" si="20"/>
        <v>***</v>
      </c>
      <c r="P41" s="52"/>
      <c r="Q41" s="52">
        <f>+IFERROR(VLOOKUP($A41,'Goals &amp; Budget 2026'!$A$2:$EJ$49,119,FALSE),0)</f>
        <v>0</v>
      </c>
      <c r="R41" s="65" t="str">
        <f t="shared" si="21"/>
        <v>***</v>
      </c>
      <c r="S41" s="52"/>
      <c r="T41" s="52">
        <f>+IFERROR(VLOOKUP($A41,'Goals &amp; Budget 2026'!$A$2:$EJ$49,120,FALSE),0)</f>
        <v>0</v>
      </c>
      <c r="U41" s="65" t="str">
        <f t="shared" si="22"/>
        <v>***</v>
      </c>
      <c r="V41" s="52"/>
      <c r="W41" s="52">
        <f>+IFERROR(VLOOKUP($A41,'Goals &amp; Budget 2026'!$A$2:$EJ$49,121,FALSE),0)</f>
        <v>0</v>
      </c>
      <c r="X41" s="232" t="str">
        <f t="shared" si="23"/>
        <v>***</v>
      </c>
      <c r="Y41" s="52"/>
      <c r="Z41" s="52">
        <f>+IFERROR(VLOOKUP($A41,'Goals &amp; Budget 2026'!$A$2:$EJ$49,122,FALSE),0)</f>
        <v>0</v>
      </c>
      <c r="AA41" s="65" t="str">
        <f t="shared" si="24"/>
        <v>***</v>
      </c>
      <c r="AB41" s="52"/>
      <c r="AC41" s="52">
        <f>+IFERROR(VLOOKUP($A41,'Goals &amp; Budget 2026'!$A$2:$EJ$49,123,FALSE),0)</f>
        <v>0</v>
      </c>
      <c r="AD41" s="65" t="str">
        <f t="shared" si="25"/>
        <v>***</v>
      </c>
      <c r="AE41" s="52"/>
      <c r="AF41" s="52">
        <f>+IFERROR(VLOOKUP($A41,'Goals &amp; Budget 2026'!$A$2:$EJ$49,124,FALSE),0)</f>
        <v>0</v>
      </c>
      <c r="AG41" s="232" t="str">
        <f t="shared" si="26"/>
        <v>***</v>
      </c>
      <c r="AH41" s="52"/>
      <c r="AI41" s="52">
        <f>+IFERROR(VLOOKUP($A41,'Goals &amp; Budget 2026'!$A$2:$EJ$49,125,FALSE),0)</f>
        <v>0</v>
      </c>
      <c r="AJ41" s="65" t="str">
        <f t="shared" si="27"/>
        <v>***</v>
      </c>
      <c r="AK41" s="52"/>
      <c r="AL41" s="52">
        <f>+IFERROR(VLOOKUP($A41,'Goals &amp; Budget 2026'!$A$2:$EJ$49,126,FALSE),0)</f>
        <v>0</v>
      </c>
      <c r="AM41" s="65" t="str">
        <f t="shared" si="28"/>
        <v>***</v>
      </c>
      <c r="AN41" s="52"/>
      <c r="AO41" s="52">
        <f>+IFERROR(VLOOKUP($A41,'Goals &amp; Budget 2026'!$A$2:$EJ$49,127,FALSE),0)</f>
        <v>0</v>
      </c>
      <c r="AP41" s="66" t="str">
        <f t="shared" si="29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64">
        <f t="shared" si="15"/>
        <v>0</v>
      </c>
      <c r="E42" s="52">
        <f t="shared" si="16"/>
        <v>0</v>
      </c>
      <c r="F42" s="232" t="str">
        <f t="shared" si="17"/>
        <v>***</v>
      </c>
      <c r="G42" s="52"/>
      <c r="H42" s="52">
        <f>+IFERROR(VLOOKUP($A42,'Goals &amp; Budget 2026'!$A$2:$EJ$49,116,FALSE),0)</f>
        <v>0</v>
      </c>
      <c r="I42" s="65" t="str">
        <f t="shared" si="18"/>
        <v>***</v>
      </c>
      <c r="J42" s="52"/>
      <c r="K42" s="52">
        <f>+IFERROR(VLOOKUP($A42,'Goals &amp; Budget 2026'!$A$2:$EJ$49,117,FALSE),0)</f>
        <v>0</v>
      </c>
      <c r="L42" s="65" t="str">
        <f t="shared" si="19"/>
        <v>***</v>
      </c>
      <c r="M42" s="52"/>
      <c r="N42" s="52">
        <f>+IFERROR(VLOOKUP($A42,'Goals &amp; Budget 2026'!$A$2:$EJ$49,118,FALSE),0)</f>
        <v>0</v>
      </c>
      <c r="O42" s="232" t="str">
        <f t="shared" si="20"/>
        <v>***</v>
      </c>
      <c r="P42" s="52"/>
      <c r="Q42" s="52">
        <f>+IFERROR(VLOOKUP($A42,'Goals &amp; Budget 2026'!$A$2:$EJ$49,119,FALSE),0)</f>
        <v>0</v>
      </c>
      <c r="R42" s="65" t="str">
        <f t="shared" si="21"/>
        <v>***</v>
      </c>
      <c r="S42" s="52"/>
      <c r="T42" s="52">
        <f>+IFERROR(VLOOKUP($A42,'Goals &amp; Budget 2026'!$A$2:$EJ$49,120,FALSE),0)</f>
        <v>0</v>
      </c>
      <c r="U42" s="65" t="str">
        <f t="shared" si="22"/>
        <v>***</v>
      </c>
      <c r="V42" s="52"/>
      <c r="W42" s="52">
        <f>+IFERROR(VLOOKUP($A42,'Goals &amp; Budget 2026'!$A$2:$EJ$49,121,FALSE),0)</f>
        <v>0</v>
      </c>
      <c r="X42" s="232" t="str">
        <f t="shared" si="23"/>
        <v>***</v>
      </c>
      <c r="Y42" s="52"/>
      <c r="Z42" s="52">
        <f>+IFERROR(VLOOKUP($A42,'Goals &amp; Budget 2026'!$A$2:$EJ$49,122,FALSE),0)</f>
        <v>0</v>
      </c>
      <c r="AA42" s="65" t="str">
        <f t="shared" si="24"/>
        <v>***</v>
      </c>
      <c r="AB42" s="52"/>
      <c r="AC42" s="52">
        <f>+IFERROR(VLOOKUP($A42,'Goals &amp; Budget 2026'!$A$2:$EJ$49,123,FALSE),0)</f>
        <v>0</v>
      </c>
      <c r="AD42" s="65" t="str">
        <f t="shared" si="25"/>
        <v>***</v>
      </c>
      <c r="AE42" s="52"/>
      <c r="AF42" s="52">
        <f>+IFERROR(VLOOKUP($A42,'Goals &amp; Budget 2026'!$A$2:$EJ$49,124,FALSE),0)</f>
        <v>0</v>
      </c>
      <c r="AG42" s="232" t="str">
        <f t="shared" si="26"/>
        <v>***</v>
      </c>
      <c r="AH42" s="52"/>
      <c r="AI42" s="52">
        <f>+IFERROR(VLOOKUP($A42,'Goals &amp; Budget 2026'!$A$2:$EJ$49,125,FALSE),0)</f>
        <v>0</v>
      </c>
      <c r="AJ42" s="65" t="str">
        <f t="shared" si="27"/>
        <v>***</v>
      </c>
      <c r="AK42" s="52"/>
      <c r="AL42" s="52">
        <f>+IFERROR(VLOOKUP($A42,'Goals &amp; Budget 2026'!$A$2:$EJ$49,126,FALSE),0)</f>
        <v>0</v>
      </c>
      <c r="AM42" s="65" t="str">
        <f t="shared" si="28"/>
        <v>***</v>
      </c>
      <c r="AN42" s="52"/>
      <c r="AO42" s="52">
        <f>+IFERROR(VLOOKUP($A42,'Goals &amp; Budget 2026'!$A$2:$EJ$49,127,FALSE),0)</f>
        <v>0</v>
      </c>
      <c r="AP42" s="66" t="str">
        <f t="shared" si="29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64">
        <f t="shared" si="15"/>
        <v>0</v>
      </c>
      <c r="E43" s="52">
        <f t="shared" si="16"/>
        <v>0</v>
      </c>
      <c r="F43" s="232" t="str">
        <f t="shared" si="17"/>
        <v>***</v>
      </c>
      <c r="G43" s="52"/>
      <c r="H43" s="52">
        <f>+IFERROR(VLOOKUP($A43,'Goals &amp; Budget 2026'!$A$2:$EJ$49,116,FALSE),0)</f>
        <v>0</v>
      </c>
      <c r="I43" s="65" t="str">
        <f t="shared" si="18"/>
        <v>***</v>
      </c>
      <c r="J43" s="52"/>
      <c r="K43" s="52">
        <f>+IFERROR(VLOOKUP($A43,'Goals &amp; Budget 2026'!$A$2:$EJ$49,117,FALSE),0)</f>
        <v>0</v>
      </c>
      <c r="L43" s="65" t="str">
        <f t="shared" si="19"/>
        <v>***</v>
      </c>
      <c r="M43" s="52"/>
      <c r="N43" s="52">
        <f>+IFERROR(VLOOKUP($A43,'Goals &amp; Budget 2026'!$A$2:$EJ$49,118,FALSE),0)</f>
        <v>0</v>
      </c>
      <c r="O43" s="232" t="str">
        <f t="shared" si="20"/>
        <v>***</v>
      </c>
      <c r="P43" s="52"/>
      <c r="Q43" s="52">
        <f>+IFERROR(VLOOKUP($A43,'Goals &amp; Budget 2026'!$A$2:$EJ$49,119,FALSE),0)</f>
        <v>0</v>
      </c>
      <c r="R43" s="65" t="str">
        <f t="shared" si="21"/>
        <v>***</v>
      </c>
      <c r="S43" s="52"/>
      <c r="T43" s="52">
        <f>+IFERROR(VLOOKUP($A43,'Goals &amp; Budget 2026'!$A$2:$EJ$49,120,FALSE),0)</f>
        <v>0</v>
      </c>
      <c r="U43" s="65" t="str">
        <f t="shared" si="22"/>
        <v>***</v>
      </c>
      <c r="V43" s="52"/>
      <c r="W43" s="52">
        <f>+IFERROR(VLOOKUP($A43,'Goals &amp; Budget 2026'!$A$2:$EJ$49,121,FALSE),0)</f>
        <v>0</v>
      </c>
      <c r="X43" s="232" t="str">
        <f t="shared" si="23"/>
        <v>***</v>
      </c>
      <c r="Y43" s="52"/>
      <c r="Z43" s="52">
        <f>+IFERROR(VLOOKUP($A43,'Goals &amp; Budget 2026'!$A$2:$EJ$49,122,FALSE),0)</f>
        <v>0</v>
      </c>
      <c r="AA43" s="65" t="str">
        <f t="shared" si="24"/>
        <v>***</v>
      </c>
      <c r="AB43" s="52"/>
      <c r="AC43" s="52">
        <f>+IFERROR(VLOOKUP($A43,'Goals &amp; Budget 2026'!$A$2:$EJ$49,123,FALSE),0)</f>
        <v>0</v>
      </c>
      <c r="AD43" s="65" t="str">
        <f t="shared" si="25"/>
        <v>***</v>
      </c>
      <c r="AE43" s="52"/>
      <c r="AF43" s="52">
        <f>+IFERROR(VLOOKUP($A43,'Goals &amp; Budget 2026'!$A$2:$EJ$49,124,FALSE),0)</f>
        <v>0</v>
      </c>
      <c r="AG43" s="232" t="str">
        <f t="shared" si="26"/>
        <v>***</v>
      </c>
      <c r="AH43" s="52"/>
      <c r="AI43" s="52">
        <f>+IFERROR(VLOOKUP($A43,'Goals &amp; Budget 2026'!$A$2:$EJ$49,125,FALSE),0)</f>
        <v>0</v>
      </c>
      <c r="AJ43" s="65" t="str">
        <f t="shared" si="27"/>
        <v>***</v>
      </c>
      <c r="AK43" s="52"/>
      <c r="AL43" s="52">
        <f>+IFERROR(VLOOKUP($A43,'Goals &amp; Budget 2026'!$A$2:$EJ$49,126,FALSE),0)</f>
        <v>0</v>
      </c>
      <c r="AM43" s="65" t="str">
        <f t="shared" si="28"/>
        <v>***</v>
      </c>
      <c r="AN43" s="52"/>
      <c r="AO43" s="52">
        <f>+IFERROR(VLOOKUP($A43,'Goals &amp; Budget 2026'!$A$2:$EJ$49,127,FALSE),0)</f>
        <v>0</v>
      </c>
      <c r="AP43" s="66" t="str">
        <f t="shared" si="29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15"/>
        <v>0</v>
      </c>
      <c r="E44" s="54">
        <f t="shared" si="16"/>
        <v>0</v>
      </c>
      <c r="F44" s="232" t="str">
        <f t="shared" si="17"/>
        <v>***</v>
      </c>
      <c r="G44" s="54"/>
      <c r="H44" s="54">
        <f>+IFERROR(VLOOKUP($A44,'Goals &amp; Budget 2026'!$A$2:$EJ$49,116,FALSE),0)</f>
        <v>0</v>
      </c>
      <c r="I44" s="65" t="str">
        <f t="shared" si="18"/>
        <v>***</v>
      </c>
      <c r="J44" s="54"/>
      <c r="K44" s="54">
        <f>+IFERROR(VLOOKUP($A44,'Goals &amp; Budget 2026'!$A$2:$EJ$49,117,FALSE),0)</f>
        <v>0</v>
      </c>
      <c r="L44" s="65" t="str">
        <f t="shared" si="19"/>
        <v>***</v>
      </c>
      <c r="M44" s="54"/>
      <c r="N44" s="54">
        <f>+IFERROR(VLOOKUP($A44,'Goals &amp; Budget 2026'!$A$2:$EJ$49,118,FALSE),0)</f>
        <v>0</v>
      </c>
      <c r="O44" s="232" t="str">
        <f t="shared" si="20"/>
        <v>***</v>
      </c>
      <c r="P44" s="54"/>
      <c r="Q44" s="54">
        <f>+IFERROR(VLOOKUP($A44,'Goals &amp; Budget 2026'!$A$2:$EJ$49,119,FALSE),0)</f>
        <v>0</v>
      </c>
      <c r="R44" s="65" t="str">
        <f t="shared" si="21"/>
        <v>***</v>
      </c>
      <c r="S44" s="54"/>
      <c r="T44" s="54">
        <f>+IFERROR(VLOOKUP($A44,'Goals &amp; Budget 2026'!$A$2:$EJ$49,120,FALSE),0)</f>
        <v>0</v>
      </c>
      <c r="U44" s="65" t="str">
        <f t="shared" si="22"/>
        <v>***</v>
      </c>
      <c r="V44" s="54"/>
      <c r="W44" s="54">
        <f>+IFERROR(VLOOKUP($A44,'Goals &amp; Budget 2026'!$A$2:$EJ$49,121,FALSE),0)</f>
        <v>0</v>
      </c>
      <c r="X44" s="232" t="str">
        <f t="shared" si="23"/>
        <v>***</v>
      </c>
      <c r="Y44" s="54"/>
      <c r="Z44" s="54">
        <f>+IFERROR(VLOOKUP($A44,'Goals &amp; Budget 2026'!$A$2:$EJ$49,122,FALSE),0)</f>
        <v>0</v>
      </c>
      <c r="AA44" s="65" t="str">
        <f t="shared" si="24"/>
        <v>***</v>
      </c>
      <c r="AB44" s="54"/>
      <c r="AC44" s="54">
        <f>+IFERROR(VLOOKUP($A44,'Goals &amp; Budget 2026'!$A$2:$EJ$49,123,FALSE),0)</f>
        <v>0</v>
      </c>
      <c r="AD44" s="65" t="str">
        <f t="shared" si="25"/>
        <v>***</v>
      </c>
      <c r="AE44" s="54"/>
      <c r="AF44" s="54">
        <f>+IFERROR(VLOOKUP($A44,'Goals &amp; Budget 2026'!$A$2:$EJ$49,124,FALSE),0)</f>
        <v>0</v>
      </c>
      <c r="AG44" s="232" t="str">
        <f t="shared" si="26"/>
        <v>***</v>
      </c>
      <c r="AH44" s="54"/>
      <c r="AI44" s="54">
        <f>+IFERROR(VLOOKUP($A44,'Goals &amp; Budget 2026'!$A$2:$EJ$49,125,FALSE),0)</f>
        <v>0</v>
      </c>
      <c r="AJ44" s="65" t="str">
        <f t="shared" si="27"/>
        <v>***</v>
      </c>
      <c r="AK44" s="54"/>
      <c r="AL44" s="54">
        <f>+IFERROR(VLOOKUP($A44,'Goals &amp; Budget 2026'!$A$2:$EJ$49,126,FALSE),0)</f>
        <v>0</v>
      </c>
      <c r="AM44" s="65" t="str">
        <f t="shared" si="28"/>
        <v>***</v>
      </c>
      <c r="AN44" s="54"/>
      <c r="AO44" s="54">
        <f>+IFERROR(VLOOKUP($A44,'Goals &amp; Budget 2026'!$A$2:$EJ$49,127,FALSE),0)</f>
        <v>0</v>
      </c>
      <c r="AP44" s="66" t="str">
        <f t="shared" si="29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15"/>
        <v>0</v>
      </c>
      <c r="E45" s="54">
        <f t="shared" si="16"/>
        <v>0</v>
      </c>
      <c r="F45" s="232" t="str">
        <f t="shared" si="17"/>
        <v>***</v>
      </c>
      <c r="G45" s="54"/>
      <c r="H45" s="54">
        <f>+IFERROR(VLOOKUP($A45,'Goals &amp; Budget 2026'!$A$2:$EJ$49,116,FALSE),0)</f>
        <v>0</v>
      </c>
      <c r="I45" s="65" t="str">
        <f t="shared" si="18"/>
        <v>***</v>
      </c>
      <c r="J45" s="54"/>
      <c r="K45" s="54">
        <f>+IFERROR(VLOOKUP($A45,'Goals &amp; Budget 2026'!$A$2:$EJ$49,117,FALSE),0)</f>
        <v>0</v>
      </c>
      <c r="L45" s="65" t="str">
        <f t="shared" si="19"/>
        <v>***</v>
      </c>
      <c r="M45" s="54"/>
      <c r="N45" s="54">
        <f>+IFERROR(VLOOKUP($A45,'Goals &amp; Budget 2026'!$A$2:$EJ$49,118,FALSE),0)</f>
        <v>0</v>
      </c>
      <c r="O45" s="232" t="str">
        <f t="shared" si="20"/>
        <v>***</v>
      </c>
      <c r="P45" s="54"/>
      <c r="Q45" s="54">
        <f>+IFERROR(VLOOKUP($A45,'Goals &amp; Budget 2026'!$A$2:$EJ$49,119,FALSE),0)</f>
        <v>0</v>
      </c>
      <c r="R45" s="65" t="str">
        <f t="shared" si="21"/>
        <v>***</v>
      </c>
      <c r="S45" s="54"/>
      <c r="T45" s="54">
        <f>+IFERROR(VLOOKUP($A45,'Goals &amp; Budget 2026'!$A$2:$EJ$49,120,FALSE),0)</f>
        <v>0</v>
      </c>
      <c r="U45" s="65" t="str">
        <f t="shared" si="22"/>
        <v>***</v>
      </c>
      <c r="V45" s="54"/>
      <c r="W45" s="54">
        <f>+IFERROR(VLOOKUP($A45,'Goals &amp; Budget 2026'!$A$2:$EJ$49,121,FALSE),0)</f>
        <v>0</v>
      </c>
      <c r="X45" s="232" t="str">
        <f t="shared" si="23"/>
        <v>***</v>
      </c>
      <c r="Y45" s="54"/>
      <c r="Z45" s="54">
        <f>+IFERROR(VLOOKUP($A45,'Goals &amp; Budget 2026'!$A$2:$EJ$49,122,FALSE),0)</f>
        <v>0</v>
      </c>
      <c r="AA45" s="65" t="str">
        <f t="shared" si="24"/>
        <v>***</v>
      </c>
      <c r="AB45" s="54"/>
      <c r="AC45" s="54">
        <f>+IFERROR(VLOOKUP($A45,'Goals &amp; Budget 2026'!$A$2:$EJ$49,123,FALSE),0)</f>
        <v>0</v>
      </c>
      <c r="AD45" s="65" t="str">
        <f t="shared" si="25"/>
        <v>***</v>
      </c>
      <c r="AE45" s="54"/>
      <c r="AF45" s="54">
        <f>+IFERROR(VLOOKUP($A45,'Goals &amp; Budget 2026'!$A$2:$EJ$49,124,FALSE),0)</f>
        <v>0</v>
      </c>
      <c r="AG45" s="232" t="str">
        <f t="shared" si="26"/>
        <v>***</v>
      </c>
      <c r="AH45" s="54"/>
      <c r="AI45" s="54">
        <f>+IFERROR(VLOOKUP($A45,'Goals &amp; Budget 2026'!$A$2:$EJ$49,125,FALSE),0)</f>
        <v>0</v>
      </c>
      <c r="AJ45" s="65" t="str">
        <f t="shared" si="27"/>
        <v>***</v>
      </c>
      <c r="AK45" s="54"/>
      <c r="AL45" s="54">
        <f>+IFERROR(VLOOKUP($A45,'Goals &amp; Budget 2026'!$A$2:$EJ$49,126,FALSE),0)</f>
        <v>0.01</v>
      </c>
      <c r="AM45" s="65">
        <f t="shared" si="28"/>
        <v>0</v>
      </c>
      <c r="AN45" s="54"/>
      <c r="AO45" s="54">
        <f>+IFERROR(VLOOKUP($A45,'Goals &amp; Budget 2026'!$A$2:$EJ$49,127,FALSE),0)</f>
        <v>0.04</v>
      </c>
      <c r="AP45" s="66">
        <f t="shared" si="29"/>
        <v>0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64">
        <f t="shared" si="15"/>
        <v>0</v>
      </c>
      <c r="E46" s="52">
        <f t="shared" si="16"/>
        <v>0</v>
      </c>
      <c r="F46" s="232" t="str">
        <f t="shared" si="17"/>
        <v>***</v>
      </c>
      <c r="G46" s="52"/>
      <c r="H46" s="52">
        <f>+IFERROR(VLOOKUP($A46,'Goals &amp; Budget 2026'!$A$2:$EJ$49,116,FALSE),0)</f>
        <v>0</v>
      </c>
      <c r="I46" s="65" t="str">
        <f t="shared" si="18"/>
        <v>***</v>
      </c>
      <c r="J46" s="52"/>
      <c r="K46" s="52">
        <f>+IFERROR(VLOOKUP($A46,'Goals &amp; Budget 2026'!$A$2:$EJ$49,117,FALSE),0)</f>
        <v>0</v>
      </c>
      <c r="L46" s="65" t="str">
        <f t="shared" si="19"/>
        <v>***</v>
      </c>
      <c r="M46" s="52"/>
      <c r="N46" s="52">
        <f>+IFERROR(VLOOKUP($A46,'Goals &amp; Budget 2026'!$A$2:$EJ$49,118,FALSE),0)</f>
        <v>0</v>
      </c>
      <c r="O46" s="232" t="str">
        <f t="shared" si="20"/>
        <v>***</v>
      </c>
      <c r="P46" s="52"/>
      <c r="Q46" s="52">
        <f>+IFERROR(VLOOKUP($A46,'Goals &amp; Budget 2026'!$A$2:$EJ$49,119,FALSE),0)</f>
        <v>0</v>
      </c>
      <c r="R46" s="65" t="str">
        <f t="shared" si="21"/>
        <v>***</v>
      </c>
      <c r="S46" s="52"/>
      <c r="T46" s="52">
        <f>+IFERROR(VLOOKUP($A46,'Goals &amp; Budget 2026'!$A$2:$EJ$49,120,FALSE),0)</f>
        <v>0</v>
      </c>
      <c r="U46" s="65" t="str">
        <f t="shared" si="22"/>
        <v>***</v>
      </c>
      <c r="V46" s="52"/>
      <c r="W46" s="52">
        <f>+IFERROR(VLOOKUP($A46,'Goals &amp; Budget 2026'!$A$2:$EJ$49,121,FALSE),0)</f>
        <v>0</v>
      </c>
      <c r="X46" s="232" t="str">
        <f t="shared" si="23"/>
        <v>***</v>
      </c>
      <c r="Y46" s="52"/>
      <c r="Z46" s="52">
        <f>+IFERROR(VLOOKUP($A46,'Goals &amp; Budget 2026'!$A$2:$EJ$49,122,FALSE),0)</f>
        <v>0</v>
      </c>
      <c r="AA46" s="65" t="str">
        <f t="shared" si="24"/>
        <v>***</v>
      </c>
      <c r="AB46" s="52"/>
      <c r="AC46" s="52">
        <f>+IFERROR(VLOOKUP($A46,'Goals &amp; Budget 2026'!$A$2:$EJ$49,123,FALSE),0)</f>
        <v>0</v>
      </c>
      <c r="AD46" s="65" t="str">
        <f t="shared" si="25"/>
        <v>***</v>
      </c>
      <c r="AE46" s="52"/>
      <c r="AF46" s="52">
        <f>+IFERROR(VLOOKUP($A46,'Goals &amp; Budget 2026'!$A$2:$EJ$49,124,FALSE),0)</f>
        <v>0</v>
      </c>
      <c r="AG46" s="232" t="str">
        <f t="shared" si="26"/>
        <v>***</v>
      </c>
      <c r="AH46" s="52"/>
      <c r="AI46" s="52">
        <f>+IFERROR(VLOOKUP($A46,'Goals &amp; Budget 2026'!$A$2:$EJ$49,125,FALSE),0)</f>
        <v>0</v>
      </c>
      <c r="AJ46" s="65" t="str">
        <f t="shared" si="27"/>
        <v>***</v>
      </c>
      <c r="AK46" s="52"/>
      <c r="AL46" s="52">
        <f>+IFERROR(VLOOKUP($A46,'Goals &amp; Budget 2026'!$A$2:$EJ$49,126,FALSE),0)</f>
        <v>0</v>
      </c>
      <c r="AM46" s="65" t="str">
        <f t="shared" si="28"/>
        <v>***</v>
      </c>
      <c r="AN46" s="52"/>
      <c r="AO46" s="52">
        <f>+IFERROR(VLOOKUP($A46,'Goals &amp; Budget 2026'!$A$2:$EJ$49,127,FALSE),0)</f>
        <v>0</v>
      </c>
      <c r="AP46" s="66" t="str">
        <f t="shared" si="29"/>
        <v>***</v>
      </c>
    </row>
    <row r="47" spans="1:42" ht="20.100000000000001" customHeight="1" thickBot="1" x14ac:dyDescent="0.3">
      <c r="A47" s="233" t="s">
        <v>106</v>
      </c>
      <c r="B47" s="234">
        <v>1</v>
      </c>
      <c r="C47" s="235">
        <v>378</v>
      </c>
      <c r="D47" s="246">
        <f t="shared" si="15"/>
        <v>0</v>
      </c>
      <c r="E47" s="234">
        <f t="shared" si="16"/>
        <v>0</v>
      </c>
      <c r="F47" s="247" t="str">
        <f t="shared" si="17"/>
        <v>***</v>
      </c>
      <c r="G47" s="234"/>
      <c r="H47" s="234">
        <f>+IFERROR(VLOOKUP($A47,'Goals &amp; Budget 2026'!$A$2:$EJ$49,116,FALSE),0)</f>
        <v>0</v>
      </c>
      <c r="I47" s="248" t="str">
        <f t="shared" si="18"/>
        <v>***</v>
      </c>
      <c r="J47" s="234"/>
      <c r="K47" s="234">
        <f>+IFERROR(VLOOKUP($A47,'Goals &amp; Budget 2026'!$A$2:$EJ$49,117,FALSE),0)</f>
        <v>0</v>
      </c>
      <c r="L47" s="248" t="str">
        <f t="shared" si="19"/>
        <v>***</v>
      </c>
      <c r="M47" s="234"/>
      <c r="N47" s="234">
        <f>+IFERROR(VLOOKUP($A47,'Goals &amp; Budget 2026'!$A$2:$EJ$49,118,FALSE),0)</f>
        <v>0</v>
      </c>
      <c r="O47" s="247" t="str">
        <f t="shared" si="20"/>
        <v>***</v>
      </c>
      <c r="P47" s="234"/>
      <c r="Q47" s="234">
        <f>+IFERROR(VLOOKUP($A47,'Goals &amp; Budget 2026'!$A$2:$EJ$49,119,FALSE),0)</f>
        <v>0</v>
      </c>
      <c r="R47" s="248" t="str">
        <f t="shared" si="21"/>
        <v>***</v>
      </c>
      <c r="S47" s="234"/>
      <c r="T47" s="234">
        <f>+IFERROR(VLOOKUP($A47,'Goals &amp; Budget 2026'!$A$2:$EJ$49,120,FALSE),0)</f>
        <v>0</v>
      </c>
      <c r="U47" s="248" t="str">
        <f t="shared" si="22"/>
        <v>***</v>
      </c>
      <c r="V47" s="234"/>
      <c r="W47" s="234">
        <f>+IFERROR(VLOOKUP($A47,'Goals &amp; Budget 2026'!$A$2:$EJ$49,121,FALSE),0)</f>
        <v>0</v>
      </c>
      <c r="X47" s="247" t="str">
        <f t="shared" si="23"/>
        <v>***</v>
      </c>
      <c r="Y47" s="234"/>
      <c r="Z47" s="234">
        <f>+IFERROR(VLOOKUP($A47,'Goals &amp; Budget 2026'!$A$2:$EJ$49,122,FALSE),0)</f>
        <v>0</v>
      </c>
      <c r="AA47" s="248" t="str">
        <f t="shared" si="24"/>
        <v>***</v>
      </c>
      <c r="AB47" s="234"/>
      <c r="AC47" s="234">
        <f>+IFERROR(VLOOKUP($A47,'Goals &amp; Budget 2026'!$A$2:$EJ$49,123,FALSE),0)</f>
        <v>0</v>
      </c>
      <c r="AD47" s="248" t="str">
        <f t="shared" si="25"/>
        <v>***</v>
      </c>
      <c r="AE47" s="234"/>
      <c r="AF47" s="234">
        <f>+IFERROR(VLOOKUP($A47,'Goals &amp; Budget 2026'!$A$2:$EJ$49,124,FALSE),0)</f>
        <v>0</v>
      </c>
      <c r="AG47" s="247" t="str">
        <f t="shared" si="26"/>
        <v>***</v>
      </c>
      <c r="AH47" s="234"/>
      <c r="AI47" s="234">
        <f>+IFERROR(VLOOKUP($A47,'Goals &amp; Budget 2026'!$A$2:$EJ$49,125,FALSE),0)</f>
        <v>0</v>
      </c>
      <c r="AJ47" s="248" t="str">
        <f t="shared" si="27"/>
        <v>***</v>
      </c>
      <c r="AK47" s="234"/>
      <c r="AL47" s="234">
        <f>+IFERROR(VLOOKUP($A47,'Goals &amp; Budget 2026'!$A$2:$EJ$49,126,FALSE),0)</f>
        <v>0</v>
      </c>
      <c r="AM47" s="248" t="str">
        <f t="shared" si="28"/>
        <v>***</v>
      </c>
      <c r="AN47" s="234"/>
      <c r="AO47" s="234">
        <f>+IFERROR(VLOOKUP($A47,'Goals &amp; Budget 2026'!$A$2:$EJ$49,127,FALSE),0)</f>
        <v>0</v>
      </c>
      <c r="AP47" s="249" t="str">
        <f t="shared" si="29"/>
        <v>***</v>
      </c>
    </row>
  </sheetData>
  <mergeCells count="14">
    <mergeCell ref="P1:R1"/>
    <mergeCell ref="A1:C1"/>
    <mergeCell ref="D1:F1"/>
    <mergeCell ref="G1:I1"/>
    <mergeCell ref="J1:L1"/>
    <mergeCell ref="M1:O1"/>
    <mergeCell ref="AK1:AM1"/>
    <mergeCell ref="AN1:AP1"/>
    <mergeCell ref="S1:U1"/>
    <mergeCell ref="V1:X1"/>
    <mergeCell ref="Y1:AA1"/>
    <mergeCell ref="AB1:AD1"/>
    <mergeCell ref="AE1:AG1"/>
    <mergeCell ref="AH1:AJ1"/>
  </mergeCells>
  <conditionalFormatting sqref="F3:F47 I3:I47 L3:L47 O3:O47 R3:R47 U3:U47 X3:X47 AA3:AA47 AD3:AD47 AG3:AG47 AJ3:AJ47 AM3:AM47 AP3:AP47">
    <cfRule type="cellIs" priority="1" operator="equal">
      <formula>"***"</formula>
    </cfRule>
    <cfRule type="cellIs" dxfId="5" priority="2" operator="lessThan">
      <formula>1</formula>
    </cfRule>
    <cfRule type="cellIs" dxfId="4" priority="3" operator="greaterThanOr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C7FE-4480-485B-BC8F-667762807194}">
  <sheetPr>
    <tabColor theme="8" tint="0.59999389629810485"/>
  </sheetPr>
  <dimension ref="A1:AP49"/>
  <sheetViews>
    <sheetView showGridLines="0" zoomScale="55" zoomScaleNormal="5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T24" sqref="A1:AP49"/>
    </sheetView>
  </sheetViews>
  <sheetFormatPr defaultRowHeight="20.100000000000001" customHeight="1" x14ac:dyDescent="0.25"/>
  <cols>
    <col min="1" max="1" width="15.85546875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+'KPIs - Schematics'!D1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35">
        <f>+G3</f>
        <v>0</v>
      </c>
      <c r="E3" s="38">
        <f>+H3</f>
        <v>0</v>
      </c>
      <c r="F3" s="230" t="str">
        <f>IF(AND(D3&gt;0,E3&gt;0),D3/E3,IF(AND(D3&gt;0,E3=0),100%,IF(AND(D3=0,E3&gt;0),0,IF(AND(D3=0,E3=0),"***",0))))</f>
        <v>***</v>
      </c>
      <c r="G3" s="38"/>
      <c r="H3" s="38">
        <f>+IFERROR(VLOOKUP($A3,'Goals &amp; Budget 2026'!$A$2:$EJ$49,128,FALSE),0)</f>
        <v>0</v>
      </c>
      <c r="I3" s="49" t="str">
        <f>IF(AND(G3&gt;0,H3&gt;0),G3/H3,IF(AND(G3&gt;0,H3=0),100%,IF(AND(G3=0,H3&gt;0),0,IF(AND(G3=0,H3=0),"***",0))))</f>
        <v>***</v>
      </c>
      <c r="J3" s="38"/>
      <c r="K3" s="38">
        <f>+IFERROR(VLOOKUP($A3,'Goals &amp; Budget 2026'!$A$2:$EJ$49,129,FALSE),0)</f>
        <v>0</v>
      </c>
      <c r="L3" s="49" t="str">
        <f>IF(AND(J3&gt;0,K3&gt;0),J3/K3,IF(AND(J3&gt;0,K3=0),100%,IF(AND(J3=0,K3&gt;0),0,IF(AND(J3=0,K3=0),"***",0))))</f>
        <v>***</v>
      </c>
      <c r="M3" s="38"/>
      <c r="N3" s="38">
        <f>+IFERROR(VLOOKUP($A3,'Goals &amp; Budget 2026'!$A$2:$EJ$49,130,FALSE),0)</f>
        <v>0</v>
      </c>
      <c r="O3" s="230" t="str">
        <f>IF(AND(M3&gt;0,N3&gt;0),M3/N3,IF(AND(M3&gt;0,N3=0),100%,IF(AND(M3=0,N3&gt;0),0,IF(AND(M3=0,N3=0),"***",0))))</f>
        <v>***</v>
      </c>
      <c r="P3" s="38"/>
      <c r="Q3" s="38">
        <f>+IFERROR(VLOOKUP($A3,'Goals &amp; Budget 2026'!$A$2:$EJ$49,131,FALSE),0)</f>
        <v>0</v>
      </c>
      <c r="R3" s="49" t="str">
        <f>IF(AND(P3&gt;0,Q3&gt;0),P3/Q3,IF(AND(P3&gt;0,Q3=0),100%,IF(AND(P3=0,Q3&gt;0),0,IF(AND(P3=0,Q3=0),"***",0))))</f>
        <v>***</v>
      </c>
      <c r="S3" s="38"/>
      <c r="T3" s="38">
        <f>+IFERROR(VLOOKUP($A3,'Goals &amp; Budget 2026'!$A$2:$EJ$49,132,FALSE),0)</f>
        <v>0</v>
      </c>
      <c r="U3" s="49" t="str">
        <f>IF(AND(S3&gt;0,T3&gt;0),S3/T3,IF(AND(S3&gt;0,T3=0),100%,IF(AND(S3=0,T3&gt;0),0,IF(AND(S3=0,T3=0),"***",0))))</f>
        <v>***</v>
      </c>
      <c r="V3" s="38"/>
      <c r="W3" s="38">
        <f>+IFERROR(VLOOKUP($A3,'Goals &amp; Budget 2026'!$A$2:$EJ$49,133,FALSE),0)</f>
        <v>0</v>
      </c>
      <c r="X3" s="230" t="str">
        <f>IF(AND(V3&gt;0,W3&gt;0),V3/W3,IF(AND(V3&gt;0,W3=0),100%,IF(AND(V3=0,W3&gt;0),0,IF(AND(V3=0,W3=0),"***",0))))</f>
        <v>***</v>
      </c>
      <c r="Y3" s="38"/>
      <c r="Z3" s="38">
        <f>+IFERROR(VLOOKUP($A3,'Goals &amp; Budget 2026'!$A$2:$EJ$49,134,FALSE),0)</f>
        <v>0</v>
      </c>
      <c r="AA3" s="49" t="str">
        <f>IF(AND(Y3&gt;0,Z3&gt;0),Y3/Z3,IF(AND(Y3&gt;0,Z3=0),100%,IF(AND(Y3=0,Z3&gt;0),0,IF(AND(Y3=0,Z3=0),"***",0))))</f>
        <v>***</v>
      </c>
      <c r="AB3" s="38"/>
      <c r="AC3" s="38">
        <f>+IFERROR(VLOOKUP($A3,'Goals &amp; Budget 2026'!$A$2:$EJ$49,135,FALSE),0)</f>
        <v>0</v>
      </c>
      <c r="AD3" s="49" t="str">
        <f>IF(AND(AB3&gt;0,AC3&gt;0),AB3/AC3,IF(AND(AB3&gt;0,AC3=0),100%,IF(AND(AB3=0,AC3&gt;0),0,IF(AND(AB3=0,AC3=0),"***",0))))</f>
        <v>***</v>
      </c>
      <c r="AE3" s="38"/>
      <c r="AF3" s="38">
        <f>+IFERROR(VLOOKUP($A3,'Goals &amp; Budget 2026'!$A$2:$EJ$49,136,FALSE),0)</f>
        <v>0</v>
      </c>
      <c r="AG3" s="230" t="str">
        <f>IF(AND(AE3&gt;0,AF3&gt;0),AE3/AF3,IF(AND(AE3&gt;0,AF3=0),100%,IF(AND(AE3=0,AF3&gt;0),0,IF(AND(AE3=0,AF3=0),"***",0))))</f>
        <v>***</v>
      </c>
      <c r="AH3" s="38"/>
      <c r="AI3" s="38">
        <f>+IFERROR(VLOOKUP($A3,'Goals &amp; Budget 2026'!$A$2:$EJ$49,137,FALSE),0)</f>
        <v>0</v>
      </c>
      <c r="AJ3" s="49" t="str">
        <f>IF(AND(AH3&gt;0,AI3&gt;0),AH3/AI3,IF(AND(AH3&gt;0,AI3=0),100%,IF(AND(AH3=0,AI3&gt;0),0,IF(AND(AH3=0,AI3=0),"***",0))))</f>
        <v>***</v>
      </c>
      <c r="AK3" s="38"/>
      <c r="AL3" s="38">
        <f>+IFERROR(VLOOKUP($A3,'Goals &amp; Budget 2026'!$A$2:$EJ$49,138,FALSE),0)</f>
        <v>0</v>
      </c>
      <c r="AM3" s="49" t="str">
        <f>IF(AND(AK3&gt;0,AL3&gt;0),AK3/AL3,IF(AND(AK3&gt;0,AL3=0),100%,IF(AND(AK3=0,AL3&gt;0),0,IF(AND(AK3=0,AL3=0),"***",0))))</f>
        <v>***</v>
      </c>
      <c r="AN3" s="38"/>
      <c r="AO3" s="38">
        <f>+IFERROR(VLOOKUP($A3,'Goals &amp; Budget 2026'!$A$2:$EJ$49,139,FALSE),0)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0">
        <f t="shared" ref="D4:D34" si="0">+G4</f>
        <v>0</v>
      </c>
      <c r="E4" s="73">
        <f t="shared" ref="E4:E34" si="1">+H4</f>
        <v>0</v>
      </c>
      <c r="F4" s="231" t="str">
        <f t="shared" ref="F4:F34" si="2">IF(AND(D4&gt;0,E4&gt;0),D4/E4,IF(AND(D4&gt;0,E4=0),100%,IF(AND(D4=0,E4&gt;0),0,IF(AND(D4=0,E4=0),"***",0))))</f>
        <v>***</v>
      </c>
      <c r="G4" s="73"/>
      <c r="H4" s="73">
        <f>+IFERROR(VLOOKUP($A4,'Goals &amp; Budget 2026'!$A$2:$EJ$49,128,FALSE),0)</f>
        <v>0</v>
      </c>
      <c r="I4" s="84" t="str">
        <f t="shared" ref="I4:I34" si="3">IF(AND(G4&gt;0,H4&gt;0),G4/H4,IF(AND(G4&gt;0,H4=0),100%,IF(AND(G4=0,H4&gt;0),0,IF(AND(G4=0,H4=0),"***",0))))</f>
        <v>***</v>
      </c>
      <c r="J4" s="73"/>
      <c r="K4" s="73">
        <f>+IFERROR(VLOOKUP($A4,'Goals &amp; Budget 2026'!$A$2:$EJ$49,129,FALSE),0)</f>
        <v>0</v>
      </c>
      <c r="L4" s="84" t="str">
        <f t="shared" ref="L4:L34" si="4">IF(AND(J4&gt;0,K4&gt;0),J4/K4,IF(AND(J4&gt;0,K4=0),100%,IF(AND(J4=0,K4&gt;0),0,IF(AND(J4=0,K4=0),"***",0))))</f>
        <v>***</v>
      </c>
      <c r="M4" s="73"/>
      <c r="N4" s="73">
        <f>+IFERROR(VLOOKUP($A4,'Goals &amp; Budget 2026'!$A$2:$EJ$49,130,FALSE),0)</f>
        <v>25</v>
      </c>
      <c r="O4" s="231">
        <f t="shared" ref="O4:O34" si="5">IF(AND(M4&gt;0,N4&gt;0),M4/N4,IF(AND(M4&gt;0,N4=0),100%,IF(AND(M4=0,N4&gt;0),0,IF(AND(M4=0,N4=0),"***",0))))</f>
        <v>0</v>
      </c>
      <c r="P4" s="73"/>
      <c r="Q4" s="73">
        <f>+IFERROR(VLOOKUP($A4,'Goals &amp; Budget 2026'!$A$2:$EJ$49,131,FALSE),0)</f>
        <v>0</v>
      </c>
      <c r="R4" s="84" t="str">
        <f t="shared" ref="R4:R34" si="6">IF(AND(P4&gt;0,Q4&gt;0),P4/Q4,IF(AND(P4&gt;0,Q4=0),100%,IF(AND(P4=0,Q4&gt;0),0,IF(AND(P4=0,Q4=0),"***",0))))</f>
        <v>***</v>
      </c>
      <c r="S4" s="73"/>
      <c r="T4" s="73">
        <f>+IFERROR(VLOOKUP($A4,'Goals &amp; Budget 2026'!$A$2:$EJ$49,132,FALSE),0)</f>
        <v>0</v>
      </c>
      <c r="U4" s="84" t="str">
        <f t="shared" ref="U4:U34" si="7">IF(AND(S4&gt;0,T4&gt;0),S4/T4,IF(AND(S4&gt;0,T4=0),100%,IF(AND(S4=0,T4&gt;0),0,IF(AND(S4=0,T4=0),"***",0))))</f>
        <v>***</v>
      </c>
      <c r="V4" s="73"/>
      <c r="W4" s="73">
        <f>+IFERROR(VLOOKUP($A4,'Goals &amp; Budget 2026'!$A$2:$EJ$49,133,FALSE),0)</f>
        <v>0</v>
      </c>
      <c r="X4" s="231" t="str">
        <f t="shared" ref="X4:X34" si="8">IF(AND(V4&gt;0,W4&gt;0),V4/W4,IF(AND(V4&gt;0,W4=0),100%,IF(AND(V4=0,W4&gt;0),0,IF(AND(V4=0,W4=0),"***",0))))</f>
        <v>***</v>
      </c>
      <c r="Y4" s="73"/>
      <c r="Z4" s="73">
        <f>+IFERROR(VLOOKUP($A4,'Goals &amp; Budget 2026'!$A$2:$EJ$49,134,FALSE),0)</f>
        <v>0</v>
      </c>
      <c r="AA4" s="84" t="str">
        <f t="shared" ref="AA4:AA34" si="9">IF(AND(Y4&gt;0,Z4&gt;0),Y4/Z4,IF(AND(Y4&gt;0,Z4=0),100%,IF(AND(Y4=0,Z4&gt;0),0,IF(AND(Y4=0,Z4=0),"***",0))))</f>
        <v>***</v>
      </c>
      <c r="AB4" s="73"/>
      <c r="AC4" s="73">
        <f>+IFERROR(VLOOKUP($A4,'Goals &amp; Budget 2026'!$A$2:$EJ$49,135,FALSE),0)</f>
        <v>0</v>
      </c>
      <c r="AD4" s="84" t="str">
        <f t="shared" ref="AD4:AD34" si="10">IF(AND(AB4&gt;0,AC4&gt;0),AB4/AC4,IF(AND(AB4&gt;0,AC4=0),100%,IF(AND(AB4=0,AC4&gt;0),0,IF(AND(AB4=0,AC4=0),"***",0))))</f>
        <v>***</v>
      </c>
      <c r="AE4" s="73"/>
      <c r="AF4" s="73">
        <f>+IFERROR(VLOOKUP($A4,'Goals &amp; Budget 2026'!$A$2:$EJ$49,136,FALSE),0)</f>
        <v>0</v>
      </c>
      <c r="AG4" s="231" t="str">
        <f t="shared" ref="AG4:AG34" si="11">IF(AND(AE4&gt;0,AF4&gt;0),AE4/AF4,IF(AND(AE4&gt;0,AF4=0),100%,IF(AND(AE4=0,AF4&gt;0),0,IF(AND(AE4=0,AF4=0),"***",0))))</f>
        <v>***</v>
      </c>
      <c r="AH4" s="73"/>
      <c r="AI4" s="73">
        <f>+IFERROR(VLOOKUP($A4,'Goals &amp; Budget 2026'!$A$2:$EJ$49,137,FALSE),0)</f>
        <v>0</v>
      </c>
      <c r="AJ4" s="84" t="str">
        <f t="shared" ref="AJ4:AJ34" si="12">IF(AND(AH4&gt;0,AI4&gt;0),AH4/AI4,IF(AND(AH4&gt;0,AI4=0),100%,IF(AND(AH4=0,AI4&gt;0),0,IF(AND(AH4=0,AI4=0),"***",0))))</f>
        <v>***</v>
      </c>
      <c r="AK4" s="73"/>
      <c r="AL4" s="73">
        <f>+IFERROR(VLOOKUP($A4,'Goals &amp; Budget 2026'!$A$2:$EJ$49,138,FALSE),0)</f>
        <v>0</v>
      </c>
      <c r="AM4" s="84" t="str">
        <f t="shared" ref="AM4:AM34" si="13">IF(AND(AK4&gt;0,AL4&gt;0),AK4/AL4,IF(AND(AK4&gt;0,AL4=0),100%,IF(AND(AK4=0,AL4&gt;0),0,IF(AND(AK4=0,AL4=0),"***",0))))</f>
        <v>***</v>
      </c>
      <c r="AN4" s="73"/>
      <c r="AO4" s="73">
        <f>+IFERROR(VLOOKUP($A4,'Goals &amp; Budget 2026'!$A$2:$EJ$49,139,FALSE),0)</f>
        <v>0</v>
      </c>
      <c r="AP4" s="85" t="str">
        <f t="shared" ref="AP4:AP34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0">
        <f t="shared" si="0"/>
        <v>0</v>
      </c>
      <c r="E5" s="73">
        <f t="shared" si="1"/>
        <v>0</v>
      </c>
      <c r="F5" s="231" t="str">
        <f t="shared" si="2"/>
        <v>***</v>
      </c>
      <c r="G5" s="73"/>
      <c r="H5" s="73">
        <f>+IFERROR(VLOOKUP($A5,'Goals &amp; Budget 2026'!$A$2:$EJ$49,128,FALSE),0)</f>
        <v>0</v>
      </c>
      <c r="I5" s="84" t="str">
        <f t="shared" si="3"/>
        <v>***</v>
      </c>
      <c r="J5" s="73"/>
      <c r="K5" s="73">
        <f>+IFERROR(VLOOKUP($A5,'Goals &amp; Budget 2026'!$A$2:$EJ$49,129,FALSE),0)</f>
        <v>0</v>
      </c>
      <c r="L5" s="84" t="str">
        <f t="shared" si="4"/>
        <v>***</v>
      </c>
      <c r="M5" s="73"/>
      <c r="N5" s="73">
        <f>+IFERROR(VLOOKUP($A5,'Goals &amp; Budget 2026'!$A$2:$EJ$49,130,FALSE),0)</f>
        <v>0</v>
      </c>
      <c r="O5" s="231" t="str">
        <f t="shared" si="5"/>
        <v>***</v>
      </c>
      <c r="P5" s="73"/>
      <c r="Q5" s="73">
        <f>+IFERROR(VLOOKUP($A5,'Goals &amp; Budget 2026'!$A$2:$EJ$49,131,FALSE),0)</f>
        <v>0</v>
      </c>
      <c r="R5" s="84" t="str">
        <f t="shared" si="6"/>
        <v>***</v>
      </c>
      <c r="S5" s="73"/>
      <c r="T5" s="73">
        <f>+IFERROR(VLOOKUP($A5,'Goals &amp; Budget 2026'!$A$2:$EJ$49,132,FALSE),0)</f>
        <v>0</v>
      </c>
      <c r="U5" s="84" t="str">
        <f t="shared" si="7"/>
        <v>***</v>
      </c>
      <c r="V5" s="73"/>
      <c r="W5" s="73">
        <f>+IFERROR(VLOOKUP($A5,'Goals &amp; Budget 2026'!$A$2:$EJ$49,133,FALSE),0)</f>
        <v>0</v>
      </c>
      <c r="X5" s="231" t="str">
        <f t="shared" si="8"/>
        <v>***</v>
      </c>
      <c r="Y5" s="73"/>
      <c r="Z5" s="73">
        <f>+IFERROR(VLOOKUP($A5,'Goals &amp; Budget 2026'!$A$2:$EJ$49,134,FALSE),0)</f>
        <v>0</v>
      </c>
      <c r="AA5" s="84" t="str">
        <f t="shared" si="9"/>
        <v>***</v>
      </c>
      <c r="AB5" s="73"/>
      <c r="AC5" s="73">
        <f>+IFERROR(VLOOKUP($A5,'Goals &amp; Budget 2026'!$A$2:$EJ$49,135,FALSE),0)</f>
        <v>0</v>
      </c>
      <c r="AD5" s="84" t="str">
        <f t="shared" si="10"/>
        <v>***</v>
      </c>
      <c r="AE5" s="73"/>
      <c r="AF5" s="73">
        <f>+IFERROR(VLOOKUP($A5,'Goals &amp; Budget 2026'!$A$2:$EJ$49,136,FALSE),0)</f>
        <v>0</v>
      </c>
      <c r="AG5" s="231" t="str">
        <f t="shared" si="11"/>
        <v>***</v>
      </c>
      <c r="AH5" s="73"/>
      <c r="AI5" s="73">
        <f>+IFERROR(VLOOKUP($A5,'Goals &amp; Budget 2026'!$A$2:$EJ$49,137,FALSE),0)</f>
        <v>0</v>
      </c>
      <c r="AJ5" s="84" t="str">
        <f t="shared" si="12"/>
        <v>***</v>
      </c>
      <c r="AK5" s="73"/>
      <c r="AL5" s="73">
        <f>+IFERROR(VLOOKUP($A5,'Goals &amp; Budget 2026'!$A$2:$EJ$49,138,FALSE),0)</f>
        <v>0</v>
      </c>
      <c r="AM5" s="84" t="str">
        <f t="shared" si="13"/>
        <v>***</v>
      </c>
      <c r="AN5" s="73"/>
      <c r="AO5" s="73">
        <f>+IFERROR(VLOOKUP($A5,'Goals &amp; Budget 2026'!$A$2:$EJ$49,139,FALSE),0)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0">
        <f t="shared" si="0"/>
        <v>0</v>
      </c>
      <c r="E6" s="73">
        <f t="shared" si="1"/>
        <v>0</v>
      </c>
      <c r="F6" s="231" t="str">
        <f t="shared" si="2"/>
        <v>***</v>
      </c>
      <c r="G6" s="73"/>
      <c r="H6" s="73">
        <f>+IFERROR(VLOOKUP($A6,'Goals &amp; Budget 2026'!$A$2:$EJ$49,128,FALSE),0)</f>
        <v>0</v>
      </c>
      <c r="I6" s="84" t="str">
        <f t="shared" si="3"/>
        <v>***</v>
      </c>
      <c r="J6" s="73"/>
      <c r="K6" s="73">
        <f>+IFERROR(VLOOKUP($A6,'Goals &amp; Budget 2026'!$A$2:$EJ$49,129,FALSE),0)</f>
        <v>0</v>
      </c>
      <c r="L6" s="84" t="str">
        <f t="shared" si="4"/>
        <v>***</v>
      </c>
      <c r="M6" s="73"/>
      <c r="N6" s="73">
        <f>+IFERROR(VLOOKUP($A6,'Goals &amp; Budget 2026'!$A$2:$EJ$49,130,FALSE),0)</f>
        <v>0</v>
      </c>
      <c r="O6" s="231" t="str">
        <f t="shared" si="5"/>
        <v>***</v>
      </c>
      <c r="P6" s="73"/>
      <c r="Q6" s="73">
        <f>+IFERROR(VLOOKUP($A6,'Goals &amp; Budget 2026'!$A$2:$EJ$49,131,FALSE),0)</f>
        <v>0</v>
      </c>
      <c r="R6" s="84" t="str">
        <f t="shared" si="6"/>
        <v>***</v>
      </c>
      <c r="S6" s="73"/>
      <c r="T6" s="73">
        <f>+IFERROR(VLOOKUP($A6,'Goals &amp; Budget 2026'!$A$2:$EJ$49,132,FALSE),0)</f>
        <v>0</v>
      </c>
      <c r="U6" s="84" t="str">
        <f t="shared" si="7"/>
        <v>***</v>
      </c>
      <c r="V6" s="73"/>
      <c r="W6" s="73">
        <f>+IFERROR(VLOOKUP($A6,'Goals &amp; Budget 2026'!$A$2:$EJ$49,133,FALSE),0)</f>
        <v>0</v>
      </c>
      <c r="X6" s="231" t="str">
        <f t="shared" si="8"/>
        <v>***</v>
      </c>
      <c r="Y6" s="73"/>
      <c r="Z6" s="73">
        <f>+IFERROR(VLOOKUP($A6,'Goals &amp; Budget 2026'!$A$2:$EJ$49,134,FALSE),0)</f>
        <v>0</v>
      </c>
      <c r="AA6" s="84" t="str">
        <f t="shared" si="9"/>
        <v>***</v>
      </c>
      <c r="AB6" s="73"/>
      <c r="AC6" s="73">
        <f>+IFERROR(VLOOKUP($A6,'Goals &amp; Budget 2026'!$A$2:$EJ$49,135,FALSE),0)</f>
        <v>0</v>
      </c>
      <c r="AD6" s="84" t="str">
        <f t="shared" si="10"/>
        <v>***</v>
      </c>
      <c r="AE6" s="73"/>
      <c r="AF6" s="73">
        <f>+IFERROR(VLOOKUP($A6,'Goals &amp; Budget 2026'!$A$2:$EJ$49,136,FALSE),0)</f>
        <v>0</v>
      </c>
      <c r="AG6" s="231" t="str">
        <f t="shared" si="11"/>
        <v>***</v>
      </c>
      <c r="AH6" s="73"/>
      <c r="AI6" s="73">
        <f>+IFERROR(VLOOKUP($A6,'Goals &amp; Budget 2026'!$A$2:$EJ$49,137,FALSE),0)</f>
        <v>0</v>
      </c>
      <c r="AJ6" s="84" t="str">
        <f t="shared" si="12"/>
        <v>***</v>
      </c>
      <c r="AK6" s="73"/>
      <c r="AL6" s="73">
        <f>+IFERROR(VLOOKUP($A6,'Goals &amp; Budget 2026'!$A$2:$EJ$49,138,FALSE),0)</f>
        <v>0</v>
      </c>
      <c r="AM6" s="84" t="str">
        <f t="shared" si="13"/>
        <v>***</v>
      </c>
      <c r="AN6" s="73"/>
      <c r="AO6" s="73">
        <f>+IFERROR(VLOOKUP($A6,'Goals &amp; Budget 2026'!$A$2:$EJ$49,139,FALSE),0)</f>
        <v>46</v>
      </c>
      <c r="AP6" s="85">
        <f t="shared" si="14"/>
        <v>0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0">
        <f t="shared" si="0"/>
        <v>0</v>
      </c>
      <c r="E7" s="73">
        <f t="shared" si="1"/>
        <v>0</v>
      </c>
      <c r="F7" s="231" t="str">
        <f t="shared" si="2"/>
        <v>***</v>
      </c>
      <c r="G7" s="73"/>
      <c r="H7" s="73">
        <f>+IFERROR(VLOOKUP($A7,'Goals &amp; Budget 2026'!$A$2:$EJ$49,128,FALSE),0)</f>
        <v>0</v>
      </c>
      <c r="I7" s="84" t="str">
        <f t="shared" si="3"/>
        <v>***</v>
      </c>
      <c r="J7" s="73"/>
      <c r="K7" s="73">
        <f>+IFERROR(VLOOKUP($A7,'Goals &amp; Budget 2026'!$A$2:$EJ$49,129,FALSE),0)</f>
        <v>0</v>
      </c>
      <c r="L7" s="84" t="str">
        <f t="shared" si="4"/>
        <v>***</v>
      </c>
      <c r="M7" s="73"/>
      <c r="N7" s="73">
        <f>+IFERROR(VLOOKUP($A7,'Goals &amp; Budget 2026'!$A$2:$EJ$49,130,FALSE),0)</f>
        <v>0</v>
      </c>
      <c r="O7" s="231" t="str">
        <f t="shared" si="5"/>
        <v>***</v>
      </c>
      <c r="P7" s="73"/>
      <c r="Q7" s="73">
        <f>+IFERROR(VLOOKUP($A7,'Goals &amp; Budget 2026'!$A$2:$EJ$49,131,FALSE),0)</f>
        <v>0</v>
      </c>
      <c r="R7" s="84" t="str">
        <f t="shared" si="6"/>
        <v>***</v>
      </c>
      <c r="S7" s="73"/>
      <c r="T7" s="73">
        <f>+IFERROR(VLOOKUP($A7,'Goals &amp; Budget 2026'!$A$2:$EJ$49,132,FALSE),0)</f>
        <v>0</v>
      </c>
      <c r="U7" s="84" t="str">
        <f t="shared" si="7"/>
        <v>***</v>
      </c>
      <c r="V7" s="73"/>
      <c r="W7" s="73">
        <f>+IFERROR(VLOOKUP($A7,'Goals &amp; Budget 2026'!$A$2:$EJ$49,133,FALSE),0)</f>
        <v>0</v>
      </c>
      <c r="X7" s="231" t="str">
        <f t="shared" si="8"/>
        <v>***</v>
      </c>
      <c r="Y7" s="73"/>
      <c r="Z7" s="73">
        <f>+IFERROR(VLOOKUP($A7,'Goals &amp; Budget 2026'!$A$2:$EJ$49,134,FALSE),0)</f>
        <v>0</v>
      </c>
      <c r="AA7" s="84" t="str">
        <f t="shared" si="9"/>
        <v>***</v>
      </c>
      <c r="AB7" s="73"/>
      <c r="AC7" s="73">
        <f>+IFERROR(VLOOKUP($A7,'Goals &amp; Budget 2026'!$A$2:$EJ$49,135,FALSE),0)</f>
        <v>0</v>
      </c>
      <c r="AD7" s="84" t="str">
        <f t="shared" si="10"/>
        <v>***</v>
      </c>
      <c r="AE7" s="73"/>
      <c r="AF7" s="73">
        <f>+IFERROR(VLOOKUP($A7,'Goals &amp; Budget 2026'!$A$2:$EJ$49,136,FALSE),0)</f>
        <v>0</v>
      </c>
      <c r="AG7" s="231" t="str">
        <f t="shared" si="11"/>
        <v>***</v>
      </c>
      <c r="AH7" s="73"/>
      <c r="AI7" s="73">
        <f>+IFERROR(VLOOKUP($A7,'Goals &amp; Budget 2026'!$A$2:$EJ$49,137,FALSE),0)</f>
        <v>0</v>
      </c>
      <c r="AJ7" s="84" t="str">
        <f t="shared" si="12"/>
        <v>***</v>
      </c>
      <c r="AK7" s="73"/>
      <c r="AL7" s="73">
        <f>+IFERROR(VLOOKUP($A7,'Goals &amp; Budget 2026'!$A$2:$EJ$49,138,FALSE),0)</f>
        <v>62</v>
      </c>
      <c r="AM7" s="84">
        <f t="shared" si="13"/>
        <v>0</v>
      </c>
      <c r="AN7" s="73"/>
      <c r="AO7" s="73">
        <f>+IFERROR(VLOOKUP($A7,'Goals &amp; Budget 2026'!$A$2:$EJ$49,139,FALSE),0)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0">
        <f t="shared" si="0"/>
        <v>0</v>
      </c>
      <c r="E8" s="73">
        <f t="shared" si="1"/>
        <v>0</v>
      </c>
      <c r="F8" s="231" t="str">
        <f t="shared" si="2"/>
        <v>***</v>
      </c>
      <c r="G8" s="73"/>
      <c r="H8" s="73">
        <f>+IFERROR(VLOOKUP($A8,'Goals &amp; Budget 2026'!$A$2:$EJ$49,128,FALSE),0)</f>
        <v>0</v>
      </c>
      <c r="I8" s="84" t="str">
        <f t="shared" si="3"/>
        <v>***</v>
      </c>
      <c r="J8" s="73"/>
      <c r="K8" s="73">
        <f>+IFERROR(VLOOKUP($A8,'Goals &amp; Budget 2026'!$A$2:$EJ$49,129,FALSE),0)</f>
        <v>0</v>
      </c>
      <c r="L8" s="84" t="str">
        <f t="shared" si="4"/>
        <v>***</v>
      </c>
      <c r="M8" s="73"/>
      <c r="N8" s="73">
        <f>+IFERROR(VLOOKUP($A8,'Goals &amp; Budget 2026'!$A$2:$EJ$49,130,FALSE),0)</f>
        <v>0</v>
      </c>
      <c r="O8" s="231" t="str">
        <f t="shared" si="5"/>
        <v>***</v>
      </c>
      <c r="P8" s="73"/>
      <c r="Q8" s="73">
        <f>+IFERROR(VLOOKUP($A8,'Goals &amp; Budget 2026'!$A$2:$EJ$49,131,FALSE),0)</f>
        <v>0</v>
      </c>
      <c r="R8" s="84" t="str">
        <f t="shared" si="6"/>
        <v>***</v>
      </c>
      <c r="S8" s="73"/>
      <c r="T8" s="73">
        <f>+IFERROR(VLOOKUP($A8,'Goals &amp; Budget 2026'!$A$2:$EJ$49,132,FALSE),0)</f>
        <v>0</v>
      </c>
      <c r="U8" s="84" t="str">
        <f t="shared" si="7"/>
        <v>***</v>
      </c>
      <c r="V8" s="73"/>
      <c r="W8" s="73">
        <f>+IFERROR(VLOOKUP($A8,'Goals &amp; Budget 2026'!$A$2:$EJ$49,133,FALSE),0)</f>
        <v>0</v>
      </c>
      <c r="X8" s="231" t="str">
        <f t="shared" si="8"/>
        <v>***</v>
      </c>
      <c r="Y8" s="73"/>
      <c r="Z8" s="73">
        <f>+IFERROR(VLOOKUP($A8,'Goals &amp; Budget 2026'!$A$2:$EJ$49,134,FALSE),0)</f>
        <v>0</v>
      </c>
      <c r="AA8" s="84" t="str">
        <f t="shared" si="9"/>
        <v>***</v>
      </c>
      <c r="AB8" s="73"/>
      <c r="AC8" s="73">
        <f>+IFERROR(VLOOKUP($A8,'Goals &amp; Budget 2026'!$A$2:$EJ$49,135,FALSE),0)</f>
        <v>0</v>
      </c>
      <c r="AD8" s="84" t="str">
        <f t="shared" si="10"/>
        <v>***</v>
      </c>
      <c r="AE8" s="73"/>
      <c r="AF8" s="73">
        <f>+IFERROR(VLOOKUP($A8,'Goals &amp; Budget 2026'!$A$2:$EJ$49,136,FALSE),0)</f>
        <v>0</v>
      </c>
      <c r="AG8" s="231" t="str">
        <f t="shared" si="11"/>
        <v>***</v>
      </c>
      <c r="AH8" s="73"/>
      <c r="AI8" s="73">
        <f>+IFERROR(VLOOKUP($A8,'Goals &amp; Budget 2026'!$A$2:$EJ$49,137,FALSE),0)</f>
        <v>0</v>
      </c>
      <c r="AJ8" s="84" t="str">
        <f t="shared" si="12"/>
        <v>***</v>
      </c>
      <c r="AK8" s="73"/>
      <c r="AL8" s="73">
        <f>+IFERROR(VLOOKUP($A8,'Goals &amp; Budget 2026'!$A$2:$EJ$49,138,FALSE),0)</f>
        <v>0</v>
      </c>
      <c r="AM8" s="84" t="str">
        <f t="shared" si="13"/>
        <v>***</v>
      </c>
      <c r="AN8" s="73"/>
      <c r="AO8" s="73">
        <f>+IFERROR(VLOOKUP($A8,'Goals &amp; Budget 2026'!$A$2:$EJ$49,139,FALSE),0)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0">
        <f t="shared" si="0"/>
        <v>0</v>
      </c>
      <c r="E9" s="73">
        <f t="shared" si="1"/>
        <v>0</v>
      </c>
      <c r="F9" s="231" t="str">
        <f t="shared" si="2"/>
        <v>***</v>
      </c>
      <c r="G9" s="73"/>
      <c r="H9" s="73">
        <f>+IFERROR(VLOOKUP($A9,'Goals &amp; Budget 2026'!$A$2:$EJ$49,128,FALSE),0)</f>
        <v>0</v>
      </c>
      <c r="I9" s="84" t="str">
        <f t="shared" si="3"/>
        <v>***</v>
      </c>
      <c r="J9" s="73"/>
      <c r="K9" s="73">
        <f>+IFERROR(VLOOKUP($A9,'Goals &amp; Budget 2026'!$A$2:$EJ$49,129,FALSE),0)</f>
        <v>0</v>
      </c>
      <c r="L9" s="84" t="str">
        <f t="shared" si="4"/>
        <v>***</v>
      </c>
      <c r="M9" s="73"/>
      <c r="N9" s="73">
        <f>+IFERROR(VLOOKUP($A9,'Goals &amp; Budget 2026'!$A$2:$EJ$49,130,FALSE),0)</f>
        <v>0</v>
      </c>
      <c r="O9" s="231" t="str">
        <f t="shared" si="5"/>
        <v>***</v>
      </c>
      <c r="P9" s="73"/>
      <c r="Q9" s="73">
        <f>+IFERROR(VLOOKUP($A9,'Goals &amp; Budget 2026'!$A$2:$EJ$49,131,FALSE),0)</f>
        <v>0</v>
      </c>
      <c r="R9" s="84" t="str">
        <f t="shared" si="6"/>
        <v>***</v>
      </c>
      <c r="S9" s="73"/>
      <c r="T9" s="73">
        <f>+IFERROR(VLOOKUP($A9,'Goals &amp; Budget 2026'!$A$2:$EJ$49,132,FALSE),0)</f>
        <v>0</v>
      </c>
      <c r="U9" s="84" t="str">
        <f t="shared" si="7"/>
        <v>***</v>
      </c>
      <c r="V9" s="73"/>
      <c r="W9" s="73">
        <f>+IFERROR(VLOOKUP($A9,'Goals &amp; Budget 2026'!$A$2:$EJ$49,133,FALSE),0)</f>
        <v>0</v>
      </c>
      <c r="X9" s="231" t="str">
        <f t="shared" si="8"/>
        <v>***</v>
      </c>
      <c r="Y9" s="73"/>
      <c r="Z9" s="73">
        <f>+IFERROR(VLOOKUP($A9,'Goals &amp; Budget 2026'!$A$2:$EJ$49,134,FALSE),0)</f>
        <v>0</v>
      </c>
      <c r="AA9" s="84" t="str">
        <f t="shared" si="9"/>
        <v>***</v>
      </c>
      <c r="AB9" s="73"/>
      <c r="AC9" s="73">
        <f>+IFERROR(VLOOKUP($A9,'Goals &amp; Budget 2026'!$A$2:$EJ$49,135,FALSE),0)</f>
        <v>0</v>
      </c>
      <c r="AD9" s="84" t="str">
        <f t="shared" si="10"/>
        <v>***</v>
      </c>
      <c r="AE9" s="73"/>
      <c r="AF9" s="73">
        <f>+IFERROR(VLOOKUP($A9,'Goals &amp; Budget 2026'!$A$2:$EJ$49,136,FALSE),0)</f>
        <v>0</v>
      </c>
      <c r="AG9" s="231" t="str">
        <f t="shared" si="11"/>
        <v>***</v>
      </c>
      <c r="AH9" s="73"/>
      <c r="AI9" s="73">
        <f>+IFERROR(VLOOKUP($A9,'Goals &amp; Budget 2026'!$A$2:$EJ$49,137,FALSE),0)</f>
        <v>0</v>
      </c>
      <c r="AJ9" s="84" t="str">
        <f t="shared" si="12"/>
        <v>***</v>
      </c>
      <c r="AK9" s="73"/>
      <c r="AL9" s="73">
        <f>+IFERROR(VLOOKUP($A9,'Goals &amp; Budget 2026'!$A$2:$EJ$49,138,FALSE),0)</f>
        <v>0</v>
      </c>
      <c r="AM9" s="84" t="str">
        <f t="shared" si="13"/>
        <v>***</v>
      </c>
      <c r="AN9" s="73"/>
      <c r="AO9" s="73">
        <f>+IFERROR(VLOOKUP($A9,'Goals &amp; Budget 2026'!$A$2:$EJ$49,139,FALSE),0)</f>
        <v>0</v>
      </c>
      <c r="AP9" s="85" t="str">
        <f t="shared" si="14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0">
        <f t="shared" si="0"/>
        <v>0</v>
      </c>
      <c r="E10" s="73">
        <f t="shared" si="1"/>
        <v>0</v>
      </c>
      <c r="F10" s="231" t="str">
        <f t="shared" si="2"/>
        <v>***</v>
      </c>
      <c r="G10" s="73"/>
      <c r="H10" s="73">
        <f>+IFERROR(VLOOKUP($A10,'Goals &amp; Budget 2026'!$A$2:$EJ$49,128,FALSE),0)</f>
        <v>0</v>
      </c>
      <c r="I10" s="84" t="str">
        <f t="shared" si="3"/>
        <v>***</v>
      </c>
      <c r="J10" s="73"/>
      <c r="K10" s="73">
        <f>+IFERROR(VLOOKUP($A10,'Goals &amp; Budget 2026'!$A$2:$EJ$49,129,FALSE),0)</f>
        <v>0</v>
      </c>
      <c r="L10" s="84" t="str">
        <f t="shared" si="4"/>
        <v>***</v>
      </c>
      <c r="M10" s="73"/>
      <c r="N10" s="73">
        <f>+IFERROR(VLOOKUP($A10,'Goals &amp; Budget 2026'!$A$2:$EJ$49,130,FALSE),0)</f>
        <v>0</v>
      </c>
      <c r="O10" s="231" t="str">
        <f t="shared" si="5"/>
        <v>***</v>
      </c>
      <c r="P10" s="73"/>
      <c r="Q10" s="73">
        <f>+IFERROR(VLOOKUP($A10,'Goals &amp; Budget 2026'!$A$2:$EJ$49,131,FALSE),0)</f>
        <v>0</v>
      </c>
      <c r="R10" s="84" t="str">
        <f t="shared" si="6"/>
        <v>***</v>
      </c>
      <c r="S10" s="73"/>
      <c r="T10" s="73">
        <f>+IFERROR(VLOOKUP($A10,'Goals &amp; Budget 2026'!$A$2:$EJ$49,132,FALSE),0)</f>
        <v>0</v>
      </c>
      <c r="U10" s="84" t="str">
        <f t="shared" si="7"/>
        <v>***</v>
      </c>
      <c r="V10" s="73"/>
      <c r="W10" s="73">
        <f>+IFERROR(VLOOKUP($A10,'Goals &amp; Budget 2026'!$A$2:$EJ$49,133,FALSE),0)</f>
        <v>0</v>
      </c>
      <c r="X10" s="231" t="str">
        <f t="shared" si="8"/>
        <v>***</v>
      </c>
      <c r="Y10" s="73"/>
      <c r="Z10" s="73">
        <f>+IFERROR(VLOOKUP($A10,'Goals &amp; Budget 2026'!$A$2:$EJ$49,134,FALSE),0)</f>
        <v>0</v>
      </c>
      <c r="AA10" s="84" t="str">
        <f t="shared" si="9"/>
        <v>***</v>
      </c>
      <c r="AB10" s="73"/>
      <c r="AC10" s="73">
        <f>+IFERROR(VLOOKUP($A10,'Goals &amp; Budget 2026'!$A$2:$EJ$49,135,FALSE),0)</f>
        <v>0</v>
      </c>
      <c r="AD10" s="84" t="str">
        <f t="shared" si="10"/>
        <v>***</v>
      </c>
      <c r="AE10" s="73"/>
      <c r="AF10" s="73">
        <f>+IFERROR(VLOOKUP($A10,'Goals &amp; Budget 2026'!$A$2:$EJ$49,136,FALSE),0)</f>
        <v>0</v>
      </c>
      <c r="AG10" s="231" t="str">
        <f t="shared" si="11"/>
        <v>***</v>
      </c>
      <c r="AH10" s="73"/>
      <c r="AI10" s="73">
        <f>+IFERROR(VLOOKUP($A10,'Goals &amp; Budget 2026'!$A$2:$EJ$49,137,FALSE),0)</f>
        <v>0</v>
      </c>
      <c r="AJ10" s="84" t="str">
        <f t="shared" si="12"/>
        <v>***</v>
      </c>
      <c r="AK10" s="73"/>
      <c r="AL10" s="73">
        <f>+IFERROR(VLOOKUP($A10,'Goals &amp; Budget 2026'!$A$2:$EJ$49,138,FALSE),0)</f>
        <v>0</v>
      </c>
      <c r="AM10" s="84" t="str">
        <f t="shared" si="13"/>
        <v>***</v>
      </c>
      <c r="AN10" s="73"/>
      <c r="AO10" s="73">
        <f>+IFERROR(VLOOKUP($A10,'Goals &amp; Budget 2026'!$A$2:$EJ$49,139,FALSE),0)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0">
        <f t="shared" si="0"/>
        <v>0</v>
      </c>
      <c r="E11" s="73">
        <f t="shared" si="1"/>
        <v>0</v>
      </c>
      <c r="F11" s="231" t="str">
        <f t="shared" si="2"/>
        <v>***</v>
      </c>
      <c r="G11" s="73"/>
      <c r="H11" s="73">
        <f>+IFERROR(VLOOKUP($A11,'Goals &amp; Budget 2026'!$A$2:$EJ$49,128,FALSE),0)</f>
        <v>0</v>
      </c>
      <c r="I11" s="84" t="str">
        <f t="shared" si="3"/>
        <v>***</v>
      </c>
      <c r="J11" s="73"/>
      <c r="K11" s="73">
        <f>+IFERROR(VLOOKUP($A11,'Goals &amp; Budget 2026'!$A$2:$EJ$49,129,FALSE),0)</f>
        <v>64</v>
      </c>
      <c r="L11" s="84">
        <f t="shared" si="4"/>
        <v>0</v>
      </c>
      <c r="M11" s="73"/>
      <c r="N11" s="73">
        <f>+IFERROR(VLOOKUP($A11,'Goals &amp; Budget 2026'!$A$2:$EJ$49,130,FALSE),0)</f>
        <v>0</v>
      </c>
      <c r="O11" s="231" t="str">
        <f t="shared" si="5"/>
        <v>***</v>
      </c>
      <c r="P11" s="73"/>
      <c r="Q11" s="73">
        <f>+IFERROR(VLOOKUP($A11,'Goals &amp; Budget 2026'!$A$2:$EJ$49,131,FALSE),0)</f>
        <v>0</v>
      </c>
      <c r="R11" s="84" t="str">
        <f t="shared" si="6"/>
        <v>***</v>
      </c>
      <c r="S11" s="73"/>
      <c r="T11" s="73">
        <f>+IFERROR(VLOOKUP($A11,'Goals &amp; Budget 2026'!$A$2:$EJ$49,132,FALSE),0)</f>
        <v>0</v>
      </c>
      <c r="U11" s="84" t="str">
        <f t="shared" si="7"/>
        <v>***</v>
      </c>
      <c r="V11" s="73"/>
      <c r="W11" s="73">
        <f>+IFERROR(VLOOKUP($A11,'Goals &amp; Budget 2026'!$A$2:$EJ$49,133,FALSE),0)</f>
        <v>0</v>
      </c>
      <c r="X11" s="231" t="str">
        <f t="shared" si="8"/>
        <v>***</v>
      </c>
      <c r="Y11" s="73"/>
      <c r="Z11" s="73">
        <f>+IFERROR(VLOOKUP($A11,'Goals &amp; Budget 2026'!$A$2:$EJ$49,134,FALSE),0)</f>
        <v>0</v>
      </c>
      <c r="AA11" s="84" t="str">
        <f t="shared" si="9"/>
        <v>***</v>
      </c>
      <c r="AB11" s="73"/>
      <c r="AC11" s="73">
        <f>+IFERROR(VLOOKUP($A11,'Goals &amp; Budget 2026'!$A$2:$EJ$49,135,FALSE),0)</f>
        <v>0</v>
      </c>
      <c r="AD11" s="84" t="str">
        <f t="shared" si="10"/>
        <v>***</v>
      </c>
      <c r="AE11" s="73"/>
      <c r="AF11" s="73">
        <f>+IFERROR(VLOOKUP($A11,'Goals &amp; Budget 2026'!$A$2:$EJ$49,136,FALSE),0)</f>
        <v>0</v>
      </c>
      <c r="AG11" s="231" t="str">
        <f t="shared" si="11"/>
        <v>***</v>
      </c>
      <c r="AH11" s="73"/>
      <c r="AI11" s="73">
        <f>+IFERROR(VLOOKUP($A11,'Goals &amp; Budget 2026'!$A$2:$EJ$49,137,FALSE),0)</f>
        <v>0</v>
      </c>
      <c r="AJ11" s="84" t="str">
        <f t="shared" si="12"/>
        <v>***</v>
      </c>
      <c r="AK11" s="73"/>
      <c r="AL11" s="73">
        <f>+IFERROR(VLOOKUP($A11,'Goals &amp; Budget 2026'!$A$2:$EJ$49,138,FALSE),0)</f>
        <v>0</v>
      </c>
      <c r="AM11" s="84" t="str">
        <f t="shared" si="13"/>
        <v>***</v>
      </c>
      <c r="AN11" s="73"/>
      <c r="AO11" s="73">
        <f>+IFERROR(VLOOKUP($A11,'Goals &amp; Budget 2026'!$A$2:$EJ$49,139,FALSE),0)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0">
        <f t="shared" si="0"/>
        <v>0</v>
      </c>
      <c r="E12" s="73">
        <f t="shared" si="1"/>
        <v>0</v>
      </c>
      <c r="F12" s="231" t="str">
        <f t="shared" si="2"/>
        <v>***</v>
      </c>
      <c r="G12" s="73"/>
      <c r="H12" s="73">
        <f>+IFERROR(VLOOKUP($A12,'Goals &amp; Budget 2026'!$A$2:$EJ$49,128,FALSE),0)</f>
        <v>0</v>
      </c>
      <c r="I12" s="84" t="str">
        <f t="shared" si="3"/>
        <v>***</v>
      </c>
      <c r="J12" s="73"/>
      <c r="K12" s="73">
        <f>+IFERROR(VLOOKUP($A12,'Goals &amp; Budget 2026'!$A$2:$EJ$49,129,FALSE),0)</f>
        <v>0</v>
      </c>
      <c r="L12" s="84" t="str">
        <f t="shared" si="4"/>
        <v>***</v>
      </c>
      <c r="M12" s="73"/>
      <c r="N12" s="73">
        <f>+IFERROR(VLOOKUP($A12,'Goals &amp; Budget 2026'!$A$2:$EJ$49,130,FALSE),0)</f>
        <v>0</v>
      </c>
      <c r="O12" s="231" t="str">
        <f t="shared" si="5"/>
        <v>***</v>
      </c>
      <c r="P12" s="73"/>
      <c r="Q12" s="73">
        <f>+IFERROR(VLOOKUP($A12,'Goals &amp; Budget 2026'!$A$2:$EJ$49,131,FALSE),0)</f>
        <v>0</v>
      </c>
      <c r="R12" s="84" t="str">
        <f t="shared" si="6"/>
        <v>***</v>
      </c>
      <c r="S12" s="73"/>
      <c r="T12" s="73">
        <f>+IFERROR(VLOOKUP($A12,'Goals &amp; Budget 2026'!$A$2:$EJ$49,132,FALSE),0)</f>
        <v>0</v>
      </c>
      <c r="U12" s="84" t="str">
        <f t="shared" si="7"/>
        <v>***</v>
      </c>
      <c r="V12" s="73"/>
      <c r="W12" s="73">
        <f>+IFERROR(VLOOKUP($A12,'Goals &amp; Budget 2026'!$A$2:$EJ$49,133,FALSE),0)</f>
        <v>0</v>
      </c>
      <c r="X12" s="231" t="str">
        <f t="shared" si="8"/>
        <v>***</v>
      </c>
      <c r="Y12" s="73"/>
      <c r="Z12" s="73">
        <f>+IFERROR(VLOOKUP($A12,'Goals &amp; Budget 2026'!$A$2:$EJ$49,134,FALSE),0)</f>
        <v>54</v>
      </c>
      <c r="AA12" s="84">
        <f t="shared" si="9"/>
        <v>0</v>
      </c>
      <c r="AB12" s="73"/>
      <c r="AC12" s="73">
        <f>+IFERROR(VLOOKUP($A12,'Goals &amp; Budget 2026'!$A$2:$EJ$49,135,FALSE),0)</f>
        <v>0</v>
      </c>
      <c r="AD12" s="84" t="str">
        <f t="shared" si="10"/>
        <v>***</v>
      </c>
      <c r="AE12" s="73"/>
      <c r="AF12" s="73">
        <f>+IFERROR(VLOOKUP($A12,'Goals &amp; Budget 2026'!$A$2:$EJ$49,136,FALSE),0)</f>
        <v>0</v>
      </c>
      <c r="AG12" s="231" t="str">
        <f t="shared" si="11"/>
        <v>***</v>
      </c>
      <c r="AH12" s="73"/>
      <c r="AI12" s="73">
        <f>+IFERROR(VLOOKUP($A12,'Goals &amp; Budget 2026'!$A$2:$EJ$49,137,FALSE),0)</f>
        <v>0</v>
      </c>
      <c r="AJ12" s="84" t="str">
        <f t="shared" si="12"/>
        <v>***</v>
      </c>
      <c r="AK12" s="73"/>
      <c r="AL12" s="73">
        <f>+IFERROR(VLOOKUP($A12,'Goals &amp; Budget 2026'!$A$2:$EJ$49,138,FALSE),0)</f>
        <v>0</v>
      </c>
      <c r="AM12" s="84" t="str">
        <f t="shared" si="13"/>
        <v>***</v>
      </c>
      <c r="AN12" s="73"/>
      <c r="AO12" s="73">
        <f>+IFERROR(VLOOKUP($A12,'Goals &amp; Budget 2026'!$A$2:$EJ$49,139,FALSE),0)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0">
        <f t="shared" si="0"/>
        <v>0</v>
      </c>
      <c r="E13" s="73">
        <f t="shared" si="1"/>
        <v>0</v>
      </c>
      <c r="F13" s="231" t="str">
        <f t="shared" si="2"/>
        <v>***</v>
      </c>
      <c r="G13" s="73"/>
      <c r="H13" s="73">
        <f>+IFERROR(VLOOKUP($A13,'Goals &amp; Budget 2026'!$A$2:$EJ$49,128,FALSE),0)</f>
        <v>0</v>
      </c>
      <c r="I13" s="84" t="str">
        <f t="shared" si="3"/>
        <v>***</v>
      </c>
      <c r="J13" s="73"/>
      <c r="K13" s="73">
        <f>+IFERROR(VLOOKUP($A13,'Goals &amp; Budget 2026'!$A$2:$EJ$49,129,FALSE),0)</f>
        <v>0</v>
      </c>
      <c r="L13" s="84" t="str">
        <f t="shared" si="4"/>
        <v>***</v>
      </c>
      <c r="M13" s="73"/>
      <c r="N13" s="73">
        <f>+IFERROR(VLOOKUP($A13,'Goals &amp; Budget 2026'!$A$2:$EJ$49,130,FALSE),0)</f>
        <v>0</v>
      </c>
      <c r="O13" s="231" t="str">
        <f t="shared" si="5"/>
        <v>***</v>
      </c>
      <c r="P13" s="73"/>
      <c r="Q13" s="73">
        <f>+IFERROR(VLOOKUP($A13,'Goals &amp; Budget 2026'!$A$2:$EJ$49,131,FALSE),0)</f>
        <v>0</v>
      </c>
      <c r="R13" s="84" t="str">
        <f t="shared" si="6"/>
        <v>***</v>
      </c>
      <c r="S13" s="73"/>
      <c r="T13" s="73">
        <f>+IFERROR(VLOOKUP($A13,'Goals &amp; Budget 2026'!$A$2:$EJ$49,132,FALSE),0)</f>
        <v>56</v>
      </c>
      <c r="U13" s="84">
        <f t="shared" si="7"/>
        <v>0</v>
      </c>
      <c r="V13" s="73"/>
      <c r="W13" s="73">
        <f>+IFERROR(VLOOKUP($A13,'Goals &amp; Budget 2026'!$A$2:$EJ$49,133,FALSE),0)</f>
        <v>0</v>
      </c>
      <c r="X13" s="231" t="str">
        <f t="shared" si="8"/>
        <v>***</v>
      </c>
      <c r="Y13" s="73"/>
      <c r="Z13" s="73">
        <f>+IFERROR(VLOOKUP($A13,'Goals &amp; Budget 2026'!$A$2:$EJ$49,134,FALSE),0)</f>
        <v>0</v>
      </c>
      <c r="AA13" s="84" t="str">
        <f t="shared" si="9"/>
        <v>***</v>
      </c>
      <c r="AB13" s="73"/>
      <c r="AC13" s="73">
        <f>+IFERROR(VLOOKUP($A13,'Goals &amp; Budget 2026'!$A$2:$EJ$49,135,FALSE),0)</f>
        <v>0</v>
      </c>
      <c r="AD13" s="84" t="str">
        <f t="shared" si="10"/>
        <v>***</v>
      </c>
      <c r="AE13" s="73"/>
      <c r="AF13" s="73">
        <f>+IFERROR(VLOOKUP($A13,'Goals &amp; Budget 2026'!$A$2:$EJ$49,136,FALSE),0)</f>
        <v>0</v>
      </c>
      <c r="AG13" s="231" t="str">
        <f t="shared" si="11"/>
        <v>***</v>
      </c>
      <c r="AH13" s="73"/>
      <c r="AI13" s="73">
        <f>+IFERROR(VLOOKUP($A13,'Goals &amp; Budget 2026'!$A$2:$EJ$49,137,FALSE),0)</f>
        <v>0</v>
      </c>
      <c r="AJ13" s="84" t="str">
        <f t="shared" si="12"/>
        <v>***</v>
      </c>
      <c r="AK13" s="73"/>
      <c r="AL13" s="73">
        <f>+IFERROR(VLOOKUP($A13,'Goals &amp; Budget 2026'!$A$2:$EJ$49,138,FALSE),0)</f>
        <v>0</v>
      </c>
      <c r="AM13" s="84" t="str">
        <f t="shared" si="13"/>
        <v>***</v>
      </c>
      <c r="AN13" s="73"/>
      <c r="AO13" s="73">
        <f>+IFERROR(VLOOKUP($A13,'Goals &amp; Budget 2026'!$A$2:$EJ$49,139,FALSE),0)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0">
        <f t="shared" si="0"/>
        <v>0</v>
      </c>
      <c r="E14" s="73">
        <f t="shared" si="1"/>
        <v>0</v>
      </c>
      <c r="F14" s="231" t="str">
        <f t="shared" si="2"/>
        <v>***</v>
      </c>
      <c r="G14" s="73"/>
      <c r="H14" s="73">
        <f>+IFERROR(VLOOKUP($A14,'Goals &amp; Budget 2026'!$A$2:$EJ$49,128,FALSE),0)</f>
        <v>0</v>
      </c>
      <c r="I14" s="84" t="str">
        <f t="shared" si="3"/>
        <v>***</v>
      </c>
      <c r="J14" s="73"/>
      <c r="K14" s="73">
        <f>+IFERROR(VLOOKUP($A14,'Goals &amp; Budget 2026'!$A$2:$EJ$49,129,FALSE),0)</f>
        <v>0</v>
      </c>
      <c r="L14" s="84" t="str">
        <f t="shared" si="4"/>
        <v>***</v>
      </c>
      <c r="M14" s="73"/>
      <c r="N14" s="73">
        <f>+IFERROR(VLOOKUP($A14,'Goals &amp; Budget 2026'!$A$2:$EJ$49,130,FALSE),0)</f>
        <v>0</v>
      </c>
      <c r="O14" s="231" t="str">
        <f t="shared" si="5"/>
        <v>***</v>
      </c>
      <c r="P14" s="73"/>
      <c r="Q14" s="73">
        <f>+IFERROR(VLOOKUP($A14,'Goals &amp; Budget 2026'!$A$2:$EJ$49,131,FALSE),0)</f>
        <v>0</v>
      </c>
      <c r="R14" s="84" t="str">
        <f t="shared" si="6"/>
        <v>***</v>
      </c>
      <c r="S14" s="73"/>
      <c r="T14" s="73">
        <f>+IFERROR(VLOOKUP($A14,'Goals &amp; Budget 2026'!$A$2:$EJ$49,132,FALSE),0)</f>
        <v>0</v>
      </c>
      <c r="U14" s="84" t="str">
        <f t="shared" si="7"/>
        <v>***</v>
      </c>
      <c r="V14" s="73"/>
      <c r="W14" s="73">
        <f>+IFERROR(VLOOKUP($A14,'Goals &amp; Budget 2026'!$A$2:$EJ$49,133,FALSE),0)</f>
        <v>0</v>
      </c>
      <c r="X14" s="231" t="str">
        <f t="shared" si="8"/>
        <v>***</v>
      </c>
      <c r="Y14" s="73"/>
      <c r="Z14" s="73">
        <f>+IFERROR(VLOOKUP($A14,'Goals &amp; Budget 2026'!$A$2:$EJ$49,134,FALSE),0)</f>
        <v>0</v>
      </c>
      <c r="AA14" s="84" t="str">
        <f t="shared" si="9"/>
        <v>***</v>
      </c>
      <c r="AB14" s="73"/>
      <c r="AC14" s="73">
        <f>+IFERROR(VLOOKUP($A14,'Goals &amp; Budget 2026'!$A$2:$EJ$49,135,FALSE),0)</f>
        <v>0</v>
      </c>
      <c r="AD14" s="84" t="str">
        <f t="shared" si="10"/>
        <v>***</v>
      </c>
      <c r="AE14" s="73"/>
      <c r="AF14" s="73">
        <f>+IFERROR(VLOOKUP($A14,'Goals &amp; Budget 2026'!$A$2:$EJ$49,136,FALSE),0)</f>
        <v>0</v>
      </c>
      <c r="AG14" s="231" t="str">
        <f t="shared" si="11"/>
        <v>***</v>
      </c>
      <c r="AH14" s="73"/>
      <c r="AI14" s="73">
        <f>+IFERROR(VLOOKUP($A14,'Goals &amp; Budget 2026'!$A$2:$EJ$49,137,FALSE),0)</f>
        <v>0</v>
      </c>
      <c r="AJ14" s="84" t="str">
        <f t="shared" si="12"/>
        <v>***</v>
      </c>
      <c r="AK14" s="73"/>
      <c r="AL14" s="73">
        <f>+IFERROR(VLOOKUP($A14,'Goals &amp; Budget 2026'!$A$2:$EJ$49,138,FALSE),0)</f>
        <v>80</v>
      </c>
      <c r="AM14" s="84">
        <f t="shared" si="13"/>
        <v>0</v>
      </c>
      <c r="AN14" s="73"/>
      <c r="AO14" s="73">
        <f>+IFERROR(VLOOKUP($A14,'Goals &amp; Budget 2026'!$A$2:$EJ$49,139,FALSE),0)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0">
        <f t="shared" si="0"/>
        <v>0</v>
      </c>
      <c r="E15" s="73">
        <f t="shared" si="1"/>
        <v>0</v>
      </c>
      <c r="F15" s="231" t="str">
        <f t="shared" si="2"/>
        <v>***</v>
      </c>
      <c r="G15" s="73"/>
      <c r="H15" s="73">
        <f>+IFERROR(VLOOKUP($A15,'Goals &amp; Budget 2026'!$A$2:$EJ$49,128,FALSE),0)</f>
        <v>0</v>
      </c>
      <c r="I15" s="84" t="str">
        <f t="shared" si="3"/>
        <v>***</v>
      </c>
      <c r="J15" s="73"/>
      <c r="K15" s="73">
        <f>+IFERROR(VLOOKUP($A15,'Goals &amp; Budget 2026'!$A$2:$EJ$49,129,FALSE),0)</f>
        <v>0</v>
      </c>
      <c r="L15" s="84" t="str">
        <f t="shared" si="4"/>
        <v>***</v>
      </c>
      <c r="M15" s="73"/>
      <c r="N15" s="73">
        <f>+IFERROR(VLOOKUP($A15,'Goals &amp; Budget 2026'!$A$2:$EJ$49,130,FALSE),0)</f>
        <v>2</v>
      </c>
      <c r="O15" s="231">
        <f t="shared" si="5"/>
        <v>0</v>
      </c>
      <c r="P15" s="73"/>
      <c r="Q15" s="73">
        <f>+IFERROR(VLOOKUP($A15,'Goals &amp; Budget 2026'!$A$2:$EJ$49,131,FALSE),0)</f>
        <v>0</v>
      </c>
      <c r="R15" s="84" t="str">
        <f t="shared" si="6"/>
        <v>***</v>
      </c>
      <c r="S15" s="73"/>
      <c r="T15" s="73">
        <f>+IFERROR(VLOOKUP($A15,'Goals &amp; Budget 2026'!$A$2:$EJ$49,132,FALSE),0)</f>
        <v>0</v>
      </c>
      <c r="U15" s="84" t="str">
        <f t="shared" si="7"/>
        <v>***</v>
      </c>
      <c r="V15" s="73"/>
      <c r="W15" s="73">
        <f>+IFERROR(VLOOKUP($A15,'Goals &amp; Budget 2026'!$A$2:$EJ$49,133,FALSE),0)</f>
        <v>0</v>
      </c>
      <c r="X15" s="231" t="str">
        <f t="shared" si="8"/>
        <v>***</v>
      </c>
      <c r="Y15" s="73"/>
      <c r="Z15" s="73">
        <f>+IFERROR(VLOOKUP($A15,'Goals &amp; Budget 2026'!$A$2:$EJ$49,134,FALSE),0)</f>
        <v>0</v>
      </c>
      <c r="AA15" s="84" t="str">
        <f t="shared" si="9"/>
        <v>***</v>
      </c>
      <c r="AB15" s="73"/>
      <c r="AC15" s="73">
        <f>+IFERROR(VLOOKUP($A15,'Goals &amp; Budget 2026'!$A$2:$EJ$49,135,FALSE),0)</f>
        <v>0</v>
      </c>
      <c r="AD15" s="84" t="str">
        <f t="shared" si="10"/>
        <v>***</v>
      </c>
      <c r="AE15" s="73"/>
      <c r="AF15" s="73">
        <f>+IFERROR(VLOOKUP($A15,'Goals &amp; Budget 2026'!$A$2:$EJ$49,136,FALSE),0)</f>
        <v>0</v>
      </c>
      <c r="AG15" s="231" t="str">
        <f t="shared" si="11"/>
        <v>***</v>
      </c>
      <c r="AH15" s="73"/>
      <c r="AI15" s="73">
        <f>+IFERROR(VLOOKUP($A15,'Goals &amp; Budget 2026'!$A$2:$EJ$49,137,FALSE),0)</f>
        <v>0</v>
      </c>
      <c r="AJ15" s="84" t="str">
        <f t="shared" si="12"/>
        <v>***</v>
      </c>
      <c r="AK15" s="73"/>
      <c r="AL15" s="73">
        <f>+IFERROR(VLOOKUP($A15,'Goals &amp; Budget 2026'!$A$2:$EJ$49,138,FALSE),0)</f>
        <v>0</v>
      </c>
      <c r="AM15" s="84" t="str">
        <f t="shared" si="13"/>
        <v>***</v>
      </c>
      <c r="AN15" s="73"/>
      <c r="AO15" s="73">
        <f>+IFERROR(VLOOKUP($A15,'Goals &amp; Budget 2026'!$A$2:$EJ$49,139,FALSE),0)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0">
        <f t="shared" si="0"/>
        <v>0</v>
      </c>
      <c r="E16" s="73">
        <f t="shared" si="1"/>
        <v>0</v>
      </c>
      <c r="F16" s="231" t="str">
        <f t="shared" si="2"/>
        <v>***</v>
      </c>
      <c r="G16" s="73"/>
      <c r="H16" s="73">
        <f>+IFERROR(VLOOKUP($A16,'Goals &amp; Budget 2026'!$A$2:$EJ$49,128,FALSE),0)</f>
        <v>0</v>
      </c>
      <c r="I16" s="84" t="str">
        <f t="shared" si="3"/>
        <v>***</v>
      </c>
      <c r="J16" s="73"/>
      <c r="K16" s="73">
        <f>+IFERROR(VLOOKUP($A16,'Goals &amp; Budget 2026'!$A$2:$EJ$49,129,FALSE),0)</f>
        <v>0</v>
      </c>
      <c r="L16" s="84" t="str">
        <f t="shared" si="4"/>
        <v>***</v>
      </c>
      <c r="M16" s="73"/>
      <c r="N16" s="73">
        <f>+IFERROR(VLOOKUP($A16,'Goals &amp; Budget 2026'!$A$2:$EJ$49,130,FALSE),0)</f>
        <v>0</v>
      </c>
      <c r="O16" s="231" t="str">
        <f t="shared" si="5"/>
        <v>***</v>
      </c>
      <c r="P16" s="73"/>
      <c r="Q16" s="73">
        <f>+IFERROR(VLOOKUP($A16,'Goals &amp; Budget 2026'!$A$2:$EJ$49,131,FALSE),0)</f>
        <v>0</v>
      </c>
      <c r="R16" s="84" t="str">
        <f t="shared" si="6"/>
        <v>***</v>
      </c>
      <c r="S16" s="73"/>
      <c r="T16" s="73">
        <f>+IFERROR(VLOOKUP($A16,'Goals &amp; Budget 2026'!$A$2:$EJ$49,132,FALSE),0)</f>
        <v>0</v>
      </c>
      <c r="U16" s="84" t="str">
        <f t="shared" si="7"/>
        <v>***</v>
      </c>
      <c r="V16" s="73"/>
      <c r="W16" s="73">
        <f>+IFERROR(VLOOKUP($A16,'Goals &amp; Budget 2026'!$A$2:$EJ$49,133,FALSE),0)</f>
        <v>0</v>
      </c>
      <c r="X16" s="231" t="str">
        <f t="shared" si="8"/>
        <v>***</v>
      </c>
      <c r="Y16" s="73"/>
      <c r="Z16" s="73">
        <f>+IFERROR(VLOOKUP($A16,'Goals &amp; Budget 2026'!$A$2:$EJ$49,134,FALSE),0)</f>
        <v>0</v>
      </c>
      <c r="AA16" s="84" t="str">
        <f t="shared" si="9"/>
        <v>***</v>
      </c>
      <c r="AB16" s="73"/>
      <c r="AC16" s="73">
        <f>+IFERROR(VLOOKUP($A16,'Goals &amp; Budget 2026'!$A$2:$EJ$49,135,FALSE),0)</f>
        <v>0</v>
      </c>
      <c r="AD16" s="84" t="str">
        <f t="shared" si="10"/>
        <v>***</v>
      </c>
      <c r="AE16" s="73"/>
      <c r="AF16" s="73">
        <f>+IFERROR(VLOOKUP($A16,'Goals &amp; Budget 2026'!$A$2:$EJ$49,136,FALSE),0)</f>
        <v>0</v>
      </c>
      <c r="AG16" s="231" t="str">
        <f t="shared" si="11"/>
        <v>***</v>
      </c>
      <c r="AH16" s="73"/>
      <c r="AI16" s="73">
        <f>+IFERROR(VLOOKUP($A16,'Goals &amp; Budget 2026'!$A$2:$EJ$49,137,FALSE),0)</f>
        <v>0</v>
      </c>
      <c r="AJ16" s="84" t="str">
        <f t="shared" si="12"/>
        <v>***</v>
      </c>
      <c r="AK16" s="73"/>
      <c r="AL16" s="73">
        <f>+IFERROR(VLOOKUP($A16,'Goals &amp; Budget 2026'!$A$2:$EJ$49,138,FALSE),0)</f>
        <v>0</v>
      </c>
      <c r="AM16" s="84" t="str">
        <f t="shared" si="13"/>
        <v>***</v>
      </c>
      <c r="AN16" s="73"/>
      <c r="AO16" s="73">
        <f>+IFERROR(VLOOKUP($A16,'Goals &amp; Budget 2026'!$A$2:$EJ$49,139,FALSE),0)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0">
        <f t="shared" si="0"/>
        <v>0</v>
      </c>
      <c r="E17" s="73">
        <f t="shared" si="1"/>
        <v>0</v>
      </c>
      <c r="F17" s="231" t="str">
        <f t="shared" si="2"/>
        <v>***</v>
      </c>
      <c r="G17" s="73"/>
      <c r="H17" s="73">
        <f>+IFERROR(VLOOKUP($A17,'Goals &amp; Budget 2026'!$A$2:$EJ$49,128,FALSE),0)</f>
        <v>0</v>
      </c>
      <c r="I17" s="84" t="str">
        <f t="shared" si="3"/>
        <v>***</v>
      </c>
      <c r="J17" s="73"/>
      <c r="K17" s="73">
        <f>+IFERROR(VLOOKUP($A17,'Goals &amp; Budget 2026'!$A$2:$EJ$49,129,FALSE),0)</f>
        <v>0</v>
      </c>
      <c r="L17" s="84" t="str">
        <f t="shared" si="4"/>
        <v>***</v>
      </c>
      <c r="M17" s="73"/>
      <c r="N17" s="73">
        <f>+IFERROR(VLOOKUP($A17,'Goals &amp; Budget 2026'!$A$2:$EJ$49,130,FALSE),0)</f>
        <v>0</v>
      </c>
      <c r="O17" s="231" t="str">
        <f t="shared" si="5"/>
        <v>***</v>
      </c>
      <c r="P17" s="73"/>
      <c r="Q17" s="73">
        <f>+IFERROR(VLOOKUP($A17,'Goals &amp; Budget 2026'!$A$2:$EJ$49,131,FALSE),0)</f>
        <v>0</v>
      </c>
      <c r="R17" s="84" t="str">
        <f t="shared" si="6"/>
        <v>***</v>
      </c>
      <c r="S17" s="73"/>
      <c r="T17" s="73">
        <f>+IFERROR(VLOOKUP($A17,'Goals &amp; Budget 2026'!$A$2:$EJ$49,132,FALSE),0)</f>
        <v>0</v>
      </c>
      <c r="U17" s="84" t="str">
        <f t="shared" si="7"/>
        <v>***</v>
      </c>
      <c r="V17" s="73"/>
      <c r="W17" s="73">
        <f>+IFERROR(VLOOKUP($A17,'Goals &amp; Budget 2026'!$A$2:$EJ$49,133,FALSE),0)</f>
        <v>0</v>
      </c>
      <c r="X17" s="231" t="str">
        <f t="shared" si="8"/>
        <v>***</v>
      </c>
      <c r="Y17" s="73"/>
      <c r="Z17" s="73">
        <f>+IFERROR(VLOOKUP($A17,'Goals &amp; Budget 2026'!$A$2:$EJ$49,134,FALSE),0)</f>
        <v>0</v>
      </c>
      <c r="AA17" s="84" t="str">
        <f t="shared" si="9"/>
        <v>***</v>
      </c>
      <c r="AB17" s="73"/>
      <c r="AC17" s="73">
        <f>+IFERROR(VLOOKUP($A17,'Goals &amp; Budget 2026'!$A$2:$EJ$49,135,FALSE),0)</f>
        <v>0</v>
      </c>
      <c r="AD17" s="84" t="str">
        <f t="shared" si="10"/>
        <v>***</v>
      </c>
      <c r="AE17" s="73"/>
      <c r="AF17" s="73">
        <f>+IFERROR(VLOOKUP($A17,'Goals &amp; Budget 2026'!$A$2:$EJ$49,136,FALSE),0)</f>
        <v>0</v>
      </c>
      <c r="AG17" s="231" t="str">
        <f t="shared" si="11"/>
        <v>***</v>
      </c>
      <c r="AH17" s="73"/>
      <c r="AI17" s="73">
        <f>+IFERROR(VLOOKUP($A17,'Goals &amp; Budget 2026'!$A$2:$EJ$49,137,FALSE),0)</f>
        <v>0</v>
      </c>
      <c r="AJ17" s="84" t="str">
        <f t="shared" si="12"/>
        <v>***</v>
      </c>
      <c r="AK17" s="73"/>
      <c r="AL17" s="73">
        <f>+IFERROR(VLOOKUP($A17,'Goals &amp; Budget 2026'!$A$2:$EJ$49,138,FALSE),0)</f>
        <v>0</v>
      </c>
      <c r="AM17" s="84" t="str">
        <f t="shared" si="13"/>
        <v>***</v>
      </c>
      <c r="AN17" s="73"/>
      <c r="AO17" s="73">
        <f>+IFERROR(VLOOKUP($A17,'Goals &amp; Budget 2026'!$A$2:$EJ$49,139,FALSE),0)</f>
        <v>0</v>
      </c>
      <c r="AP17" s="85" t="str">
        <f t="shared" si="14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0">
        <f t="shared" si="0"/>
        <v>0</v>
      </c>
      <c r="E18" s="73">
        <f t="shared" si="1"/>
        <v>0</v>
      </c>
      <c r="F18" s="231" t="str">
        <f t="shared" si="2"/>
        <v>***</v>
      </c>
      <c r="G18" s="73"/>
      <c r="H18" s="73">
        <f>+IFERROR(VLOOKUP($A18,'Goals &amp; Budget 2026'!$A$2:$EJ$49,128,FALSE),0)</f>
        <v>0</v>
      </c>
      <c r="I18" s="84" t="str">
        <f t="shared" si="3"/>
        <v>***</v>
      </c>
      <c r="J18" s="73"/>
      <c r="K18" s="73">
        <f>+IFERROR(VLOOKUP($A18,'Goals &amp; Budget 2026'!$A$2:$EJ$49,129,FALSE),0)</f>
        <v>0</v>
      </c>
      <c r="L18" s="84" t="str">
        <f t="shared" si="4"/>
        <v>***</v>
      </c>
      <c r="M18" s="73"/>
      <c r="N18" s="73">
        <f>+IFERROR(VLOOKUP($A18,'Goals &amp; Budget 2026'!$A$2:$EJ$49,130,FALSE),0)</f>
        <v>0</v>
      </c>
      <c r="O18" s="231" t="str">
        <f t="shared" si="5"/>
        <v>***</v>
      </c>
      <c r="P18" s="73"/>
      <c r="Q18" s="73">
        <f>+IFERROR(VLOOKUP($A18,'Goals &amp; Budget 2026'!$A$2:$EJ$49,131,FALSE),0)</f>
        <v>0</v>
      </c>
      <c r="R18" s="84" t="str">
        <f t="shared" si="6"/>
        <v>***</v>
      </c>
      <c r="S18" s="73"/>
      <c r="T18" s="73">
        <f>+IFERROR(VLOOKUP($A18,'Goals &amp; Budget 2026'!$A$2:$EJ$49,132,FALSE),0)</f>
        <v>0</v>
      </c>
      <c r="U18" s="84" t="str">
        <f t="shared" si="7"/>
        <v>***</v>
      </c>
      <c r="V18" s="73"/>
      <c r="W18" s="73">
        <f>+IFERROR(VLOOKUP($A18,'Goals &amp; Budget 2026'!$A$2:$EJ$49,133,FALSE),0)</f>
        <v>0</v>
      </c>
      <c r="X18" s="231" t="str">
        <f t="shared" si="8"/>
        <v>***</v>
      </c>
      <c r="Y18" s="73"/>
      <c r="Z18" s="73">
        <f>+IFERROR(VLOOKUP($A18,'Goals &amp; Budget 2026'!$A$2:$EJ$49,134,FALSE),0)</f>
        <v>0</v>
      </c>
      <c r="AA18" s="84" t="str">
        <f t="shared" si="9"/>
        <v>***</v>
      </c>
      <c r="AB18" s="73"/>
      <c r="AC18" s="73">
        <f>+IFERROR(VLOOKUP($A18,'Goals &amp; Budget 2026'!$A$2:$EJ$49,135,FALSE),0)</f>
        <v>0</v>
      </c>
      <c r="AD18" s="84" t="str">
        <f t="shared" si="10"/>
        <v>***</v>
      </c>
      <c r="AE18" s="73"/>
      <c r="AF18" s="73">
        <f>+IFERROR(VLOOKUP($A18,'Goals &amp; Budget 2026'!$A$2:$EJ$49,136,FALSE),0)</f>
        <v>0</v>
      </c>
      <c r="AG18" s="231" t="str">
        <f t="shared" si="11"/>
        <v>***</v>
      </c>
      <c r="AH18" s="73"/>
      <c r="AI18" s="73">
        <f>+IFERROR(VLOOKUP($A18,'Goals &amp; Budget 2026'!$A$2:$EJ$49,137,FALSE),0)</f>
        <v>0</v>
      </c>
      <c r="AJ18" s="84" t="str">
        <f t="shared" si="12"/>
        <v>***</v>
      </c>
      <c r="AK18" s="73"/>
      <c r="AL18" s="73">
        <f>+IFERROR(VLOOKUP($A18,'Goals &amp; Budget 2026'!$A$2:$EJ$49,138,FALSE),0)</f>
        <v>0</v>
      </c>
      <c r="AM18" s="84" t="str">
        <f t="shared" si="13"/>
        <v>***</v>
      </c>
      <c r="AN18" s="73"/>
      <c r="AO18" s="73">
        <f>+IFERROR(VLOOKUP($A18,'Goals &amp; Budget 2026'!$A$2:$EJ$49,139,FALSE),0)</f>
        <v>0</v>
      </c>
      <c r="AP18" s="85" t="str">
        <f t="shared" si="14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0">
        <f t="shared" si="0"/>
        <v>0</v>
      </c>
      <c r="E19" s="73">
        <f t="shared" si="1"/>
        <v>0</v>
      </c>
      <c r="F19" s="231" t="str">
        <f t="shared" si="2"/>
        <v>***</v>
      </c>
      <c r="G19" s="73"/>
      <c r="H19" s="73">
        <f>+IFERROR(VLOOKUP($A19,'Goals &amp; Budget 2026'!$A$2:$EJ$49,128,FALSE),0)</f>
        <v>0</v>
      </c>
      <c r="I19" s="84" t="str">
        <f t="shared" si="3"/>
        <v>***</v>
      </c>
      <c r="J19" s="73"/>
      <c r="K19" s="73">
        <f>+IFERROR(VLOOKUP($A19,'Goals &amp; Budget 2026'!$A$2:$EJ$49,129,FALSE),0)</f>
        <v>0</v>
      </c>
      <c r="L19" s="84" t="str">
        <f t="shared" si="4"/>
        <v>***</v>
      </c>
      <c r="M19" s="73"/>
      <c r="N19" s="73">
        <f>+IFERROR(VLOOKUP($A19,'Goals &amp; Budget 2026'!$A$2:$EJ$49,130,FALSE),0)</f>
        <v>0</v>
      </c>
      <c r="O19" s="231" t="str">
        <f t="shared" si="5"/>
        <v>***</v>
      </c>
      <c r="P19" s="73"/>
      <c r="Q19" s="73">
        <f>+IFERROR(VLOOKUP($A19,'Goals &amp; Budget 2026'!$A$2:$EJ$49,131,FALSE),0)</f>
        <v>0</v>
      </c>
      <c r="R19" s="84" t="str">
        <f t="shared" si="6"/>
        <v>***</v>
      </c>
      <c r="S19" s="73"/>
      <c r="T19" s="73">
        <f>+IFERROR(VLOOKUP($A19,'Goals &amp; Budget 2026'!$A$2:$EJ$49,132,FALSE),0)</f>
        <v>0</v>
      </c>
      <c r="U19" s="84" t="str">
        <f t="shared" si="7"/>
        <v>***</v>
      </c>
      <c r="V19" s="73"/>
      <c r="W19" s="73">
        <f>+IFERROR(VLOOKUP($A19,'Goals &amp; Budget 2026'!$A$2:$EJ$49,133,FALSE),0)</f>
        <v>0</v>
      </c>
      <c r="X19" s="231" t="str">
        <f t="shared" si="8"/>
        <v>***</v>
      </c>
      <c r="Y19" s="73"/>
      <c r="Z19" s="73">
        <f>+IFERROR(VLOOKUP($A19,'Goals &amp; Budget 2026'!$A$2:$EJ$49,134,FALSE),0)</f>
        <v>0</v>
      </c>
      <c r="AA19" s="84" t="str">
        <f t="shared" si="9"/>
        <v>***</v>
      </c>
      <c r="AB19" s="73"/>
      <c r="AC19" s="73">
        <f>+IFERROR(VLOOKUP($A19,'Goals &amp; Budget 2026'!$A$2:$EJ$49,135,FALSE),0)</f>
        <v>0</v>
      </c>
      <c r="AD19" s="84" t="str">
        <f t="shared" si="10"/>
        <v>***</v>
      </c>
      <c r="AE19" s="73"/>
      <c r="AF19" s="73">
        <f>+IFERROR(VLOOKUP($A19,'Goals &amp; Budget 2026'!$A$2:$EJ$49,136,FALSE),0)</f>
        <v>0</v>
      </c>
      <c r="AG19" s="231" t="str">
        <f t="shared" si="11"/>
        <v>***</v>
      </c>
      <c r="AH19" s="73"/>
      <c r="AI19" s="73">
        <f>+IFERROR(VLOOKUP($A19,'Goals &amp; Budget 2026'!$A$2:$EJ$49,137,FALSE),0)</f>
        <v>0</v>
      </c>
      <c r="AJ19" s="84" t="str">
        <f t="shared" si="12"/>
        <v>***</v>
      </c>
      <c r="AK19" s="73"/>
      <c r="AL19" s="73">
        <f>+IFERROR(VLOOKUP($A19,'Goals &amp; Budget 2026'!$A$2:$EJ$49,138,FALSE),0)</f>
        <v>0</v>
      </c>
      <c r="AM19" s="84" t="str">
        <f t="shared" si="13"/>
        <v>***</v>
      </c>
      <c r="AN19" s="73"/>
      <c r="AO19" s="73">
        <f>+IFERROR(VLOOKUP($A19,'Goals &amp; Budget 2026'!$A$2:$EJ$49,139,FALSE),0)</f>
        <v>0</v>
      </c>
      <c r="AP19" s="85" t="str">
        <f t="shared" si="14"/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0">
        <f t="shared" si="0"/>
        <v>0</v>
      </c>
      <c r="E20" s="73">
        <f t="shared" si="1"/>
        <v>0</v>
      </c>
      <c r="F20" s="231" t="str">
        <f t="shared" si="2"/>
        <v>***</v>
      </c>
      <c r="G20" s="73"/>
      <c r="H20" s="73">
        <f>+IFERROR(VLOOKUP($A20,'Goals &amp; Budget 2026'!$A$2:$EJ$49,128,FALSE),0)</f>
        <v>0</v>
      </c>
      <c r="I20" s="84" t="str">
        <f t="shared" si="3"/>
        <v>***</v>
      </c>
      <c r="J20" s="73"/>
      <c r="K20" s="73">
        <f>+IFERROR(VLOOKUP($A20,'Goals &amp; Budget 2026'!$A$2:$EJ$49,129,FALSE),0)</f>
        <v>0</v>
      </c>
      <c r="L20" s="84" t="str">
        <f t="shared" si="4"/>
        <v>***</v>
      </c>
      <c r="M20" s="73"/>
      <c r="N20" s="73">
        <f>+IFERROR(VLOOKUP($A20,'Goals &amp; Budget 2026'!$A$2:$EJ$49,130,FALSE),0)</f>
        <v>0</v>
      </c>
      <c r="O20" s="231" t="str">
        <f t="shared" si="5"/>
        <v>***</v>
      </c>
      <c r="P20" s="73"/>
      <c r="Q20" s="73">
        <f>+IFERROR(VLOOKUP($A20,'Goals &amp; Budget 2026'!$A$2:$EJ$49,131,FALSE),0)</f>
        <v>0</v>
      </c>
      <c r="R20" s="84" t="str">
        <f t="shared" si="6"/>
        <v>***</v>
      </c>
      <c r="S20" s="73"/>
      <c r="T20" s="73">
        <f>+IFERROR(VLOOKUP($A20,'Goals &amp; Budget 2026'!$A$2:$EJ$49,132,FALSE),0)</f>
        <v>0</v>
      </c>
      <c r="U20" s="84" t="str">
        <f t="shared" si="7"/>
        <v>***</v>
      </c>
      <c r="V20" s="73"/>
      <c r="W20" s="73">
        <f>+IFERROR(VLOOKUP($A20,'Goals &amp; Budget 2026'!$A$2:$EJ$49,133,FALSE),0)</f>
        <v>0</v>
      </c>
      <c r="X20" s="231" t="str">
        <f t="shared" si="8"/>
        <v>***</v>
      </c>
      <c r="Y20" s="73"/>
      <c r="Z20" s="73">
        <f>+IFERROR(VLOOKUP($A20,'Goals &amp; Budget 2026'!$A$2:$EJ$49,134,FALSE),0)</f>
        <v>0</v>
      </c>
      <c r="AA20" s="84" t="str">
        <f t="shared" si="9"/>
        <v>***</v>
      </c>
      <c r="AB20" s="73"/>
      <c r="AC20" s="73">
        <f>+IFERROR(VLOOKUP($A20,'Goals &amp; Budget 2026'!$A$2:$EJ$49,135,FALSE),0)</f>
        <v>0</v>
      </c>
      <c r="AD20" s="84" t="str">
        <f t="shared" si="10"/>
        <v>***</v>
      </c>
      <c r="AE20" s="73"/>
      <c r="AF20" s="73">
        <f>+IFERROR(VLOOKUP($A20,'Goals &amp; Budget 2026'!$A$2:$EJ$49,136,FALSE),0)</f>
        <v>0</v>
      </c>
      <c r="AG20" s="231" t="str">
        <f t="shared" si="11"/>
        <v>***</v>
      </c>
      <c r="AH20" s="73"/>
      <c r="AI20" s="73">
        <f>+IFERROR(VLOOKUP($A20,'Goals &amp; Budget 2026'!$A$2:$EJ$49,137,FALSE),0)</f>
        <v>0</v>
      </c>
      <c r="AJ20" s="84" t="str">
        <f t="shared" si="12"/>
        <v>***</v>
      </c>
      <c r="AK20" s="73"/>
      <c r="AL20" s="73">
        <f>+IFERROR(VLOOKUP($A20,'Goals &amp; Budget 2026'!$A$2:$EJ$49,138,FALSE),0)</f>
        <v>0</v>
      </c>
      <c r="AM20" s="84" t="str">
        <f t="shared" si="13"/>
        <v>***</v>
      </c>
      <c r="AN20" s="73"/>
      <c r="AO20" s="73">
        <f>+IFERROR(VLOOKUP($A20,'Goals &amp; Budget 2026'!$A$2:$EJ$49,139,FALSE),0)</f>
        <v>0</v>
      </c>
      <c r="AP20" s="85" t="str">
        <f t="shared" si="14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0">
        <f t="shared" si="0"/>
        <v>0</v>
      </c>
      <c r="E21" s="73">
        <f t="shared" si="1"/>
        <v>0</v>
      </c>
      <c r="F21" s="231" t="str">
        <f t="shared" si="2"/>
        <v>***</v>
      </c>
      <c r="G21" s="73"/>
      <c r="H21" s="73">
        <f>+IFERROR(VLOOKUP($A21,'Goals &amp; Budget 2026'!$A$2:$EJ$49,128,FALSE),0)</f>
        <v>0</v>
      </c>
      <c r="I21" s="84" t="str">
        <f t="shared" si="3"/>
        <v>***</v>
      </c>
      <c r="J21" s="73"/>
      <c r="K21" s="73">
        <f>+IFERROR(VLOOKUP($A21,'Goals &amp; Budget 2026'!$A$2:$EJ$49,129,FALSE),0)</f>
        <v>0</v>
      </c>
      <c r="L21" s="84" t="str">
        <f t="shared" si="4"/>
        <v>***</v>
      </c>
      <c r="M21" s="73"/>
      <c r="N21" s="73">
        <f>+IFERROR(VLOOKUP($A21,'Goals &amp; Budget 2026'!$A$2:$EJ$49,130,FALSE),0)</f>
        <v>0</v>
      </c>
      <c r="O21" s="231" t="str">
        <f t="shared" si="5"/>
        <v>***</v>
      </c>
      <c r="P21" s="73"/>
      <c r="Q21" s="73">
        <f>+IFERROR(VLOOKUP($A21,'Goals &amp; Budget 2026'!$A$2:$EJ$49,131,FALSE),0)</f>
        <v>0</v>
      </c>
      <c r="R21" s="84" t="str">
        <f t="shared" si="6"/>
        <v>***</v>
      </c>
      <c r="S21" s="73"/>
      <c r="T21" s="73">
        <f>+IFERROR(VLOOKUP($A21,'Goals &amp; Budget 2026'!$A$2:$EJ$49,132,FALSE),0)</f>
        <v>0</v>
      </c>
      <c r="U21" s="84" t="str">
        <f t="shared" si="7"/>
        <v>***</v>
      </c>
      <c r="V21" s="73"/>
      <c r="W21" s="73">
        <f>+IFERROR(VLOOKUP($A21,'Goals &amp; Budget 2026'!$A$2:$EJ$49,133,FALSE),0)</f>
        <v>0</v>
      </c>
      <c r="X21" s="231" t="str">
        <f t="shared" si="8"/>
        <v>***</v>
      </c>
      <c r="Y21" s="73"/>
      <c r="Z21" s="73">
        <f>+IFERROR(VLOOKUP($A21,'Goals &amp; Budget 2026'!$A$2:$EJ$49,134,FALSE),0)</f>
        <v>0</v>
      </c>
      <c r="AA21" s="84" t="str">
        <f t="shared" si="9"/>
        <v>***</v>
      </c>
      <c r="AB21" s="73"/>
      <c r="AC21" s="73">
        <f>+IFERROR(VLOOKUP($A21,'Goals &amp; Budget 2026'!$A$2:$EJ$49,135,FALSE),0)</f>
        <v>0</v>
      </c>
      <c r="AD21" s="84" t="str">
        <f t="shared" si="10"/>
        <v>***</v>
      </c>
      <c r="AE21" s="73"/>
      <c r="AF21" s="73">
        <f>+IFERROR(VLOOKUP($A21,'Goals &amp; Budget 2026'!$A$2:$EJ$49,136,FALSE),0)</f>
        <v>0</v>
      </c>
      <c r="AG21" s="231" t="str">
        <f t="shared" si="11"/>
        <v>***</v>
      </c>
      <c r="AH21" s="73"/>
      <c r="AI21" s="73">
        <f>+IFERROR(VLOOKUP($A21,'Goals &amp; Budget 2026'!$A$2:$EJ$49,137,FALSE),0)</f>
        <v>0</v>
      </c>
      <c r="AJ21" s="84" t="str">
        <f t="shared" si="12"/>
        <v>***</v>
      </c>
      <c r="AK21" s="73"/>
      <c r="AL21" s="73">
        <f>+IFERROR(VLOOKUP($A21,'Goals &amp; Budget 2026'!$A$2:$EJ$49,138,FALSE),0)</f>
        <v>0</v>
      </c>
      <c r="AM21" s="84" t="str">
        <f t="shared" si="13"/>
        <v>***</v>
      </c>
      <c r="AN21" s="73"/>
      <c r="AO21" s="73">
        <f>+IFERROR(VLOOKUP($A21,'Goals &amp; Budget 2026'!$A$2:$EJ$49,139,FALSE),0)</f>
        <v>0</v>
      </c>
      <c r="AP21" s="85" t="str">
        <f t="shared" si="14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0">
        <f t="shared" si="0"/>
        <v>0</v>
      </c>
      <c r="E22" s="73">
        <f t="shared" si="1"/>
        <v>0</v>
      </c>
      <c r="F22" s="231" t="str">
        <f t="shared" si="2"/>
        <v>***</v>
      </c>
      <c r="G22" s="73"/>
      <c r="H22" s="73">
        <f>+IFERROR(VLOOKUP($A22,'Goals &amp; Budget 2026'!$A$2:$EJ$49,128,FALSE),0)</f>
        <v>0</v>
      </c>
      <c r="I22" s="84" t="str">
        <f t="shared" si="3"/>
        <v>***</v>
      </c>
      <c r="J22" s="73"/>
      <c r="K22" s="73">
        <f>+IFERROR(VLOOKUP($A22,'Goals &amp; Budget 2026'!$A$2:$EJ$49,129,FALSE),0)</f>
        <v>0</v>
      </c>
      <c r="L22" s="84" t="str">
        <f t="shared" si="4"/>
        <v>***</v>
      </c>
      <c r="M22" s="73"/>
      <c r="N22" s="73">
        <f>+IFERROR(VLOOKUP($A22,'Goals &amp; Budget 2026'!$A$2:$EJ$49,130,FALSE),0)</f>
        <v>0</v>
      </c>
      <c r="O22" s="231" t="str">
        <f t="shared" si="5"/>
        <v>***</v>
      </c>
      <c r="P22" s="73"/>
      <c r="Q22" s="73">
        <f>+IFERROR(VLOOKUP($A22,'Goals &amp; Budget 2026'!$A$2:$EJ$49,131,FALSE),0)</f>
        <v>0</v>
      </c>
      <c r="R22" s="84" t="str">
        <f t="shared" si="6"/>
        <v>***</v>
      </c>
      <c r="S22" s="73"/>
      <c r="T22" s="73">
        <f>+IFERROR(VLOOKUP($A22,'Goals &amp; Budget 2026'!$A$2:$EJ$49,132,FALSE),0)</f>
        <v>0</v>
      </c>
      <c r="U22" s="84" t="str">
        <f t="shared" si="7"/>
        <v>***</v>
      </c>
      <c r="V22" s="73"/>
      <c r="W22" s="73">
        <f>+IFERROR(VLOOKUP($A22,'Goals &amp; Budget 2026'!$A$2:$EJ$49,133,FALSE),0)</f>
        <v>0</v>
      </c>
      <c r="X22" s="231" t="str">
        <f t="shared" si="8"/>
        <v>***</v>
      </c>
      <c r="Y22" s="73"/>
      <c r="Z22" s="73">
        <f>+IFERROR(VLOOKUP($A22,'Goals &amp; Budget 2026'!$A$2:$EJ$49,134,FALSE),0)</f>
        <v>0</v>
      </c>
      <c r="AA22" s="84" t="str">
        <f t="shared" si="9"/>
        <v>***</v>
      </c>
      <c r="AB22" s="73"/>
      <c r="AC22" s="73">
        <f>+IFERROR(VLOOKUP($A22,'Goals &amp; Budget 2026'!$A$2:$EJ$49,135,FALSE),0)</f>
        <v>0</v>
      </c>
      <c r="AD22" s="84" t="str">
        <f t="shared" si="10"/>
        <v>***</v>
      </c>
      <c r="AE22" s="73"/>
      <c r="AF22" s="73">
        <f>+IFERROR(VLOOKUP($A22,'Goals &amp; Budget 2026'!$A$2:$EJ$49,136,FALSE),0)</f>
        <v>0</v>
      </c>
      <c r="AG22" s="231" t="str">
        <f t="shared" si="11"/>
        <v>***</v>
      </c>
      <c r="AH22" s="73"/>
      <c r="AI22" s="73">
        <f>+IFERROR(VLOOKUP($A22,'Goals &amp; Budget 2026'!$A$2:$EJ$49,137,FALSE),0)</f>
        <v>0</v>
      </c>
      <c r="AJ22" s="84" t="str">
        <f t="shared" si="12"/>
        <v>***</v>
      </c>
      <c r="AK22" s="73"/>
      <c r="AL22" s="73">
        <f>+IFERROR(VLOOKUP($A22,'Goals &amp; Budget 2026'!$A$2:$EJ$49,138,FALSE),0)</f>
        <v>0</v>
      </c>
      <c r="AM22" s="84" t="str">
        <f t="shared" si="13"/>
        <v>***</v>
      </c>
      <c r="AN22" s="73"/>
      <c r="AO22" s="73">
        <f>+IFERROR(VLOOKUP($A22,'Goals &amp; Budget 2026'!$A$2:$EJ$49,139,FALSE),0)</f>
        <v>0</v>
      </c>
      <c r="AP22" s="85" t="str">
        <f t="shared" si="14"/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0">
        <f t="shared" si="0"/>
        <v>0</v>
      </c>
      <c r="E23" s="73">
        <f t="shared" si="1"/>
        <v>0</v>
      </c>
      <c r="F23" s="231" t="str">
        <f t="shared" si="2"/>
        <v>***</v>
      </c>
      <c r="G23" s="73"/>
      <c r="H23" s="73">
        <f>+IFERROR(VLOOKUP($A23,'Goals &amp; Budget 2026'!$A$2:$EJ$49,128,FALSE),0)</f>
        <v>0</v>
      </c>
      <c r="I23" s="84" t="str">
        <f t="shared" si="3"/>
        <v>***</v>
      </c>
      <c r="J23" s="73"/>
      <c r="K23" s="73">
        <f>+IFERROR(VLOOKUP($A23,'Goals &amp; Budget 2026'!$A$2:$EJ$49,129,FALSE),0)</f>
        <v>0</v>
      </c>
      <c r="L23" s="84" t="str">
        <f t="shared" si="4"/>
        <v>***</v>
      </c>
      <c r="M23" s="73"/>
      <c r="N23" s="73">
        <f>+IFERROR(VLOOKUP($A23,'Goals &amp; Budget 2026'!$A$2:$EJ$49,130,FALSE),0)</f>
        <v>0</v>
      </c>
      <c r="O23" s="231" t="str">
        <f t="shared" si="5"/>
        <v>***</v>
      </c>
      <c r="P23" s="73"/>
      <c r="Q23" s="73">
        <f>+IFERROR(VLOOKUP($A23,'Goals &amp; Budget 2026'!$A$2:$EJ$49,131,FALSE),0)</f>
        <v>0</v>
      </c>
      <c r="R23" s="84" t="str">
        <f t="shared" si="6"/>
        <v>***</v>
      </c>
      <c r="S23" s="73"/>
      <c r="T23" s="73">
        <f>+IFERROR(VLOOKUP($A23,'Goals &amp; Budget 2026'!$A$2:$EJ$49,132,FALSE),0)</f>
        <v>0</v>
      </c>
      <c r="U23" s="84" t="str">
        <f t="shared" si="7"/>
        <v>***</v>
      </c>
      <c r="V23" s="73"/>
      <c r="W23" s="73">
        <f>+IFERROR(VLOOKUP($A23,'Goals &amp; Budget 2026'!$A$2:$EJ$49,133,FALSE),0)</f>
        <v>0</v>
      </c>
      <c r="X23" s="231" t="str">
        <f t="shared" si="8"/>
        <v>***</v>
      </c>
      <c r="Y23" s="73"/>
      <c r="Z23" s="73">
        <f>+IFERROR(VLOOKUP($A23,'Goals &amp; Budget 2026'!$A$2:$EJ$49,134,FALSE),0)</f>
        <v>0</v>
      </c>
      <c r="AA23" s="84" t="str">
        <f t="shared" si="9"/>
        <v>***</v>
      </c>
      <c r="AB23" s="73"/>
      <c r="AC23" s="73">
        <f>+IFERROR(VLOOKUP($A23,'Goals &amp; Budget 2026'!$A$2:$EJ$49,135,FALSE),0)</f>
        <v>0</v>
      </c>
      <c r="AD23" s="84" t="str">
        <f t="shared" si="10"/>
        <v>***</v>
      </c>
      <c r="AE23" s="73"/>
      <c r="AF23" s="73">
        <f>+IFERROR(VLOOKUP($A23,'Goals &amp; Budget 2026'!$A$2:$EJ$49,136,FALSE),0)</f>
        <v>0</v>
      </c>
      <c r="AG23" s="231" t="str">
        <f t="shared" si="11"/>
        <v>***</v>
      </c>
      <c r="AH23" s="73"/>
      <c r="AI23" s="73">
        <f>+IFERROR(VLOOKUP($A23,'Goals &amp; Budget 2026'!$A$2:$EJ$49,137,FALSE),0)</f>
        <v>0</v>
      </c>
      <c r="AJ23" s="84" t="str">
        <f t="shared" si="12"/>
        <v>***</v>
      </c>
      <c r="AK23" s="73"/>
      <c r="AL23" s="73">
        <f>+IFERROR(VLOOKUP($A23,'Goals &amp; Budget 2026'!$A$2:$EJ$49,138,FALSE),0)</f>
        <v>0</v>
      </c>
      <c r="AM23" s="84" t="str">
        <f t="shared" si="13"/>
        <v>***</v>
      </c>
      <c r="AN23" s="73"/>
      <c r="AO23" s="73">
        <f>+IFERROR(VLOOKUP($A23,'Goals &amp; Budget 2026'!$A$2:$EJ$49,139,FALSE),0)</f>
        <v>0</v>
      </c>
      <c r="AP23" s="85" t="str">
        <f t="shared" si="14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0">
        <f t="shared" si="0"/>
        <v>0</v>
      </c>
      <c r="E24" s="73">
        <f t="shared" si="1"/>
        <v>0</v>
      </c>
      <c r="F24" s="231" t="str">
        <f t="shared" si="2"/>
        <v>***</v>
      </c>
      <c r="G24" s="73"/>
      <c r="H24" s="73">
        <f>+IFERROR(VLOOKUP($A24,'Goals &amp; Budget 2026'!$A$2:$EJ$49,128,FALSE),0)</f>
        <v>0</v>
      </c>
      <c r="I24" s="84" t="str">
        <f t="shared" si="3"/>
        <v>***</v>
      </c>
      <c r="J24" s="73"/>
      <c r="K24" s="73">
        <f>+IFERROR(VLOOKUP($A24,'Goals &amp; Budget 2026'!$A$2:$EJ$49,129,FALSE),0)</f>
        <v>0</v>
      </c>
      <c r="L24" s="84" t="str">
        <f t="shared" si="4"/>
        <v>***</v>
      </c>
      <c r="M24" s="73"/>
      <c r="N24" s="73">
        <f>+IFERROR(VLOOKUP($A24,'Goals &amp; Budget 2026'!$A$2:$EJ$49,130,FALSE),0)</f>
        <v>0</v>
      </c>
      <c r="O24" s="231" t="str">
        <f t="shared" si="5"/>
        <v>***</v>
      </c>
      <c r="P24" s="73"/>
      <c r="Q24" s="73">
        <f>+IFERROR(VLOOKUP($A24,'Goals &amp; Budget 2026'!$A$2:$EJ$49,131,FALSE),0)</f>
        <v>0</v>
      </c>
      <c r="R24" s="84" t="str">
        <f t="shared" si="6"/>
        <v>***</v>
      </c>
      <c r="S24" s="73"/>
      <c r="T24" s="73">
        <f>+IFERROR(VLOOKUP($A24,'Goals &amp; Budget 2026'!$A$2:$EJ$49,132,FALSE),0)</f>
        <v>0</v>
      </c>
      <c r="U24" s="84" t="str">
        <f t="shared" si="7"/>
        <v>***</v>
      </c>
      <c r="V24" s="73"/>
      <c r="W24" s="73">
        <f>+IFERROR(VLOOKUP($A24,'Goals &amp; Budget 2026'!$A$2:$EJ$49,133,FALSE),0)</f>
        <v>0</v>
      </c>
      <c r="X24" s="231" t="str">
        <f t="shared" si="8"/>
        <v>***</v>
      </c>
      <c r="Y24" s="73"/>
      <c r="Z24" s="73">
        <f>+IFERROR(VLOOKUP($A24,'Goals &amp; Budget 2026'!$A$2:$EJ$49,134,FALSE),0)</f>
        <v>0</v>
      </c>
      <c r="AA24" s="84" t="str">
        <f t="shared" si="9"/>
        <v>***</v>
      </c>
      <c r="AB24" s="73"/>
      <c r="AC24" s="73">
        <f>+IFERROR(VLOOKUP($A24,'Goals &amp; Budget 2026'!$A$2:$EJ$49,135,FALSE),0)</f>
        <v>0</v>
      </c>
      <c r="AD24" s="84" t="str">
        <f t="shared" si="10"/>
        <v>***</v>
      </c>
      <c r="AE24" s="73"/>
      <c r="AF24" s="73">
        <f>+IFERROR(VLOOKUP($A24,'Goals &amp; Budget 2026'!$A$2:$EJ$49,136,FALSE),0)</f>
        <v>0</v>
      </c>
      <c r="AG24" s="231" t="str">
        <f t="shared" si="11"/>
        <v>***</v>
      </c>
      <c r="AH24" s="73"/>
      <c r="AI24" s="73">
        <f>+IFERROR(VLOOKUP($A24,'Goals &amp; Budget 2026'!$A$2:$EJ$49,137,FALSE),0)</f>
        <v>0</v>
      </c>
      <c r="AJ24" s="84" t="str">
        <f t="shared" si="12"/>
        <v>***</v>
      </c>
      <c r="AK24" s="73"/>
      <c r="AL24" s="73">
        <f>+IFERROR(VLOOKUP($A24,'Goals &amp; Budget 2026'!$A$2:$EJ$49,138,FALSE),0)</f>
        <v>0</v>
      </c>
      <c r="AM24" s="84" t="str">
        <f t="shared" si="13"/>
        <v>***</v>
      </c>
      <c r="AN24" s="73"/>
      <c r="AO24" s="73">
        <f>+IFERROR(VLOOKUP($A24,'Goals &amp; Budget 2026'!$A$2:$EJ$49,139,FALSE),0)</f>
        <v>0</v>
      </c>
      <c r="AP24" s="85" t="str">
        <f t="shared" si="14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0">
        <f t="shared" si="0"/>
        <v>0</v>
      </c>
      <c r="E25" s="73">
        <f t="shared" si="1"/>
        <v>0</v>
      </c>
      <c r="F25" s="231" t="str">
        <f t="shared" si="2"/>
        <v>***</v>
      </c>
      <c r="G25" s="73"/>
      <c r="H25" s="73">
        <f>+IFERROR(VLOOKUP($A25,'Goals &amp; Budget 2026'!$A$2:$EJ$49,128,FALSE),0)</f>
        <v>0</v>
      </c>
      <c r="I25" s="84" t="str">
        <f t="shared" si="3"/>
        <v>***</v>
      </c>
      <c r="J25" s="73"/>
      <c r="K25" s="73">
        <f>+IFERROR(VLOOKUP($A25,'Goals &amp; Budget 2026'!$A$2:$EJ$49,129,FALSE),0)</f>
        <v>0</v>
      </c>
      <c r="L25" s="84" t="str">
        <f t="shared" si="4"/>
        <v>***</v>
      </c>
      <c r="M25" s="73"/>
      <c r="N25" s="73">
        <f>+IFERROR(VLOOKUP($A25,'Goals &amp; Budget 2026'!$A$2:$EJ$49,130,FALSE),0)</f>
        <v>0</v>
      </c>
      <c r="O25" s="231" t="str">
        <f t="shared" si="5"/>
        <v>***</v>
      </c>
      <c r="P25" s="73"/>
      <c r="Q25" s="73">
        <f>+IFERROR(VLOOKUP($A25,'Goals &amp; Budget 2026'!$A$2:$EJ$49,131,FALSE),0)</f>
        <v>0</v>
      </c>
      <c r="R25" s="84" t="str">
        <f t="shared" si="6"/>
        <v>***</v>
      </c>
      <c r="S25" s="73"/>
      <c r="T25" s="73">
        <f>+IFERROR(VLOOKUP($A25,'Goals &amp; Budget 2026'!$A$2:$EJ$49,132,FALSE),0)</f>
        <v>0</v>
      </c>
      <c r="U25" s="84" t="str">
        <f t="shared" si="7"/>
        <v>***</v>
      </c>
      <c r="V25" s="73"/>
      <c r="W25" s="73">
        <f>+IFERROR(VLOOKUP($A25,'Goals &amp; Budget 2026'!$A$2:$EJ$49,133,FALSE),0)</f>
        <v>0</v>
      </c>
      <c r="X25" s="231" t="str">
        <f t="shared" si="8"/>
        <v>***</v>
      </c>
      <c r="Y25" s="73"/>
      <c r="Z25" s="73">
        <f>+IFERROR(VLOOKUP($A25,'Goals &amp; Budget 2026'!$A$2:$EJ$49,134,FALSE),0)</f>
        <v>0</v>
      </c>
      <c r="AA25" s="84" t="str">
        <f t="shared" si="9"/>
        <v>***</v>
      </c>
      <c r="AB25" s="73"/>
      <c r="AC25" s="73">
        <f>+IFERROR(VLOOKUP($A25,'Goals &amp; Budget 2026'!$A$2:$EJ$49,135,FALSE),0)</f>
        <v>0</v>
      </c>
      <c r="AD25" s="84" t="str">
        <f t="shared" si="10"/>
        <v>***</v>
      </c>
      <c r="AE25" s="73"/>
      <c r="AF25" s="73">
        <f>+IFERROR(VLOOKUP($A25,'Goals &amp; Budget 2026'!$A$2:$EJ$49,136,FALSE),0)</f>
        <v>0</v>
      </c>
      <c r="AG25" s="231" t="str">
        <f t="shared" si="11"/>
        <v>***</v>
      </c>
      <c r="AH25" s="73"/>
      <c r="AI25" s="73">
        <f>+IFERROR(VLOOKUP($A25,'Goals &amp; Budget 2026'!$A$2:$EJ$49,137,FALSE),0)</f>
        <v>0</v>
      </c>
      <c r="AJ25" s="84" t="str">
        <f t="shared" si="12"/>
        <v>***</v>
      </c>
      <c r="AK25" s="73"/>
      <c r="AL25" s="73">
        <f>+IFERROR(VLOOKUP($A25,'Goals &amp; Budget 2026'!$A$2:$EJ$49,138,FALSE),0)</f>
        <v>0</v>
      </c>
      <c r="AM25" s="84" t="str">
        <f t="shared" si="13"/>
        <v>***</v>
      </c>
      <c r="AN25" s="73"/>
      <c r="AO25" s="73">
        <f>+IFERROR(VLOOKUP($A25,'Goals &amp; Budget 2026'!$A$2:$EJ$49,139,FALSE),0)</f>
        <v>0</v>
      </c>
      <c r="AP25" s="85" t="str">
        <f t="shared" si="14"/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51">
        <f t="shared" si="0"/>
        <v>0</v>
      </c>
      <c r="E26" s="54">
        <f t="shared" si="1"/>
        <v>0</v>
      </c>
      <c r="F26" s="232" t="str">
        <f t="shared" si="2"/>
        <v>***</v>
      </c>
      <c r="G26" s="54"/>
      <c r="H26" s="54">
        <f>+IFERROR(VLOOKUP($A26,'Goals &amp; Budget 2026'!$A$2:$EJ$49,128,FALSE),0)</f>
        <v>0</v>
      </c>
      <c r="I26" s="65" t="str">
        <f t="shared" si="3"/>
        <v>***</v>
      </c>
      <c r="J26" s="54"/>
      <c r="K26" s="54">
        <f>+IFERROR(VLOOKUP($A26,'Goals &amp; Budget 2026'!$A$2:$EJ$49,129,FALSE),0)</f>
        <v>0</v>
      </c>
      <c r="L26" s="65" t="str">
        <f t="shared" si="4"/>
        <v>***</v>
      </c>
      <c r="M26" s="54"/>
      <c r="N26" s="54">
        <f>+IFERROR(VLOOKUP($A26,'Goals &amp; Budget 2026'!$A$2:$EJ$49,130,FALSE),0)</f>
        <v>0</v>
      </c>
      <c r="O26" s="232" t="str">
        <f t="shared" si="5"/>
        <v>***</v>
      </c>
      <c r="P26" s="54"/>
      <c r="Q26" s="54">
        <f>+IFERROR(VLOOKUP($A26,'Goals &amp; Budget 2026'!$A$2:$EJ$49,131,FALSE),0)</f>
        <v>0</v>
      </c>
      <c r="R26" s="65" t="str">
        <f t="shared" si="6"/>
        <v>***</v>
      </c>
      <c r="S26" s="54"/>
      <c r="T26" s="54">
        <f>+IFERROR(VLOOKUP($A26,'Goals &amp; Budget 2026'!$A$2:$EJ$49,132,FALSE),0)</f>
        <v>0</v>
      </c>
      <c r="U26" s="65" t="str">
        <f t="shared" si="7"/>
        <v>***</v>
      </c>
      <c r="V26" s="54"/>
      <c r="W26" s="54">
        <f>+IFERROR(VLOOKUP($A26,'Goals &amp; Budget 2026'!$A$2:$EJ$49,133,FALSE),0)</f>
        <v>0</v>
      </c>
      <c r="X26" s="232" t="str">
        <f t="shared" si="8"/>
        <v>***</v>
      </c>
      <c r="Y26" s="54"/>
      <c r="Z26" s="54">
        <f>+IFERROR(VLOOKUP($A26,'Goals &amp; Budget 2026'!$A$2:$EJ$49,134,FALSE),0)</f>
        <v>0</v>
      </c>
      <c r="AA26" s="65" t="str">
        <f t="shared" si="9"/>
        <v>***</v>
      </c>
      <c r="AB26" s="54"/>
      <c r="AC26" s="54">
        <f>+IFERROR(VLOOKUP($A26,'Goals &amp; Budget 2026'!$A$2:$EJ$49,135,FALSE),0)</f>
        <v>0</v>
      </c>
      <c r="AD26" s="65" t="str">
        <f t="shared" si="10"/>
        <v>***</v>
      </c>
      <c r="AE26" s="54"/>
      <c r="AF26" s="54">
        <f>+IFERROR(VLOOKUP($A26,'Goals &amp; Budget 2026'!$A$2:$EJ$49,136,FALSE),0)</f>
        <v>0</v>
      </c>
      <c r="AG26" s="232" t="str">
        <f t="shared" si="11"/>
        <v>***</v>
      </c>
      <c r="AH26" s="54"/>
      <c r="AI26" s="54">
        <f>+IFERROR(VLOOKUP($A26,'Goals &amp; Budget 2026'!$A$2:$EJ$49,137,FALSE),0)</f>
        <v>0</v>
      </c>
      <c r="AJ26" s="65" t="str">
        <f t="shared" si="12"/>
        <v>***</v>
      </c>
      <c r="AK26" s="54"/>
      <c r="AL26" s="54">
        <f>+IFERROR(VLOOKUP($A26,'Goals &amp; Budget 2026'!$A$2:$EJ$49,138,FALSE),0)</f>
        <v>0</v>
      </c>
      <c r="AM26" s="65" t="str">
        <f t="shared" si="13"/>
        <v>***</v>
      </c>
      <c r="AN26" s="54"/>
      <c r="AO26" s="54">
        <f>+IFERROR(VLOOKUP($A26,'Goals &amp; Budget 2026'!$A$2:$EJ$49,139,FALSE),0)</f>
        <v>0</v>
      </c>
      <c r="AP26" s="66" t="str">
        <f t="shared" si="14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51">
        <f t="shared" si="0"/>
        <v>0</v>
      </c>
      <c r="E27" s="54">
        <f t="shared" si="1"/>
        <v>0</v>
      </c>
      <c r="F27" s="232" t="str">
        <f t="shared" si="2"/>
        <v>***</v>
      </c>
      <c r="G27" s="54"/>
      <c r="H27" s="54">
        <f>+IFERROR(VLOOKUP($A27,'Goals &amp; Budget 2026'!$A$2:$EJ$49,128,FALSE),0)</f>
        <v>0</v>
      </c>
      <c r="I27" s="65" t="str">
        <f t="shared" si="3"/>
        <v>***</v>
      </c>
      <c r="J27" s="54"/>
      <c r="K27" s="54">
        <f>+IFERROR(VLOOKUP($A27,'Goals &amp; Budget 2026'!$A$2:$EJ$49,129,FALSE),0)</f>
        <v>0</v>
      </c>
      <c r="L27" s="65" t="str">
        <f t="shared" si="4"/>
        <v>***</v>
      </c>
      <c r="M27" s="54"/>
      <c r="N27" s="54">
        <f>+IFERROR(VLOOKUP($A27,'Goals &amp; Budget 2026'!$A$2:$EJ$49,130,FALSE),0)</f>
        <v>0</v>
      </c>
      <c r="O27" s="232" t="str">
        <f t="shared" si="5"/>
        <v>***</v>
      </c>
      <c r="P27" s="54"/>
      <c r="Q27" s="54">
        <f>+IFERROR(VLOOKUP($A27,'Goals &amp; Budget 2026'!$A$2:$EJ$49,131,FALSE),0)</f>
        <v>0</v>
      </c>
      <c r="R27" s="65" t="str">
        <f t="shared" si="6"/>
        <v>***</v>
      </c>
      <c r="S27" s="54"/>
      <c r="T27" s="54">
        <f>+IFERROR(VLOOKUP($A27,'Goals &amp; Budget 2026'!$A$2:$EJ$49,132,FALSE),0)</f>
        <v>0</v>
      </c>
      <c r="U27" s="65" t="str">
        <f t="shared" si="7"/>
        <v>***</v>
      </c>
      <c r="V27" s="54"/>
      <c r="W27" s="54">
        <f>+IFERROR(VLOOKUP($A27,'Goals &amp; Budget 2026'!$A$2:$EJ$49,133,FALSE),0)</f>
        <v>0</v>
      </c>
      <c r="X27" s="232" t="str">
        <f t="shared" si="8"/>
        <v>***</v>
      </c>
      <c r="Y27" s="54"/>
      <c r="Z27" s="54">
        <f>+IFERROR(VLOOKUP($A27,'Goals &amp; Budget 2026'!$A$2:$EJ$49,134,FALSE),0)</f>
        <v>0</v>
      </c>
      <c r="AA27" s="65" t="str">
        <f t="shared" si="9"/>
        <v>***</v>
      </c>
      <c r="AB27" s="54"/>
      <c r="AC27" s="54">
        <f>+IFERROR(VLOOKUP($A27,'Goals &amp; Budget 2026'!$A$2:$EJ$49,135,FALSE),0)</f>
        <v>0</v>
      </c>
      <c r="AD27" s="65" t="str">
        <f t="shared" si="10"/>
        <v>***</v>
      </c>
      <c r="AE27" s="54"/>
      <c r="AF27" s="54">
        <f>+IFERROR(VLOOKUP($A27,'Goals &amp; Budget 2026'!$A$2:$EJ$49,136,FALSE),0)</f>
        <v>0</v>
      </c>
      <c r="AG27" s="232" t="str">
        <f t="shared" si="11"/>
        <v>***</v>
      </c>
      <c r="AH27" s="54"/>
      <c r="AI27" s="54">
        <f>+IFERROR(VLOOKUP($A27,'Goals &amp; Budget 2026'!$A$2:$EJ$49,137,FALSE),0)</f>
        <v>0</v>
      </c>
      <c r="AJ27" s="65" t="str">
        <f t="shared" si="12"/>
        <v>***</v>
      </c>
      <c r="AK27" s="54"/>
      <c r="AL27" s="54">
        <f>+IFERROR(VLOOKUP($A27,'Goals &amp; Budget 2026'!$A$2:$EJ$49,138,FALSE),0)</f>
        <v>0</v>
      </c>
      <c r="AM27" s="65" t="str">
        <f t="shared" si="13"/>
        <v>***</v>
      </c>
      <c r="AN27" s="54"/>
      <c r="AO27" s="54">
        <f>+IFERROR(VLOOKUP($A27,'Goals &amp; Budget 2026'!$A$2:$EJ$49,139,FALSE),0)</f>
        <v>0</v>
      </c>
      <c r="AP27" s="66" t="str">
        <f t="shared" si="14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51">
        <f t="shared" si="0"/>
        <v>0</v>
      </c>
      <c r="E28" s="54">
        <f t="shared" si="1"/>
        <v>0</v>
      </c>
      <c r="F28" s="232" t="str">
        <f t="shared" si="2"/>
        <v>***</v>
      </c>
      <c r="G28" s="54"/>
      <c r="H28" s="54">
        <f>+IFERROR(VLOOKUP($A28,'Goals &amp; Budget 2026'!$A$2:$EJ$49,128,FALSE),0)</f>
        <v>0</v>
      </c>
      <c r="I28" s="65" t="str">
        <f t="shared" si="3"/>
        <v>***</v>
      </c>
      <c r="J28" s="54"/>
      <c r="K28" s="54">
        <f>+IFERROR(VLOOKUP($A28,'Goals &amp; Budget 2026'!$A$2:$EJ$49,129,FALSE),0)</f>
        <v>0</v>
      </c>
      <c r="L28" s="65" t="str">
        <f t="shared" si="4"/>
        <v>***</v>
      </c>
      <c r="M28" s="54"/>
      <c r="N28" s="54">
        <f>+IFERROR(VLOOKUP($A28,'Goals &amp; Budget 2026'!$A$2:$EJ$49,130,FALSE),0)</f>
        <v>0</v>
      </c>
      <c r="O28" s="232" t="str">
        <f t="shared" si="5"/>
        <v>***</v>
      </c>
      <c r="P28" s="54"/>
      <c r="Q28" s="54">
        <f>+IFERROR(VLOOKUP($A28,'Goals &amp; Budget 2026'!$A$2:$EJ$49,131,FALSE),0)</f>
        <v>0</v>
      </c>
      <c r="R28" s="65" t="str">
        <f t="shared" si="6"/>
        <v>***</v>
      </c>
      <c r="S28" s="54"/>
      <c r="T28" s="54">
        <f>+IFERROR(VLOOKUP($A28,'Goals &amp; Budget 2026'!$A$2:$EJ$49,132,FALSE),0)</f>
        <v>0</v>
      </c>
      <c r="U28" s="65" t="str">
        <f t="shared" si="7"/>
        <v>***</v>
      </c>
      <c r="V28" s="54"/>
      <c r="W28" s="54">
        <f>+IFERROR(VLOOKUP($A28,'Goals &amp; Budget 2026'!$A$2:$EJ$49,133,FALSE),0)</f>
        <v>0</v>
      </c>
      <c r="X28" s="232" t="str">
        <f t="shared" si="8"/>
        <v>***</v>
      </c>
      <c r="Y28" s="54"/>
      <c r="Z28" s="54">
        <f>+IFERROR(VLOOKUP($A28,'Goals &amp; Budget 2026'!$A$2:$EJ$49,134,FALSE),0)</f>
        <v>0</v>
      </c>
      <c r="AA28" s="65" t="str">
        <f t="shared" si="9"/>
        <v>***</v>
      </c>
      <c r="AB28" s="54"/>
      <c r="AC28" s="54">
        <f>+IFERROR(VLOOKUP($A28,'Goals &amp; Budget 2026'!$A$2:$EJ$49,135,FALSE),0)</f>
        <v>0</v>
      </c>
      <c r="AD28" s="65" t="str">
        <f t="shared" si="10"/>
        <v>***</v>
      </c>
      <c r="AE28" s="54"/>
      <c r="AF28" s="54">
        <f>+IFERROR(VLOOKUP($A28,'Goals &amp; Budget 2026'!$A$2:$EJ$49,136,FALSE),0)</f>
        <v>0</v>
      </c>
      <c r="AG28" s="232" t="str">
        <f t="shared" si="11"/>
        <v>***</v>
      </c>
      <c r="AH28" s="54"/>
      <c r="AI28" s="54">
        <f>+IFERROR(VLOOKUP($A28,'Goals &amp; Budget 2026'!$A$2:$EJ$49,137,FALSE),0)</f>
        <v>0</v>
      </c>
      <c r="AJ28" s="65" t="str">
        <f t="shared" si="12"/>
        <v>***</v>
      </c>
      <c r="AK28" s="54"/>
      <c r="AL28" s="54">
        <f>+IFERROR(VLOOKUP($A28,'Goals &amp; Budget 2026'!$A$2:$EJ$49,138,FALSE),0)</f>
        <v>0</v>
      </c>
      <c r="AM28" s="65" t="str">
        <f t="shared" si="13"/>
        <v>***</v>
      </c>
      <c r="AN28" s="54"/>
      <c r="AO28" s="54">
        <f>+IFERROR(VLOOKUP($A28,'Goals &amp; Budget 2026'!$A$2:$EJ$49,139,FALSE),0)</f>
        <v>0</v>
      </c>
      <c r="AP28" s="66" t="str">
        <f t="shared" si="14"/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51">
        <f t="shared" si="0"/>
        <v>0</v>
      </c>
      <c r="E29" s="54">
        <f t="shared" si="1"/>
        <v>0</v>
      </c>
      <c r="F29" s="232" t="str">
        <f t="shared" si="2"/>
        <v>***</v>
      </c>
      <c r="G29" s="54"/>
      <c r="H29" s="54">
        <f>+IFERROR(VLOOKUP($A29,'Goals &amp; Budget 2026'!$A$2:$EJ$49,128,FALSE),0)</f>
        <v>0</v>
      </c>
      <c r="I29" s="65" t="str">
        <f t="shared" si="3"/>
        <v>***</v>
      </c>
      <c r="J29" s="54"/>
      <c r="K29" s="54">
        <f>+IFERROR(VLOOKUP($A29,'Goals &amp; Budget 2026'!$A$2:$EJ$49,129,FALSE),0)</f>
        <v>0</v>
      </c>
      <c r="L29" s="65" t="str">
        <f t="shared" si="4"/>
        <v>***</v>
      </c>
      <c r="M29" s="54"/>
      <c r="N29" s="54">
        <f>+IFERROR(VLOOKUP($A29,'Goals &amp; Budget 2026'!$A$2:$EJ$49,130,FALSE),0)</f>
        <v>0</v>
      </c>
      <c r="O29" s="232" t="str">
        <f t="shared" si="5"/>
        <v>***</v>
      </c>
      <c r="P29" s="54"/>
      <c r="Q29" s="54">
        <f>+IFERROR(VLOOKUP($A29,'Goals &amp; Budget 2026'!$A$2:$EJ$49,131,FALSE),0)</f>
        <v>0</v>
      </c>
      <c r="R29" s="65" t="str">
        <f t="shared" si="6"/>
        <v>***</v>
      </c>
      <c r="S29" s="54"/>
      <c r="T29" s="54">
        <f>+IFERROR(VLOOKUP($A29,'Goals &amp; Budget 2026'!$A$2:$EJ$49,132,FALSE),0)</f>
        <v>0</v>
      </c>
      <c r="U29" s="65" t="str">
        <f t="shared" si="7"/>
        <v>***</v>
      </c>
      <c r="V29" s="54"/>
      <c r="W29" s="54">
        <f>+IFERROR(VLOOKUP($A29,'Goals &amp; Budget 2026'!$A$2:$EJ$49,133,FALSE),0)</f>
        <v>0</v>
      </c>
      <c r="X29" s="232" t="str">
        <f t="shared" si="8"/>
        <v>***</v>
      </c>
      <c r="Y29" s="54"/>
      <c r="Z29" s="54">
        <f>+IFERROR(VLOOKUP($A29,'Goals &amp; Budget 2026'!$A$2:$EJ$49,134,FALSE),0)</f>
        <v>0</v>
      </c>
      <c r="AA29" s="65" t="str">
        <f t="shared" si="9"/>
        <v>***</v>
      </c>
      <c r="AB29" s="54"/>
      <c r="AC29" s="54">
        <f>+IFERROR(VLOOKUP($A29,'Goals &amp; Budget 2026'!$A$2:$EJ$49,135,FALSE),0)</f>
        <v>0</v>
      </c>
      <c r="AD29" s="65" t="str">
        <f t="shared" si="10"/>
        <v>***</v>
      </c>
      <c r="AE29" s="54"/>
      <c r="AF29" s="54">
        <f>+IFERROR(VLOOKUP($A29,'Goals &amp; Budget 2026'!$A$2:$EJ$49,136,FALSE),0)</f>
        <v>0</v>
      </c>
      <c r="AG29" s="232" t="str">
        <f t="shared" si="11"/>
        <v>***</v>
      </c>
      <c r="AH29" s="54"/>
      <c r="AI29" s="54">
        <f>+IFERROR(VLOOKUP($A29,'Goals &amp; Budget 2026'!$A$2:$EJ$49,137,FALSE),0)</f>
        <v>0</v>
      </c>
      <c r="AJ29" s="65" t="str">
        <f t="shared" si="12"/>
        <v>***</v>
      </c>
      <c r="AK29" s="54"/>
      <c r="AL29" s="54">
        <f>+IFERROR(VLOOKUP($A29,'Goals &amp; Budget 2026'!$A$2:$EJ$49,138,FALSE),0)</f>
        <v>0</v>
      </c>
      <c r="AM29" s="65" t="str">
        <f t="shared" si="13"/>
        <v>***</v>
      </c>
      <c r="AN29" s="54"/>
      <c r="AO29" s="54">
        <f>+IFERROR(VLOOKUP($A29,'Goals &amp; Budget 2026'!$A$2:$EJ$49,139,FALSE),0)</f>
        <v>0</v>
      </c>
      <c r="AP29" s="66" t="str">
        <f t="shared" si="14"/>
        <v>***</v>
      </c>
    </row>
    <row r="30" spans="1:42" ht="19.5" customHeight="1" x14ac:dyDescent="0.25">
      <c r="A30" s="51" t="s">
        <v>98</v>
      </c>
      <c r="B30" s="52">
        <v>1</v>
      </c>
      <c r="C30" s="53" t="s">
        <v>99</v>
      </c>
      <c r="D30" s="51">
        <f t="shared" si="0"/>
        <v>0</v>
      </c>
      <c r="E30" s="54">
        <f t="shared" si="1"/>
        <v>0</v>
      </c>
      <c r="F30" s="232" t="str">
        <f t="shared" si="2"/>
        <v>***</v>
      </c>
      <c r="G30" s="54"/>
      <c r="H30" s="54">
        <f>+IFERROR(VLOOKUP($A30,'Goals &amp; Budget 2026'!$A$2:$EJ$49,128,FALSE),0)</f>
        <v>0</v>
      </c>
      <c r="I30" s="65" t="str">
        <f t="shared" si="3"/>
        <v>***</v>
      </c>
      <c r="J30" s="54"/>
      <c r="K30" s="54">
        <f>+IFERROR(VLOOKUP($A30,'Goals &amp; Budget 2026'!$A$2:$EJ$49,129,FALSE),0)</f>
        <v>0</v>
      </c>
      <c r="L30" s="65" t="str">
        <f t="shared" si="4"/>
        <v>***</v>
      </c>
      <c r="M30" s="54"/>
      <c r="N30" s="54">
        <f>+IFERROR(VLOOKUP($A30,'Goals &amp; Budget 2026'!$A$2:$EJ$49,130,FALSE),0)</f>
        <v>0</v>
      </c>
      <c r="O30" s="232" t="str">
        <f t="shared" si="5"/>
        <v>***</v>
      </c>
      <c r="P30" s="54"/>
      <c r="Q30" s="54">
        <f>+IFERROR(VLOOKUP($A30,'Goals &amp; Budget 2026'!$A$2:$EJ$49,131,FALSE),0)</f>
        <v>0</v>
      </c>
      <c r="R30" s="65" t="str">
        <f t="shared" si="6"/>
        <v>***</v>
      </c>
      <c r="S30" s="54"/>
      <c r="T30" s="54">
        <f>+IFERROR(VLOOKUP($A30,'Goals &amp; Budget 2026'!$A$2:$EJ$49,132,FALSE),0)</f>
        <v>0</v>
      </c>
      <c r="U30" s="65" t="str">
        <f t="shared" si="7"/>
        <v>***</v>
      </c>
      <c r="V30" s="54"/>
      <c r="W30" s="54">
        <f>+IFERROR(VLOOKUP($A30,'Goals &amp; Budget 2026'!$A$2:$EJ$49,133,FALSE),0)</f>
        <v>0</v>
      </c>
      <c r="X30" s="232" t="str">
        <f t="shared" si="8"/>
        <v>***</v>
      </c>
      <c r="Y30" s="54"/>
      <c r="Z30" s="54">
        <f>+IFERROR(VLOOKUP($A30,'Goals &amp; Budget 2026'!$A$2:$EJ$49,134,FALSE),0)</f>
        <v>0</v>
      </c>
      <c r="AA30" s="65" t="str">
        <f t="shared" si="9"/>
        <v>***</v>
      </c>
      <c r="AB30" s="54"/>
      <c r="AC30" s="54">
        <f>+IFERROR(VLOOKUP($A30,'Goals &amp; Budget 2026'!$A$2:$EJ$49,135,FALSE),0)</f>
        <v>0</v>
      </c>
      <c r="AD30" s="65" t="str">
        <f t="shared" si="10"/>
        <v>***</v>
      </c>
      <c r="AE30" s="54"/>
      <c r="AF30" s="54">
        <f>+IFERROR(VLOOKUP($A30,'Goals &amp; Budget 2026'!$A$2:$EJ$49,136,FALSE),0)</f>
        <v>0</v>
      </c>
      <c r="AG30" s="232" t="str">
        <f t="shared" si="11"/>
        <v>***</v>
      </c>
      <c r="AH30" s="54"/>
      <c r="AI30" s="54">
        <f>+IFERROR(VLOOKUP($A30,'Goals &amp; Budget 2026'!$A$2:$EJ$49,137,FALSE),0)</f>
        <v>0</v>
      </c>
      <c r="AJ30" s="65" t="str">
        <f t="shared" si="12"/>
        <v>***</v>
      </c>
      <c r="AK30" s="54"/>
      <c r="AL30" s="54">
        <f>+IFERROR(VLOOKUP($A30,'Goals &amp; Budget 2026'!$A$2:$EJ$49,138,FALSE),0)</f>
        <v>0</v>
      </c>
      <c r="AM30" s="65" t="str">
        <f t="shared" si="13"/>
        <v>***</v>
      </c>
      <c r="AN30" s="54"/>
      <c r="AO30" s="54">
        <f>+IFERROR(VLOOKUP($A30,'Goals &amp; Budget 2026'!$A$2:$EJ$49,139,FALSE),0)</f>
        <v>0</v>
      </c>
      <c r="AP30" s="66" t="str">
        <f t="shared" si="14"/>
        <v>***</v>
      </c>
    </row>
    <row r="31" spans="1:42" ht="19.5" customHeight="1" x14ac:dyDescent="0.25">
      <c r="A31" s="51" t="s">
        <v>116</v>
      </c>
      <c r="B31" s="52">
        <v>1</v>
      </c>
      <c r="C31" s="53">
        <v>1</v>
      </c>
      <c r="D31" s="51">
        <f t="shared" ref="D31:D47" si="15">+G31</f>
        <v>0</v>
      </c>
      <c r="E31" s="54">
        <f t="shared" ref="E31:E47" si="16">+H31</f>
        <v>0</v>
      </c>
      <c r="F31" s="232" t="str">
        <f t="shared" ref="F31:F47" si="17">IF(AND(D31&gt;0,E31&gt;0),D31/E31,IF(AND(D31&gt;0,E31=0),100%,IF(AND(D31=0,E31&gt;0),0,IF(AND(D31=0,E31=0),"***",0))))</f>
        <v>***</v>
      </c>
      <c r="G31" s="54"/>
      <c r="H31" s="54">
        <f>+IFERROR(VLOOKUP($A31,'Goals &amp; Budget 2026'!$A$2:$EJ$49,128,FALSE),0)</f>
        <v>0</v>
      </c>
      <c r="I31" s="65" t="str">
        <f t="shared" ref="I31:I47" si="18">IF(AND(G31&gt;0,H31&gt;0),G31/H31,IF(AND(G31&gt;0,H31=0),100%,IF(AND(G31=0,H31&gt;0),0,IF(AND(G31=0,H31=0),"***",0))))</f>
        <v>***</v>
      </c>
      <c r="J31" s="54"/>
      <c r="K31" s="54">
        <f>+IFERROR(VLOOKUP($A31,'Goals &amp; Budget 2026'!$A$2:$EJ$49,129,FALSE),0)</f>
        <v>0</v>
      </c>
      <c r="L31" s="65" t="str">
        <f t="shared" ref="L31:L47" si="19">IF(AND(J31&gt;0,K31&gt;0),J31/K31,IF(AND(J31&gt;0,K31=0),100%,IF(AND(J31=0,K31&gt;0),0,IF(AND(J31=0,K31=0),"***",0))))</f>
        <v>***</v>
      </c>
      <c r="M31" s="54"/>
      <c r="N31" s="54">
        <f>+IFERROR(VLOOKUP($A31,'Goals &amp; Budget 2026'!$A$2:$EJ$49,130,FALSE),0)</f>
        <v>0</v>
      </c>
      <c r="O31" s="232" t="str">
        <f t="shared" ref="O31:O47" si="20">IF(AND(M31&gt;0,N31&gt;0),M31/N31,IF(AND(M31&gt;0,N31=0),100%,IF(AND(M31=0,N31&gt;0),0,IF(AND(M31=0,N31=0),"***",0))))</f>
        <v>***</v>
      </c>
      <c r="P31" s="54"/>
      <c r="Q31" s="54">
        <f>+IFERROR(VLOOKUP($A31,'Goals &amp; Budget 2026'!$A$2:$EJ$49,131,FALSE),0)</f>
        <v>0</v>
      </c>
      <c r="R31" s="65" t="str">
        <f t="shared" ref="R31:R47" si="21">IF(AND(P31&gt;0,Q31&gt;0),P31/Q31,IF(AND(P31&gt;0,Q31=0),100%,IF(AND(P31=0,Q31&gt;0),0,IF(AND(P31=0,Q31=0),"***",0))))</f>
        <v>***</v>
      </c>
      <c r="S31" s="54"/>
      <c r="T31" s="54">
        <f>+IFERROR(VLOOKUP($A31,'Goals &amp; Budget 2026'!$A$2:$EJ$49,132,FALSE),0)</f>
        <v>0</v>
      </c>
      <c r="U31" s="65" t="str">
        <f t="shared" ref="U31:U47" si="22">IF(AND(S31&gt;0,T31&gt;0),S31/T31,IF(AND(S31&gt;0,T31=0),100%,IF(AND(S31=0,T31&gt;0),0,IF(AND(S31=0,T31=0),"***",0))))</f>
        <v>***</v>
      </c>
      <c r="V31" s="54"/>
      <c r="W31" s="54">
        <f>+IFERROR(VLOOKUP($A31,'Goals &amp; Budget 2026'!$A$2:$EJ$49,133,FALSE),0)</f>
        <v>0</v>
      </c>
      <c r="X31" s="232" t="str">
        <f t="shared" ref="X31:X47" si="23">IF(AND(V31&gt;0,W31&gt;0),V31/W31,IF(AND(V31&gt;0,W31=0),100%,IF(AND(V31=0,W31&gt;0),0,IF(AND(V31=0,W31=0),"***",0))))</f>
        <v>***</v>
      </c>
      <c r="Y31" s="54"/>
      <c r="Z31" s="54">
        <f>+IFERROR(VLOOKUP($A31,'Goals &amp; Budget 2026'!$A$2:$EJ$49,134,FALSE),0)</f>
        <v>0</v>
      </c>
      <c r="AA31" s="65" t="str">
        <f t="shared" ref="AA31:AA47" si="24">IF(AND(Y31&gt;0,Z31&gt;0),Y31/Z31,IF(AND(Y31&gt;0,Z31=0),100%,IF(AND(Y31=0,Z31&gt;0),0,IF(AND(Y31=0,Z31=0),"***",0))))</f>
        <v>***</v>
      </c>
      <c r="AB31" s="54"/>
      <c r="AC31" s="54">
        <f>+IFERROR(VLOOKUP($A31,'Goals &amp; Budget 2026'!$A$2:$EJ$49,135,FALSE),0)</f>
        <v>0</v>
      </c>
      <c r="AD31" s="65" t="str">
        <f t="shared" ref="AD31:AD47" si="25">IF(AND(AB31&gt;0,AC31&gt;0),AB31/AC31,IF(AND(AB31&gt;0,AC31=0),100%,IF(AND(AB31=0,AC31&gt;0),0,IF(AND(AB31=0,AC31=0),"***",0))))</f>
        <v>***</v>
      </c>
      <c r="AE31" s="54"/>
      <c r="AF31" s="54">
        <f>+IFERROR(VLOOKUP($A31,'Goals &amp; Budget 2026'!$A$2:$EJ$49,136,FALSE),0)</f>
        <v>0</v>
      </c>
      <c r="AG31" s="232" t="str">
        <f t="shared" ref="AG31:AG47" si="26">IF(AND(AE31&gt;0,AF31&gt;0),AE31/AF31,IF(AND(AE31&gt;0,AF31=0),100%,IF(AND(AE31=0,AF31&gt;0),0,IF(AND(AE31=0,AF31=0),"***",0))))</f>
        <v>***</v>
      </c>
      <c r="AH31" s="54"/>
      <c r="AI31" s="54">
        <f>+IFERROR(VLOOKUP($A31,'Goals &amp; Budget 2026'!$A$2:$EJ$49,137,FALSE),0)</f>
        <v>0</v>
      </c>
      <c r="AJ31" s="65" t="str">
        <f t="shared" ref="AJ31:AJ47" si="27">IF(AND(AH31&gt;0,AI31&gt;0),AH31/AI31,IF(AND(AH31&gt;0,AI31=0),100%,IF(AND(AH31=0,AI31&gt;0),0,IF(AND(AH31=0,AI31=0),"***",0))))</f>
        <v>***</v>
      </c>
      <c r="AK31" s="54"/>
      <c r="AL31" s="54">
        <f>+IFERROR(VLOOKUP($A31,'Goals &amp; Budget 2026'!$A$2:$EJ$49,138,FALSE),0)</f>
        <v>0</v>
      </c>
      <c r="AM31" s="65" t="str">
        <f t="shared" ref="AM31:AM47" si="28">IF(AND(AK31&gt;0,AL31&gt;0),AK31/AL31,IF(AND(AK31&gt;0,AL31=0),100%,IF(AND(AK31=0,AL31&gt;0),0,IF(AND(AK31=0,AL31=0),"***",0))))</f>
        <v>***</v>
      </c>
      <c r="AN31" s="54"/>
      <c r="AO31" s="54">
        <f>+IFERROR(VLOOKUP($A31,'Goals &amp; Budget 2026'!$A$2:$EJ$49,139,FALSE),0)</f>
        <v>0</v>
      </c>
      <c r="AP31" s="66" t="str">
        <f t="shared" ref="AP31:AP47" si="29">IF(AND(AN31&gt;0,AO31&gt;0),AN31/AO31,IF(AND(AN31&gt;0,AO31=0),100%,IF(AND(AN31=0,AO31&gt;0),0,IF(AND(AN31=0,AO31=0),"***",0))))</f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51">
        <f t="shared" si="15"/>
        <v>0</v>
      </c>
      <c r="E32" s="54">
        <f t="shared" si="16"/>
        <v>0</v>
      </c>
      <c r="F32" s="232" t="str">
        <f t="shared" si="17"/>
        <v>***</v>
      </c>
      <c r="G32" s="54"/>
      <c r="H32" s="54">
        <f>+IFERROR(VLOOKUP($A32,'Goals &amp; Budget 2026'!$A$2:$EJ$49,128,FALSE),0)</f>
        <v>0</v>
      </c>
      <c r="I32" s="65" t="str">
        <f t="shared" si="18"/>
        <v>***</v>
      </c>
      <c r="J32" s="54"/>
      <c r="K32" s="54">
        <f>+IFERROR(VLOOKUP($A32,'Goals &amp; Budget 2026'!$A$2:$EJ$49,129,FALSE),0)</f>
        <v>0</v>
      </c>
      <c r="L32" s="65" t="str">
        <f t="shared" si="19"/>
        <v>***</v>
      </c>
      <c r="M32" s="54"/>
      <c r="N32" s="54">
        <f>+IFERROR(VLOOKUP($A32,'Goals &amp; Budget 2026'!$A$2:$EJ$49,130,FALSE),0)</f>
        <v>0</v>
      </c>
      <c r="O32" s="232" t="str">
        <f t="shared" si="20"/>
        <v>***</v>
      </c>
      <c r="P32" s="54"/>
      <c r="Q32" s="54">
        <f>+IFERROR(VLOOKUP($A32,'Goals &amp; Budget 2026'!$A$2:$EJ$49,131,FALSE),0)</f>
        <v>0</v>
      </c>
      <c r="R32" s="65" t="str">
        <f t="shared" si="21"/>
        <v>***</v>
      </c>
      <c r="S32" s="54"/>
      <c r="T32" s="54">
        <f>+IFERROR(VLOOKUP($A32,'Goals &amp; Budget 2026'!$A$2:$EJ$49,132,FALSE),0)</f>
        <v>0</v>
      </c>
      <c r="U32" s="65" t="str">
        <f t="shared" si="22"/>
        <v>***</v>
      </c>
      <c r="V32" s="54"/>
      <c r="W32" s="54">
        <f>+IFERROR(VLOOKUP($A32,'Goals &amp; Budget 2026'!$A$2:$EJ$49,133,FALSE),0)</f>
        <v>0</v>
      </c>
      <c r="X32" s="232" t="str">
        <f t="shared" si="23"/>
        <v>***</v>
      </c>
      <c r="Y32" s="54"/>
      <c r="Z32" s="54">
        <f>+IFERROR(VLOOKUP($A32,'Goals &amp; Budget 2026'!$A$2:$EJ$49,134,FALSE),0)</f>
        <v>0</v>
      </c>
      <c r="AA32" s="65" t="str">
        <f t="shared" si="24"/>
        <v>***</v>
      </c>
      <c r="AB32" s="54"/>
      <c r="AC32" s="54">
        <f>+IFERROR(VLOOKUP($A32,'Goals &amp; Budget 2026'!$A$2:$EJ$49,135,FALSE),0)</f>
        <v>0</v>
      </c>
      <c r="AD32" s="65" t="str">
        <f t="shared" si="25"/>
        <v>***</v>
      </c>
      <c r="AE32" s="54"/>
      <c r="AF32" s="54">
        <f>+IFERROR(VLOOKUP($A32,'Goals &amp; Budget 2026'!$A$2:$EJ$49,136,FALSE),0)</f>
        <v>0</v>
      </c>
      <c r="AG32" s="232" t="str">
        <f t="shared" si="26"/>
        <v>***</v>
      </c>
      <c r="AH32" s="54"/>
      <c r="AI32" s="54">
        <f>+IFERROR(VLOOKUP($A32,'Goals &amp; Budget 2026'!$A$2:$EJ$49,137,FALSE),0)</f>
        <v>0</v>
      </c>
      <c r="AJ32" s="65" t="str">
        <f t="shared" si="27"/>
        <v>***</v>
      </c>
      <c r="AK32" s="54"/>
      <c r="AL32" s="54">
        <f>+IFERROR(VLOOKUP($A32,'Goals &amp; Budget 2026'!$A$2:$EJ$49,138,FALSE),0)</f>
        <v>0</v>
      </c>
      <c r="AM32" s="65" t="str">
        <f t="shared" si="28"/>
        <v>***</v>
      </c>
      <c r="AN32" s="54"/>
      <c r="AO32" s="54">
        <f>+IFERROR(VLOOKUP($A32,'Goals &amp; Budget 2026'!$A$2:$EJ$49,139,FALSE),0)</f>
        <v>0</v>
      </c>
      <c r="AP32" s="66" t="str">
        <f t="shared" si="29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51">
        <f t="shared" si="15"/>
        <v>0</v>
      </c>
      <c r="E33" s="54">
        <f t="shared" si="16"/>
        <v>0</v>
      </c>
      <c r="F33" s="232" t="str">
        <f t="shared" si="17"/>
        <v>***</v>
      </c>
      <c r="G33" s="54"/>
      <c r="H33" s="54">
        <f>+IFERROR(VLOOKUP($A33,'Goals &amp; Budget 2026'!$A$2:$EJ$49,128,FALSE),0)</f>
        <v>0</v>
      </c>
      <c r="I33" s="65" t="str">
        <f t="shared" si="18"/>
        <v>***</v>
      </c>
      <c r="J33" s="54"/>
      <c r="K33" s="54">
        <f>+IFERROR(VLOOKUP($A33,'Goals &amp; Budget 2026'!$A$2:$EJ$49,129,FALSE),0)</f>
        <v>0</v>
      </c>
      <c r="L33" s="65" t="str">
        <f t="shared" si="19"/>
        <v>***</v>
      </c>
      <c r="M33" s="54"/>
      <c r="N33" s="54">
        <f>+IFERROR(VLOOKUP($A33,'Goals &amp; Budget 2026'!$A$2:$EJ$49,130,FALSE),0)</f>
        <v>0</v>
      </c>
      <c r="O33" s="232" t="str">
        <f t="shared" si="20"/>
        <v>***</v>
      </c>
      <c r="P33" s="54"/>
      <c r="Q33" s="54">
        <f>+IFERROR(VLOOKUP($A33,'Goals &amp; Budget 2026'!$A$2:$EJ$49,131,FALSE),0)</f>
        <v>0</v>
      </c>
      <c r="R33" s="65" t="str">
        <f t="shared" si="21"/>
        <v>***</v>
      </c>
      <c r="S33" s="54"/>
      <c r="T33" s="54">
        <f>+IFERROR(VLOOKUP($A33,'Goals &amp; Budget 2026'!$A$2:$EJ$49,132,FALSE),0)</f>
        <v>0</v>
      </c>
      <c r="U33" s="65" t="str">
        <f t="shared" si="22"/>
        <v>***</v>
      </c>
      <c r="V33" s="54"/>
      <c r="W33" s="54">
        <f>+IFERROR(VLOOKUP($A33,'Goals &amp; Budget 2026'!$A$2:$EJ$49,133,FALSE),0)</f>
        <v>0</v>
      </c>
      <c r="X33" s="232" t="str">
        <f t="shared" si="23"/>
        <v>***</v>
      </c>
      <c r="Y33" s="54"/>
      <c r="Z33" s="54">
        <f>+IFERROR(VLOOKUP($A33,'Goals &amp; Budget 2026'!$A$2:$EJ$49,134,FALSE),0)</f>
        <v>0</v>
      </c>
      <c r="AA33" s="65" t="str">
        <f t="shared" si="24"/>
        <v>***</v>
      </c>
      <c r="AB33" s="54"/>
      <c r="AC33" s="54">
        <f>+IFERROR(VLOOKUP($A33,'Goals &amp; Budget 2026'!$A$2:$EJ$49,135,FALSE),0)</f>
        <v>0</v>
      </c>
      <c r="AD33" s="65" t="str">
        <f t="shared" si="25"/>
        <v>***</v>
      </c>
      <c r="AE33" s="54"/>
      <c r="AF33" s="54">
        <f>+IFERROR(VLOOKUP($A33,'Goals &amp; Budget 2026'!$A$2:$EJ$49,136,FALSE),0)</f>
        <v>0</v>
      </c>
      <c r="AG33" s="232" t="str">
        <f t="shared" si="26"/>
        <v>***</v>
      </c>
      <c r="AH33" s="54"/>
      <c r="AI33" s="54">
        <f>+IFERROR(VLOOKUP($A33,'Goals &amp; Budget 2026'!$A$2:$EJ$49,137,FALSE),0)</f>
        <v>0</v>
      </c>
      <c r="AJ33" s="65" t="str">
        <f t="shared" si="27"/>
        <v>***</v>
      </c>
      <c r="AK33" s="54"/>
      <c r="AL33" s="54">
        <f>+IFERROR(VLOOKUP($A33,'Goals &amp; Budget 2026'!$A$2:$EJ$49,138,FALSE),0)</f>
        <v>0</v>
      </c>
      <c r="AM33" s="65" t="str">
        <f t="shared" si="28"/>
        <v>***</v>
      </c>
      <c r="AN33" s="54"/>
      <c r="AO33" s="54">
        <f>+IFERROR(VLOOKUP($A33,'Goals &amp; Budget 2026'!$A$2:$EJ$49,139,FALSE),0)</f>
        <v>0</v>
      </c>
      <c r="AP33" s="66" t="str">
        <f t="shared" si="29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51">
        <f t="shared" si="15"/>
        <v>0</v>
      </c>
      <c r="E34" s="54">
        <f t="shared" si="16"/>
        <v>0</v>
      </c>
      <c r="F34" s="232" t="str">
        <f t="shared" si="17"/>
        <v>***</v>
      </c>
      <c r="G34" s="54"/>
      <c r="H34" s="54">
        <f>+IFERROR(VLOOKUP($A34,'Goals &amp; Budget 2026'!$A$2:$EJ$49,128,FALSE),0)</f>
        <v>0</v>
      </c>
      <c r="I34" s="65" t="str">
        <f t="shared" si="18"/>
        <v>***</v>
      </c>
      <c r="J34" s="54"/>
      <c r="K34" s="54">
        <f>+IFERROR(VLOOKUP($A34,'Goals &amp; Budget 2026'!$A$2:$EJ$49,129,FALSE),0)</f>
        <v>0</v>
      </c>
      <c r="L34" s="65" t="str">
        <f t="shared" si="19"/>
        <v>***</v>
      </c>
      <c r="M34" s="54"/>
      <c r="N34" s="54">
        <f>+IFERROR(VLOOKUP($A34,'Goals &amp; Budget 2026'!$A$2:$EJ$49,130,FALSE),0)</f>
        <v>0</v>
      </c>
      <c r="O34" s="232" t="str">
        <f t="shared" si="20"/>
        <v>***</v>
      </c>
      <c r="P34" s="54"/>
      <c r="Q34" s="54">
        <f>+IFERROR(VLOOKUP($A34,'Goals &amp; Budget 2026'!$A$2:$EJ$49,131,FALSE),0)</f>
        <v>0</v>
      </c>
      <c r="R34" s="65" t="str">
        <f t="shared" si="21"/>
        <v>***</v>
      </c>
      <c r="S34" s="54"/>
      <c r="T34" s="54">
        <f>+IFERROR(VLOOKUP($A34,'Goals &amp; Budget 2026'!$A$2:$EJ$49,132,FALSE),0)</f>
        <v>0</v>
      </c>
      <c r="U34" s="65" t="str">
        <f t="shared" si="22"/>
        <v>***</v>
      </c>
      <c r="V34" s="54"/>
      <c r="W34" s="54">
        <f>+IFERROR(VLOOKUP($A34,'Goals &amp; Budget 2026'!$A$2:$EJ$49,133,FALSE),0)</f>
        <v>0</v>
      </c>
      <c r="X34" s="232" t="str">
        <f t="shared" si="23"/>
        <v>***</v>
      </c>
      <c r="Y34" s="54"/>
      <c r="Z34" s="54">
        <f>+IFERROR(VLOOKUP($A34,'Goals &amp; Budget 2026'!$A$2:$EJ$49,134,FALSE),0)</f>
        <v>0</v>
      </c>
      <c r="AA34" s="65" t="str">
        <f t="shared" si="24"/>
        <v>***</v>
      </c>
      <c r="AB34" s="54"/>
      <c r="AC34" s="54">
        <f>+IFERROR(VLOOKUP($A34,'Goals &amp; Budget 2026'!$A$2:$EJ$49,135,FALSE),0)</f>
        <v>0</v>
      </c>
      <c r="AD34" s="65" t="str">
        <f t="shared" si="25"/>
        <v>***</v>
      </c>
      <c r="AE34" s="54"/>
      <c r="AF34" s="54">
        <f>+IFERROR(VLOOKUP($A34,'Goals &amp; Budget 2026'!$A$2:$EJ$49,136,FALSE),0)</f>
        <v>0</v>
      </c>
      <c r="AG34" s="232" t="str">
        <f t="shared" si="26"/>
        <v>***</v>
      </c>
      <c r="AH34" s="54"/>
      <c r="AI34" s="54">
        <f>+IFERROR(VLOOKUP($A34,'Goals &amp; Budget 2026'!$A$2:$EJ$49,137,FALSE),0)</f>
        <v>0</v>
      </c>
      <c r="AJ34" s="65" t="str">
        <f t="shared" si="27"/>
        <v>***</v>
      </c>
      <c r="AK34" s="54"/>
      <c r="AL34" s="54">
        <f>+IFERROR(VLOOKUP($A34,'Goals &amp; Budget 2026'!$A$2:$EJ$49,138,FALSE),0)</f>
        <v>0</v>
      </c>
      <c r="AM34" s="65" t="str">
        <f t="shared" si="28"/>
        <v>***</v>
      </c>
      <c r="AN34" s="54"/>
      <c r="AO34" s="54">
        <f>+IFERROR(VLOOKUP($A34,'Goals &amp; Budget 2026'!$A$2:$EJ$49,139,FALSE),0)</f>
        <v>0</v>
      </c>
      <c r="AP34" s="66" t="str">
        <f t="shared" si="29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51">
        <f t="shared" si="15"/>
        <v>0</v>
      </c>
      <c r="E35" s="54">
        <f t="shared" si="16"/>
        <v>0</v>
      </c>
      <c r="F35" s="232" t="str">
        <f t="shared" si="17"/>
        <v>***</v>
      </c>
      <c r="G35" s="54"/>
      <c r="H35" s="54">
        <f>+IFERROR(VLOOKUP($A35,'Goals &amp; Budget 2026'!$A$2:$EJ$49,128,FALSE),0)</f>
        <v>0</v>
      </c>
      <c r="I35" s="65" t="str">
        <f t="shared" si="18"/>
        <v>***</v>
      </c>
      <c r="J35" s="54"/>
      <c r="K35" s="54">
        <f>+IFERROR(VLOOKUP($A35,'Goals &amp; Budget 2026'!$A$2:$EJ$49,129,FALSE),0)</f>
        <v>0</v>
      </c>
      <c r="L35" s="65" t="str">
        <f t="shared" si="19"/>
        <v>***</v>
      </c>
      <c r="M35" s="54"/>
      <c r="N35" s="54">
        <f>+IFERROR(VLOOKUP($A35,'Goals &amp; Budget 2026'!$A$2:$EJ$49,130,FALSE),0)</f>
        <v>0</v>
      </c>
      <c r="O35" s="232" t="str">
        <f t="shared" si="20"/>
        <v>***</v>
      </c>
      <c r="P35" s="54"/>
      <c r="Q35" s="54">
        <f>+IFERROR(VLOOKUP($A35,'Goals &amp; Budget 2026'!$A$2:$EJ$49,131,FALSE),0)</f>
        <v>0</v>
      </c>
      <c r="R35" s="65" t="str">
        <f t="shared" si="21"/>
        <v>***</v>
      </c>
      <c r="S35" s="54"/>
      <c r="T35" s="54">
        <f>+IFERROR(VLOOKUP($A35,'Goals &amp; Budget 2026'!$A$2:$EJ$49,132,FALSE),0)</f>
        <v>39</v>
      </c>
      <c r="U35" s="65">
        <f t="shared" si="22"/>
        <v>0</v>
      </c>
      <c r="V35" s="54"/>
      <c r="W35" s="54">
        <f>+IFERROR(VLOOKUP($A35,'Goals &amp; Budget 2026'!$A$2:$EJ$49,133,FALSE),0)</f>
        <v>0</v>
      </c>
      <c r="X35" s="232" t="str">
        <f t="shared" si="23"/>
        <v>***</v>
      </c>
      <c r="Y35" s="54"/>
      <c r="Z35" s="54">
        <f>+IFERROR(VLOOKUP($A35,'Goals &amp; Budget 2026'!$A$2:$EJ$49,134,FALSE),0)</f>
        <v>0</v>
      </c>
      <c r="AA35" s="65" t="str">
        <f t="shared" si="24"/>
        <v>***</v>
      </c>
      <c r="AB35" s="54"/>
      <c r="AC35" s="54">
        <f>+IFERROR(VLOOKUP($A35,'Goals &amp; Budget 2026'!$A$2:$EJ$49,135,FALSE),0)</f>
        <v>0</v>
      </c>
      <c r="AD35" s="65" t="str">
        <f t="shared" si="25"/>
        <v>***</v>
      </c>
      <c r="AE35" s="54"/>
      <c r="AF35" s="54">
        <f>+IFERROR(VLOOKUP($A35,'Goals &amp; Budget 2026'!$A$2:$EJ$49,136,FALSE),0)</f>
        <v>0</v>
      </c>
      <c r="AG35" s="232" t="str">
        <f t="shared" si="26"/>
        <v>***</v>
      </c>
      <c r="AH35" s="54"/>
      <c r="AI35" s="54">
        <f>+IFERROR(VLOOKUP($A35,'Goals &amp; Budget 2026'!$A$2:$EJ$49,137,FALSE),0)</f>
        <v>0</v>
      </c>
      <c r="AJ35" s="65" t="str">
        <f t="shared" si="27"/>
        <v>***</v>
      </c>
      <c r="AK35" s="54"/>
      <c r="AL35" s="54">
        <f>+IFERROR(VLOOKUP($A35,'Goals &amp; Budget 2026'!$A$2:$EJ$49,138,FALSE),0)</f>
        <v>0</v>
      </c>
      <c r="AM35" s="65" t="str">
        <f t="shared" si="28"/>
        <v>***</v>
      </c>
      <c r="AN35" s="54"/>
      <c r="AO35" s="54">
        <f>+IFERROR(VLOOKUP($A35,'Goals &amp; Budget 2026'!$A$2:$EJ$49,139,FALSE),0)</f>
        <v>0</v>
      </c>
      <c r="AP35" s="66" t="str">
        <f t="shared" si="29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51">
        <f t="shared" si="15"/>
        <v>0</v>
      </c>
      <c r="E36" s="54">
        <f t="shared" si="16"/>
        <v>0</v>
      </c>
      <c r="F36" s="232" t="str">
        <f t="shared" si="17"/>
        <v>***</v>
      </c>
      <c r="G36" s="54"/>
      <c r="H36" s="54">
        <f>+IFERROR(VLOOKUP($A36,'Goals &amp; Budget 2026'!$A$2:$EJ$49,128,FALSE),0)</f>
        <v>0</v>
      </c>
      <c r="I36" s="65" t="str">
        <f t="shared" si="18"/>
        <v>***</v>
      </c>
      <c r="J36" s="54"/>
      <c r="K36" s="54">
        <f>+IFERROR(VLOOKUP($A36,'Goals &amp; Budget 2026'!$A$2:$EJ$49,129,FALSE),0)</f>
        <v>0</v>
      </c>
      <c r="L36" s="65" t="str">
        <f t="shared" si="19"/>
        <v>***</v>
      </c>
      <c r="M36" s="54"/>
      <c r="N36" s="54">
        <f>+IFERROR(VLOOKUP($A36,'Goals &amp; Budget 2026'!$A$2:$EJ$49,130,FALSE),0)</f>
        <v>95</v>
      </c>
      <c r="O36" s="232">
        <f t="shared" si="20"/>
        <v>0</v>
      </c>
      <c r="P36" s="54"/>
      <c r="Q36" s="54">
        <f>+IFERROR(VLOOKUP($A36,'Goals &amp; Budget 2026'!$A$2:$EJ$49,131,FALSE),0)</f>
        <v>0</v>
      </c>
      <c r="R36" s="65" t="str">
        <f t="shared" si="21"/>
        <v>***</v>
      </c>
      <c r="S36" s="54"/>
      <c r="T36" s="54">
        <f>+IFERROR(VLOOKUP($A36,'Goals &amp; Budget 2026'!$A$2:$EJ$49,132,FALSE),0)</f>
        <v>0</v>
      </c>
      <c r="U36" s="65" t="str">
        <f t="shared" si="22"/>
        <v>***</v>
      </c>
      <c r="V36" s="54"/>
      <c r="W36" s="54">
        <f>+IFERROR(VLOOKUP($A36,'Goals &amp; Budget 2026'!$A$2:$EJ$49,133,FALSE),0)</f>
        <v>0</v>
      </c>
      <c r="X36" s="232" t="str">
        <f t="shared" si="23"/>
        <v>***</v>
      </c>
      <c r="Y36" s="54"/>
      <c r="Z36" s="54">
        <f>+IFERROR(VLOOKUP($A36,'Goals &amp; Budget 2026'!$A$2:$EJ$49,134,FALSE),0)</f>
        <v>0</v>
      </c>
      <c r="AA36" s="65" t="str">
        <f t="shared" si="24"/>
        <v>***</v>
      </c>
      <c r="AB36" s="54"/>
      <c r="AC36" s="54">
        <f>+IFERROR(VLOOKUP($A36,'Goals &amp; Budget 2026'!$A$2:$EJ$49,135,FALSE),0)</f>
        <v>0</v>
      </c>
      <c r="AD36" s="65" t="str">
        <f t="shared" si="25"/>
        <v>***</v>
      </c>
      <c r="AE36" s="54"/>
      <c r="AF36" s="54">
        <f>+IFERROR(VLOOKUP($A36,'Goals &amp; Budget 2026'!$A$2:$EJ$49,136,FALSE),0)</f>
        <v>0</v>
      </c>
      <c r="AG36" s="232" t="str">
        <f t="shared" si="26"/>
        <v>***</v>
      </c>
      <c r="AH36" s="54"/>
      <c r="AI36" s="54">
        <f>+IFERROR(VLOOKUP($A36,'Goals &amp; Budget 2026'!$A$2:$EJ$49,137,FALSE),0)</f>
        <v>0</v>
      </c>
      <c r="AJ36" s="65" t="str">
        <f t="shared" si="27"/>
        <v>***</v>
      </c>
      <c r="AK36" s="54"/>
      <c r="AL36" s="54">
        <f>+IFERROR(VLOOKUP($A36,'Goals &amp; Budget 2026'!$A$2:$EJ$49,138,FALSE),0)</f>
        <v>0</v>
      </c>
      <c r="AM36" s="65" t="str">
        <f t="shared" si="28"/>
        <v>***</v>
      </c>
      <c r="AN36" s="54"/>
      <c r="AO36" s="54">
        <f>+IFERROR(VLOOKUP($A36,'Goals &amp; Budget 2026'!$A$2:$EJ$49,139,FALSE),0)</f>
        <v>0</v>
      </c>
      <c r="AP36" s="66" t="str">
        <f t="shared" si="29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51">
        <f t="shared" si="15"/>
        <v>0</v>
      </c>
      <c r="E37" s="54">
        <f t="shared" si="16"/>
        <v>0</v>
      </c>
      <c r="F37" s="232" t="str">
        <f t="shared" si="17"/>
        <v>***</v>
      </c>
      <c r="G37" s="54"/>
      <c r="H37" s="54">
        <f>+IFERROR(VLOOKUP($A37,'Goals &amp; Budget 2026'!$A$2:$EJ$49,128,FALSE),0)</f>
        <v>0</v>
      </c>
      <c r="I37" s="65" t="str">
        <f t="shared" si="18"/>
        <v>***</v>
      </c>
      <c r="J37" s="54"/>
      <c r="K37" s="54">
        <f>+IFERROR(VLOOKUP($A37,'Goals &amp; Budget 2026'!$A$2:$EJ$49,129,FALSE),0)</f>
        <v>0</v>
      </c>
      <c r="L37" s="65" t="str">
        <f t="shared" si="19"/>
        <v>***</v>
      </c>
      <c r="M37" s="54"/>
      <c r="N37" s="54">
        <f>+IFERROR(VLOOKUP($A37,'Goals &amp; Budget 2026'!$A$2:$EJ$49,130,FALSE),0)</f>
        <v>0</v>
      </c>
      <c r="O37" s="232" t="str">
        <f t="shared" si="20"/>
        <v>***</v>
      </c>
      <c r="P37" s="54"/>
      <c r="Q37" s="54">
        <f>+IFERROR(VLOOKUP($A37,'Goals &amp; Budget 2026'!$A$2:$EJ$49,131,FALSE),0)</f>
        <v>0</v>
      </c>
      <c r="R37" s="65" t="str">
        <f t="shared" si="21"/>
        <v>***</v>
      </c>
      <c r="S37" s="54"/>
      <c r="T37" s="54">
        <f>+IFERROR(VLOOKUP($A37,'Goals &amp; Budget 2026'!$A$2:$EJ$49,132,FALSE),0)</f>
        <v>0</v>
      </c>
      <c r="U37" s="65" t="str">
        <f t="shared" si="22"/>
        <v>***</v>
      </c>
      <c r="V37" s="54"/>
      <c r="W37" s="54">
        <f>+IFERROR(VLOOKUP($A37,'Goals &amp; Budget 2026'!$A$2:$EJ$49,133,FALSE),0)</f>
        <v>0</v>
      </c>
      <c r="X37" s="232" t="str">
        <f t="shared" si="23"/>
        <v>***</v>
      </c>
      <c r="Y37" s="54"/>
      <c r="Z37" s="54">
        <f>+IFERROR(VLOOKUP($A37,'Goals &amp; Budget 2026'!$A$2:$EJ$49,134,FALSE),0)</f>
        <v>0</v>
      </c>
      <c r="AA37" s="65" t="str">
        <f t="shared" si="24"/>
        <v>***</v>
      </c>
      <c r="AB37" s="54"/>
      <c r="AC37" s="54">
        <f>+IFERROR(VLOOKUP($A37,'Goals &amp; Budget 2026'!$A$2:$EJ$49,135,FALSE),0)</f>
        <v>0</v>
      </c>
      <c r="AD37" s="65" t="str">
        <f t="shared" si="25"/>
        <v>***</v>
      </c>
      <c r="AE37" s="54"/>
      <c r="AF37" s="54">
        <f>+IFERROR(VLOOKUP($A37,'Goals &amp; Budget 2026'!$A$2:$EJ$49,136,FALSE),0)</f>
        <v>0</v>
      </c>
      <c r="AG37" s="232" t="str">
        <f t="shared" si="26"/>
        <v>***</v>
      </c>
      <c r="AH37" s="54"/>
      <c r="AI37" s="54">
        <f>+IFERROR(VLOOKUP($A37,'Goals &amp; Budget 2026'!$A$2:$EJ$49,137,FALSE),0)</f>
        <v>0</v>
      </c>
      <c r="AJ37" s="65" t="str">
        <f t="shared" si="27"/>
        <v>***</v>
      </c>
      <c r="AK37" s="54"/>
      <c r="AL37" s="54">
        <f>+IFERROR(VLOOKUP($A37,'Goals &amp; Budget 2026'!$A$2:$EJ$49,138,FALSE),0)</f>
        <v>0</v>
      </c>
      <c r="AM37" s="65" t="str">
        <f t="shared" si="28"/>
        <v>***</v>
      </c>
      <c r="AN37" s="54"/>
      <c r="AO37" s="54">
        <f>+IFERROR(VLOOKUP($A37,'Goals &amp; Budget 2026'!$A$2:$EJ$49,139,FALSE),0)</f>
        <v>0</v>
      </c>
      <c r="AP37" s="66" t="str">
        <f t="shared" si="29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51">
        <f t="shared" si="15"/>
        <v>0</v>
      </c>
      <c r="E38" s="54">
        <f t="shared" si="16"/>
        <v>0</v>
      </c>
      <c r="F38" s="232" t="str">
        <f t="shared" si="17"/>
        <v>***</v>
      </c>
      <c r="G38" s="54"/>
      <c r="H38" s="54">
        <f>+IFERROR(VLOOKUP($A38,'Goals &amp; Budget 2026'!$A$2:$EJ$49,128,FALSE),0)</f>
        <v>0</v>
      </c>
      <c r="I38" s="65" t="str">
        <f t="shared" si="18"/>
        <v>***</v>
      </c>
      <c r="J38" s="54"/>
      <c r="K38" s="54">
        <f>+IFERROR(VLOOKUP($A38,'Goals &amp; Budget 2026'!$A$2:$EJ$49,129,FALSE),0)</f>
        <v>0</v>
      </c>
      <c r="L38" s="65" t="str">
        <f t="shared" si="19"/>
        <v>***</v>
      </c>
      <c r="M38" s="54"/>
      <c r="N38" s="54">
        <f>+IFERROR(VLOOKUP($A38,'Goals &amp; Budget 2026'!$A$2:$EJ$49,130,FALSE),0)</f>
        <v>0</v>
      </c>
      <c r="O38" s="232" t="str">
        <f t="shared" si="20"/>
        <v>***</v>
      </c>
      <c r="P38" s="54"/>
      <c r="Q38" s="54">
        <f>+IFERROR(VLOOKUP($A38,'Goals &amp; Budget 2026'!$A$2:$EJ$49,131,FALSE),0)</f>
        <v>0</v>
      </c>
      <c r="R38" s="65" t="str">
        <f t="shared" si="21"/>
        <v>***</v>
      </c>
      <c r="S38" s="54"/>
      <c r="T38" s="54">
        <f>+IFERROR(VLOOKUP($A38,'Goals &amp; Budget 2026'!$A$2:$EJ$49,132,FALSE),0)</f>
        <v>0</v>
      </c>
      <c r="U38" s="65" t="str">
        <f t="shared" si="22"/>
        <v>***</v>
      </c>
      <c r="V38" s="54"/>
      <c r="W38" s="54">
        <f>+IFERROR(VLOOKUP($A38,'Goals &amp; Budget 2026'!$A$2:$EJ$49,133,FALSE),0)</f>
        <v>0</v>
      </c>
      <c r="X38" s="232" t="str">
        <f t="shared" si="23"/>
        <v>***</v>
      </c>
      <c r="Y38" s="54"/>
      <c r="Z38" s="54">
        <f>+IFERROR(VLOOKUP($A38,'Goals &amp; Budget 2026'!$A$2:$EJ$49,134,FALSE),0)</f>
        <v>0</v>
      </c>
      <c r="AA38" s="65" t="str">
        <f t="shared" si="24"/>
        <v>***</v>
      </c>
      <c r="AB38" s="54"/>
      <c r="AC38" s="54">
        <f>+IFERROR(VLOOKUP($A38,'Goals &amp; Budget 2026'!$A$2:$EJ$49,135,FALSE),0)</f>
        <v>0</v>
      </c>
      <c r="AD38" s="65" t="str">
        <f t="shared" si="25"/>
        <v>***</v>
      </c>
      <c r="AE38" s="54"/>
      <c r="AF38" s="54">
        <f>+IFERROR(VLOOKUP($A38,'Goals &amp; Budget 2026'!$A$2:$EJ$49,136,FALSE),0)</f>
        <v>0</v>
      </c>
      <c r="AG38" s="232" t="str">
        <f t="shared" si="26"/>
        <v>***</v>
      </c>
      <c r="AH38" s="54"/>
      <c r="AI38" s="54">
        <f>+IFERROR(VLOOKUP($A38,'Goals &amp; Budget 2026'!$A$2:$EJ$49,137,FALSE),0)</f>
        <v>0</v>
      </c>
      <c r="AJ38" s="65" t="str">
        <f t="shared" si="27"/>
        <v>***</v>
      </c>
      <c r="AK38" s="54"/>
      <c r="AL38" s="54">
        <f>+IFERROR(VLOOKUP($A38,'Goals &amp; Budget 2026'!$A$2:$EJ$49,138,FALSE),0)</f>
        <v>0</v>
      </c>
      <c r="AM38" s="65" t="str">
        <f t="shared" si="28"/>
        <v>***</v>
      </c>
      <c r="AN38" s="54"/>
      <c r="AO38" s="54">
        <f>+IFERROR(VLOOKUP($A38,'Goals &amp; Budget 2026'!$A$2:$EJ$49,139,FALSE),0)</f>
        <v>0</v>
      </c>
      <c r="AP38" s="66" t="str">
        <f t="shared" si="29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51">
        <f t="shared" si="15"/>
        <v>0</v>
      </c>
      <c r="E39" s="54">
        <f t="shared" si="16"/>
        <v>0</v>
      </c>
      <c r="F39" s="232" t="str">
        <f t="shared" si="17"/>
        <v>***</v>
      </c>
      <c r="G39" s="54"/>
      <c r="H39" s="54">
        <f>+IFERROR(VLOOKUP($A39,'Goals &amp; Budget 2026'!$A$2:$EJ$49,128,FALSE),0)</f>
        <v>0</v>
      </c>
      <c r="I39" s="65" t="str">
        <f t="shared" si="18"/>
        <v>***</v>
      </c>
      <c r="J39" s="54"/>
      <c r="K39" s="54">
        <f>+IFERROR(VLOOKUP($A39,'Goals &amp; Budget 2026'!$A$2:$EJ$49,129,FALSE),0)</f>
        <v>0</v>
      </c>
      <c r="L39" s="65" t="str">
        <f t="shared" si="19"/>
        <v>***</v>
      </c>
      <c r="M39" s="54"/>
      <c r="N39" s="54">
        <f>+IFERROR(VLOOKUP($A39,'Goals &amp; Budget 2026'!$A$2:$EJ$49,130,FALSE),0)</f>
        <v>0</v>
      </c>
      <c r="O39" s="232" t="str">
        <f t="shared" si="20"/>
        <v>***</v>
      </c>
      <c r="P39" s="54"/>
      <c r="Q39" s="54">
        <f>+IFERROR(VLOOKUP($A39,'Goals &amp; Budget 2026'!$A$2:$EJ$49,131,FALSE),0)</f>
        <v>0</v>
      </c>
      <c r="R39" s="65" t="str">
        <f t="shared" si="21"/>
        <v>***</v>
      </c>
      <c r="S39" s="54"/>
      <c r="T39" s="54">
        <f>+IFERROR(VLOOKUP($A39,'Goals &amp; Budget 2026'!$A$2:$EJ$49,132,FALSE),0)</f>
        <v>0</v>
      </c>
      <c r="U39" s="65" t="str">
        <f t="shared" si="22"/>
        <v>***</v>
      </c>
      <c r="V39" s="54"/>
      <c r="W39" s="54">
        <f>+IFERROR(VLOOKUP($A39,'Goals &amp; Budget 2026'!$A$2:$EJ$49,133,FALSE),0)</f>
        <v>0</v>
      </c>
      <c r="X39" s="232" t="str">
        <f t="shared" si="23"/>
        <v>***</v>
      </c>
      <c r="Y39" s="54"/>
      <c r="Z39" s="54">
        <f>+IFERROR(VLOOKUP($A39,'Goals &amp; Budget 2026'!$A$2:$EJ$49,134,FALSE),0)</f>
        <v>0</v>
      </c>
      <c r="AA39" s="65" t="str">
        <f t="shared" si="24"/>
        <v>***</v>
      </c>
      <c r="AB39" s="54"/>
      <c r="AC39" s="54">
        <f>+IFERROR(VLOOKUP($A39,'Goals &amp; Budget 2026'!$A$2:$EJ$49,135,FALSE),0)</f>
        <v>0</v>
      </c>
      <c r="AD39" s="65" t="str">
        <f t="shared" si="25"/>
        <v>***</v>
      </c>
      <c r="AE39" s="54"/>
      <c r="AF39" s="54">
        <f>+IFERROR(VLOOKUP($A39,'Goals &amp; Budget 2026'!$A$2:$EJ$49,136,FALSE),0)</f>
        <v>0</v>
      </c>
      <c r="AG39" s="232" t="str">
        <f t="shared" si="26"/>
        <v>***</v>
      </c>
      <c r="AH39" s="54"/>
      <c r="AI39" s="54">
        <f>+IFERROR(VLOOKUP($A39,'Goals &amp; Budget 2026'!$A$2:$EJ$49,137,FALSE),0)</f>
        <v>0</v>
      </c>
      <c r="AJ39" s="65" t="str">
        <f t="shared" si="27"/>
        <v>***</v>
      </c>
      <c r="AK39" s="54"/>
      <c r="AL39" s="54">
        <f>+IFERROR(VLOOKUP($A39,'Goals &amp; Budget 2026'!$A$2:$EJ$49,138,FALSE),0)</f>
        <v>0</v>
      </c>
      <c r="AM39" s="65" t="str">
        <f t="shared" si="28"/>
        <v>***</v>
      </c>
      <c r="AN39" s="54"/>
      <c r="AO39" s="54">
        <f>+IFERROR(VLOOKUP($A39,'Goals &amp; Budget 2026'!$A$2:$EJ$49,139,FALSE),0)</f>
        <v>0</v>
      </c>
      <c r="AP39" s="66" t="str">
        <f t="shared" si="29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51">
        <f t="shared" si="15"/>
        <v>0</v>
      </c>
      <c r="E40" s="54">
        <f t="shared" si="16"/>
        <v>0</v>
      </c>
      <c r="F40" s="232" t="str">
        <f t="shared" si="17"/>
        <v>***</v>
      </c>
      <c r="G40" s="54"/>
      <c r="H40" s="54">
        <f>+IFERROR(VLOOKUP($A40,'Goals &amp; Budget 2026'!$A$2:$EJ$49,128,FALSE),0)</f>
        <v>0</v>
      </c>
      <c r="I40" s="65" t="str">
        <f t="shared" si="18"/>
        <v>***</v>
      </c>
      <c r="J40" s="54"/>
      <c r="K40" s="54">
        <f>+IFERROR(VLOOKUP($A40,'Goals &amp; Budget 2026'!$A$2:$EJ$49,129,FALSE),0)</f>
        <v>0</v>
      </c>
      <c r="L40" s="65" t="str">
        <f t="shared" si="19"/>
        <v>***</v>
      </c>
      <c r="M40" s="54"/>
      <c r="N40" s="54">
        <f>+IFERROR(VLOOKUP($A40,'Goals &amp; Budget 2026'!$A$2:$EJ$49,130,FALSE),0)</f>
        <v>0</v>
      </c>
      <c r="O40" s="232" t="str">
        <f t="shared" si="20"/>
        <v>***</v>
      </c>
      <c r="P40" s="54"/>
      <c r="Q40" s="54">
        <f>+IFERROR(VLOOKUP($A40,'Goals &amp; Budget 2026'!$A$2:$EJ$49,131,FALSE),0)</f>
        <v>0</v>
      </c>
      <c r="R40" s="65" t="str">
        <f t="shared" si="21"/>
        <v>***</v>
      </c>
      <c r="S40" s="54"/>
      <c r="T40" s="54">
        <f>+IFERROR(VLOOKUP($A40,'Goals &amp; Budget 2026'!$A$2:$EJ$49,132,FALSE),0)</f>
        <v>0</v>
      </c>
      <c r="U40" s="65" t="str">
        <f t="shared" si="22"/>
        <v>***</v>
      </c>
      <c r="V40" s="54"/>
      <c r="W40" s="54">
        <f>+IFERROR(VLOOKUP($A40,'Goals &amp; Budget 2026'!$A$2:$EJ$49,133,FALSE),0)</f>
        <v>0</v>
      </c>
      <c r="X40" s="232" t="str">
        <f t="shared" si="23"/>
        <v>***</v>
      </c>
      <c r="Y40" s="54"/>
      <c r="Z40" s="54">
        <f>+IFERROR(VLOOKUP($A40,'Goals &amp; Budget 2026'!$A$2:$EJ$49,134,FALSE),0)</f>
        <v>0</v>
      </c>
      <c r="AA40" s="65" t="str">
        <f t="shared" si="24"/>
        <v>***</v>
      </c>
      <c r="AB40" s="54"/>
      <c r="AC40" s="54">
        <f>+IFERROR(VLOOKUP($A40,'Goals &amp; Budget 2026'!$A$2:$EJ$49,135,FALSE),0)</f>
        <v>0</v>
      </c>
      <c r="AD40" s="65" t="str">
        <f t="shared" si="25"/>
        <v>***</v>
      </c>
      <c r="AE40" s="54"/>
      <c r="AF40" s="54">
        <f>+IFERROR(VLOOKUP($A40,'Goals &amp; Budget 2026'!$A$2:$EJ$49,136,FALSE),0)</f>
        <v>0</v>
      </c>
      <c r="AG40" s="232" t="str">
        <f t="shared" si="26"/>
        <v>***</v>
      </c>
      <c r="AH40" s="54"/>
      <c r="AI40" s="54">
        <f>+IFERROR(VLOOKUP($A40,'Goals &amp; Budget 2026'!$A$2:$EJ$49,137,FALSE),0)</f>
        <v>0</v>
      </c>
      <c r="AJ40" s="65" t="str">
        <f t="shared" si="27"/>
        <v>***</v>
      </c>
      <c r="AK40" s="54"/>
      <c r="AL40" s="54">
        <f>+IFERROR(VLOOKUP($A40,'Goals &amp; Budget 2026'!$A$2:$EJ$49,138,FALSE),0)</f>
        <v>0</v>
      </c>
      <c r="AM40" s="65" t="str">
        <f t="shared" si="28"/>
        <v>***</v>
      </c>
      <c r="AN40" s="54"/>
      <c r="AO40" s="54">
        <f>+IFERROR(VLOOKUP($A40,'Goals &amp; Budget 2026'!$A$2:$EJ$49,139,FALSE),0)</f>
        <v>0</v>
      </c>
      <c r="AP40" s="66" t="str">
        <f t="shared" si="29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1">
        <f t="shared" si="15"/>
        <v>0</v>
      </c>
      <c r="E41" s="54">
        <f t="shared" si="16"/>
        <v>0</v>
      </c>
      <c r="F41" s="232" t="str">
        <f t="shared" si="17"/>
        <v>***</v>
      </c>
      <c r="G41" s="54"/>
      <c r="H41" s="54">
        <f>+IFERROR(VLOOKUP($A41,'Goals &amp; Budget 2026'!$A$2:$EJ$49,128,FALSE),0)</f>
        <v>0</v>
      </c>
      <c r="I41" s="65" t="str">
        <f t="shared" si="18"/>
        <v>***</v>
      </c>
      <c r="J41" s="54"/>
      <c r="K41" s="54">
        <f>+IFERROR(VLOOKUP($A41,'Goals &amp; Budget 2026'!$A$2:$EJ$49,129,FALSE),0)</f>
        <v>0</v>
      </c>
      <c r="L41" s="65" t="str">
        <f t="shared" si="19"/>
        <v>***</v>
      </c>
      <c r="M41" s="54"/>
      <c r="N41" s="54">
        <f>+IFERROR(VLOOKUP($A41,'Goals &amp; Budget 2026'!$A$2:$EJ$49,130,FALSE),0)</f>
        <v>0</v>
      </c>
      <c r="O41" s="232" t="str">
        <f t="shared" si="20"/>
        <v>***</v>
      </c>
      <c r="P41" s="54"/>
      <c r="Q41" s="54">
        <f>+IFERROR(VLOOKUP($A41,'Goals &amp; Budget 2026'!$A$2:$EJ$49,131,FALSE),0)</f>
        <v>0</v>
      </c>
      <c r="R41" s="65" t="str">
        <f t="shared" si="21"/>
        <v>***</v>
      </c>
      <c r="S41" s="54"/>
      <c r="T41" s="54">
        <f>+IFERROR(VLOOKUP($A41,'Goals &amp; Budget 2026'!$A$2:$EJ$49,132,FALSE),0)</f>
        <v>0</v>
      </c>
      <c r="U41" s="65" t="str">
        <f t="shared" si="22"/>
        <v>***</v>
      </c>
      <c r="V41" s="54"/>
      <c r="W41" s="54">
        <f>+IFERROR(VLOOKUP($A41,'Goals &amp; Budget 2026'!$A$2:$EJ$49,133,FALSE),0)</f>
        <v>0</v>
      </c>
      <c r="X41" s="232" t="str">
        <f t="shared" si="23"/>
        <v>***</v>
      </c>
      <c r="Y41" s="54"/>
      <c r="Z41" s="54">
        <f>+IFERROR(VLOOKUP($A41,'Goals &amp; Budget 2026'!$A$2:$EJ$49,134,FALSE),0)</f>
        <v>0</v>
      </c>
      <c r="AA41" s="65" t="str">
        <f t="shared" si="24"/>
        <v>***</v>
      </c>
      <c r="AB41" s="54"/>
      <c r="AC41" s="54">
        <f>+IFERROR(VLOOKUP($A41,'Goals &amp; Budget 2026'!$A$2:$EJ$49,135,FALSE),0)</f>
        <v>0</v>
      </c>
      <c r="AD41" s="65" t="str">
        <f t="shared" si="25"/>
        <v>***</v>
      </c>
      <c r="AE41" s="54"/>
      <c r="AF41" s="54">
        <f>+IFERROR(VLOOKUP($A41,'Goals &amp; Budget 2026'!$A$2:$EJ$49,136,FALSE),0)</f>
        <v>0</v>
      </c>
      <c r="AG41" s="232" t="str">
        <f t="shared" si="26"/>
        <v>***</v>
      </c>
      <c r="AH41" s="54"/>
      <c r="AI41" s="54">
        <f>+IFERROR(VLOOKUP($A41,'Goals &amp; Budget 2026'!$A$2:$EJ$49,137,FALSE),0)</f>
        <v>0</v>
      </c>
      <c r="AJ41" s="65" t="str">
        <f t="shared" si="27"/>
        <v>***</v>
      </c>
      <c r="AK41" s="54"/>
      <c r="AL41" s="54">
        <f>+IFERROR(VLOOKUP($A41,'Goals &amp; Budget 2026'!$A$2:$EJ$49,138,FALSE),0)</f>
        <v>0</v>
      </c>
      <c r="AM41" s="65" t="str">
        <f t="shared" si="28"/>
        <v>***</v>
      </c>
      <c r="AN41" s="54"/>
      <c r="AO41" s="54">
        <f>+IFERROR(VLOOKUP($A41,'Goals &amp; Budget 2026'!$A$2:$EJ$49,139,FALSE),0)</f>
        <v>0</v>
      </c>
      <c r="AP41" s="66" t="str">
        <f t="shared" si="29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1">
        <f t="shared" si="15"/>
        <v>0</v>
      </c>
      <c r="E42" s="54">
        <f t="shared" si="16"/>
        <v>0</v>
      </c>
      <c r="F42" s="232" t="str">
        <f t="shared" si="17"/>
        <v>***</v>
      </c>
      <c r="G42" s="54"/>
      <c r="H42" s="54">
        <f>+IFERROR(VLOOKUP($A42,'Goals &amp; Budget 2026'!$A$2:$EJ$49,128,FALSE),0)</f>
        <v>0</v>
      </c>
      <c r="I42" s="65" t="str">
        <f t="shared" si="18"/>
        <v>***</v>
      </c>
      <c r="J42" s="54"/>
      <c r="K42" s="54">
        <f>+IFERROR(VLOOKUP($A42,'Goals &amp; Budget 2026'!$A$2:$EJ$49,129,FALSE),0)</f>
        <v>0</v>
      </c>
      <c r="L42" s="65" t="str">
        <f t="shared" si="19"/>
        <v>***</v>
      </c>
      <c r="M42" s="54"/>
      <c r="N42" s="54">
        <f>+IFERROR(VLOOKUP($A42,'Goals &amp; Budget 2026'!$A$2:$EJ$49,130,FALSE),0)</f>
        <v>0</v>
      </c>
      <c r="O42" s="232" t="str">
        <f t="shared" si="20"/>
        <v>***</v>
      </c>
      <c r="P42" s="54"/>
      <c r="Q42" s="54">
        <f>+IFERROR(VLOOKUP($A42,'Goals &amp; Budget 2026'!$A$2:$EJ$49,131,FALSE),0)</f>
        <v>0</v>
      </c>
      <c r="R42" s="65" t="str">
        <f t="shared" si="21"/>
        <v>***</v>
      </c>
      <c r="S42" s="54"/>
      <c r="T42" s="54">
        <f>+IFERROR(VLOOKUP($A42,'Goals &amp; Budget 2026'!$A$2:$EJ$49,132,FALSE),0)</f>
        <v>0</v>
      </c>
      <c r="U42" s="65" t="str">
        <f t="shared" si="22"/>
        <v>***</v>
      </c>
      <c r="V42" s="54"/>
      <c r="W42" s="54">
        <f>+IFERROR(VLOOKUP($A42,'Goals &amp; Budget 2026'!$A$2:$EJ$49,133,FALSE),0)</f>
        <v>0</v>
      </c>
      <c r="X42" s="232" t="str">
        <f t="shared" si="23"/>
        <v>***</v>
      </c>
      <c r="Y42" s="54"/>
      <c r="Z42" s="54">
        <f>+IFERROR(VLOOKUP($A42,'Goals &amp; Budget 2026'!$A$2:$EJ$49,134,FALSE),0)</f>
        <v>0</v>
      </c>
      <c r="AA42" s="65" t="str">
        <f t="shared" si="24"/>
        <v>***</v>
      </c>
      <c r="AB42" s="54"/>
      <c r="AC42" s="54">
        <f>+IFERROR(VLOOKUP($A42,'Goals &amp; Budget 2026'!$A$2:$EJ$49,135,FALSE),0)</f>
        <v>0</v>
      </c>
      <c r="AD42" s="65" t="str">
        <f t="shared" si="25"/>
        <v>***</v>
      </c>
      <c r="AE42" s="54"/>
      <c r="AF42" s="54">
        <f>+IFERROR(VLOOKUP($A42,'Goals &amp; Budget 2026'!$A$2:$EJ$49,136,FALSE),0)</f>
        <v>0</v>
      </c>
      <c r="AG42" s="232" t="str">
        <f t="shared" si="26"/>
        <v>***</v>
      </c>
      <c r="AH42" s="54"/>
      <c r="AI42" s="54">
        <f>+IFERROR(VLOOKUP($A42,'Goals &amp; Budget 2026'!$A$2:$EJ$49,137,FALSE),0)</f>
        <v>0</v>
      </c>
      <c r="AJ42" s="65" t="str">
        <f t="shared" si="27"/>
        <v>***</v>
      </c>
      <c r="AK42" s="54"/>
      <c r="AL42" s="54">
        <f>+IFERROR(VLOOKUP($A42,'Goals &amp; Budget 2026'!$A$2:$EJ$49,138,FALSE),0)</f>
        <v>0</v>
      </c>
      <c r="AM42" s="65" t="str">
        <f t="shared" si="28"/>
        <v>***</v>
      </c>
      <c r="AN42" s="54"/>
      <c r="AO42" s="54">
        <f>+IFERROR(VLOOKUP($A42,'Goals &amp; Budget 2026'!$A$2:$EJ$49,139,FALSE),0)</f>
        <v>0</v>
      </c>
      <c r="AP42" s="66" t="str">
        <f t="shared" si="29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51">
        <f t="shared" si="15"/>
        <v>0</v>
      </c>
      <c r="E43" s="54">
        <f t="shared" si="16"/>
        <v>0</v>
      </c>
      <c r="F43" s="232" t="str">
        <f t="shared" si="17"/>
        <v>***</v>
      </c>
      <c r="G43" s="54"/>
      <c r="H43" s="54">
        <f>+IFERROR(VLOOKUP($A43,'Goals &amp; Budget 2026'!$A$2:$EJ$49,128,FALSE),0)</f>
        <v>0</v>
      </c>
      <c r="I43" s="65" t="str">
        <f t="shared" si="18"/>
        <v>***</v>
      </c>
      <c r="J43" s="54"/>
      <c r="K43" s="54">
        <f>+IFERROR(VLOOKUP($A43,'Goals &amp; Budget 2026'!$A$2:$EJ$49,129,FALSE),0)</f>
        <v>0</v>
      </c>
      <c r="L43" s="65" t="str">
        <f t="shared" si="19"/>
        <v>***</v>
      </c>
      <c r="M43" s="54"/>
      <c r="N43" s="54">
        <f>+IFERROR(VLOOKUP($A43,'Goals &amp; Budget 2026'!$A$2:$EJ$49,130,FALSE),0)</f>
        <v>0</v>
      </c>
      <c r="O43" s="232" t="str">
        <f t="shared" si="20"/>
        <v>***</v>
      </c>
      <c r="P43" s="54"/>
      <c r="Q43" s="54">
        <f>+IFERROR(VLOOKUP($A43,'Goals &amp; Budget 2026'!$A$2:$EJ$49,131,FALSE),0)</f>
        <v>0</v>
      </c>
      <c r="R43" s="65" t="str">
        <f t="shared" si="21"/>
        <v>***</v>
      </c>
      <c r="S43" s="54"/>
      <c r="T43" s="54">
        <f>+IFERROR(VLOOKUP($A43,'Goals &amp; Budget 2026'!$A$2:$EJ$49,132,FALSE),0)</f>
        <v>0</v>
      </c>
      <c r="U43" s="65" t="str">
        <f t="shared" si="22"/>
        <v>***</v>
      </c>
      <c r="V43" s="54"/>
      <c r="W43" s="54">
        <f>+IFERROR(VLOOKUP($A43,'Goals &amp; Budget 2026'!$A$2:$EJ$49,133,FALSE),0)</f>
        <v>0</v>
      </c>
      <c r="X43" s="232" t="str">
        <f t="shared" si="23"/>
        <v>***</v>
      </c>
      <c r="Y43" s="54"/>
      <c r="Z43" s="54">
        <f>+IFERROR(VLOOKUP($A43,'Goals &amp; Budget 2026'!$A$2:$EJ$49,134,FALSE),0)</f>
        <v>0</v>
      </c>
      <c r="AA43" s="65" t="str">
        <f t="shared" si="24"/>
        <v>***</v>
      </c>
      <c r="AB43" s="54"/>
      <c r="AC43" s="54">
        <f>+IFERROR(VLOOKUP($A43,'Goals &amp; Budget 2026'!$A$2:$EJ$49,135,FALSE),0)</f>
        <v>0</v>
      </c>
      <c r="AD43" s="65" t="str">
        <f t="shared" si="25"/>
        <v>***</v>
      </c>
      <c r="AE43" s="54"/>
      <c r="AF43" s="54">
        <f>+IFERROR(VLOOKUP($A43,'Goals &amp; Budget 2026'!$A$2:$EJ$49,136,FALSE),0)</f>
        <v>0</v>
      </c>
      <c r="AG43" s="232" t="str">
        <f t="shared" si="26"/>
        <v>***</v>
      </c>
      <c r="AH43" s="54"/>
      <c r="AI43" s="54">
        <f>+IFERROR(VLOOKUP($A43,'Goals &amp; Budget 2026'!$A$2:$EJ$49,137,FALSE),0)</f>
        <v>0</v>
      </c>
      <c r="AJ43" s="65" t="str">
        <f t="shared" si="27"/>
        <v>***</v>
      </c>
      <c r="AK43" s="54"/>
      <c r="AL43" s="54">
        <f>+IFERROR(VLOOKUP($A43,'Goals &amp; Budget 2026'!$A$2:$EJ$49,138,FALSE),0)</f>
        <v>0</v>
      </c>
      <c r="AM43" s="65" t="str">
        <f t="shared" si="28"/>
        <v>***</v>
      </c>
      <c r="AN43" s="54"/>
      <c r="AO43" s="54">
        <f>+IFERROR(VLOOKUP($A43,'Goals &amp; Budget 2026'!$A$2:$EJ$49,139,FALSE),0)</f>
        <v>0</v>
      </c>
      <c r="AP43" s="66" t="str">
        <f t="shared" si="29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15"/>
        <v>0</v>
      </c>
      <c r="E44" s="54">
        <f t="shared" si="16"/>
        <v>0</v>
      </c>
      <c r="F44" s="232" t="str">
        <f t="shared" si="17"/>
        <v>***</v>
      </c>
      <c r="G44" s="54"/>
      <c r="H44" s="54">
        <f>+IFERROR(VLOOKUP($A44,'Goals &amp; Budget 2026'!$A$2:$EJ$49,128,FALSE),0)</f>
        <v>0</v>
      </c>
      <c r="I44" s="65" t="str">
        <f t="shared" si="18"/>
        <v>***</v>
      </c>
      <c r="J44" s="54"/>
      <c r="K44" s="54">
        <f>+IFERROR(VLOOKUP($A44,'Goals &amp; Budget 2026'!$A$2:$EJ$49,129,FALSE),0)</f>
        <v>0</v>
      </c>
      <c r="L44" s="65" t="str">
        <f t="shared" si="19"/>
        <v>***</v>
      </c>
      <c r="M44" s="54"/>
      <c r="N44" s="54">
        <f>+IFERROR(VLOOKUP($A44,'Goals &amp; Budget 2026'!$A$2:$EJ$49,130,FALSE),0)</f>
        <v>0</v>
      </c>
      <c r="O44" s="232" t="str">
        <f t="shared" si="20"/>
        <v>***</v>
      </c>
      <c r="P44" s="54"/>
      <c r="Q44" s="54">
        <f>+IFERROR(VLOOKUP($A44,'Goals &amp; Budget 2026'!$A$2:$EJ$49,131,FALSE),0)</f>
        <v>0</v>
      </c>
      <c r="R44" s="65" t="str">
        <f t="shared" si="21"/>
        <v>***</v>
      </c>
      <c r="S44" s="54"/>
      <c r="T44" s="54">
        <f>+IFERROR(VLOOKUP($A44,'Goals &amp; Budget 2026'!$A$2:$EJ$49,132,FALSE),0)</f>
        <v>0</v>
      </c>
      <c r="U44" s="65" t="str">
        <f t="shared" si="22"/>
        <v>***</v>
      </c>
      <c r="V44" s="54"/>
      <c r="W44" s="54">
        <f>+IFERROR(VLOOKUP($A44,'Goals &amp; Budget 2026'!$A$2:$EJ$49,133,FALSE),0)</f>
        <v>0</v>
      </c>
      <c r="X44" s="232" t="str">
        <f t="shared" si="23"/>
        <v>***</v>
      </c>
      <c r="Y44" s="54"/>
      <c r="Z44" s="54">
        <f>+IFERROR(VLOOKUP($A44,'Goals &amp; Budget 2026'!$A$2:$EJ$49,134,FALSE),0)</f>
        <v>0</v>
      </c>
      <c r="AA44" s="65" t="str">
        <f t="shared" si="24"/>
        <v>***</v>
      </c>
      <c r="AB44" s="54"/>
      <c r="AC44" s="54">
        <f>+IFERROR(VLOOKUP($A44,'Goals &amp; Budget 2026'!$A$2:$EJ$49,135,FALSE),0)</f>
        <v>0</v>
      </c>
      <c r="AD44" s="65" t="str">
        <f t="shared" si="25"/>
        <v>***</v>
      </c>
      <c r="AE44" s="54"/>
      <c r="AF44" s="54">
        <f>+IFERROR(VLOOKUP($A44,'Goals &amp; Budget 2026'!$A$2:$EJ$49,136,FALSE),0)</f>
        <v>0</v>
      </c>
      <c r="AG44" s="232" t="str">
        <f t="shared" si="26"/>
        <v>***</v>
      </c>
      <c r="AH44" s="54"/>
      <c r="AI44" s="54">
        <f>+IFERROR(VLOOKUP($A44,'Goals &amp; Budget 2026'!$A$2:$EJ$49,137,FALSE),0)</f>
        <v>0</v>
      </c>
      <c r="AJ44" s="65" t="str">
        <f t="shared" si="27"/>
        <v>***</v>
      </c>
      <c r="AK44" s="54"/>
      <c r="AL44" s="54">
        <f>+IFERROR(VLOOKUP($A44,'Goals &amp; Budget 2026'!$A$2:$EJ$49,138,FALSE),0)</f>
        <v>0</v>
      </c>
      <c r="AM44" s="65" t="str">
        <f t="shared" si="28"/>
        <v>***</v>
      </c>
      <c r="AN44" s="54"/>
      <c r="AO44" s="54">
        <f>+IFERROR(VLOOKUP($A44,'Goals &amp; Budget 2026'!$A$2:$EJ$49,139,FALSE),0)</f>
        <v>0</v>
      </c>
      <c r="AP44" s="66" t="str">
        <f t="shared" si="29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15"/>
        <v>0</v>
      </c>
      <c r="E45" s="54">
        <f t="shared" si="16"/>
        <v>0</v>
      </c>
      <c r="F45" s="232" t="str">
        <f t="shared" si="17"/>
        <v>***</v>
      </c>
      <c r="G45" s="54"/>
      <c r="H45" s="54">
        <f>+IFERROR(VLOOKUP($A45,'Goals &amp; Budget 2026'!$A$2:$EJ$49,128,FALSE),0)</f>
        <v>0</v>
      </c>
      <c r="I45" s="65" t="str">
        <f t="shared" si="18"/>
        <v>***</v>
      </c>
      <c r="J45" s="54"/>
      <c r="K45" s="54">
        <f>+IFERROR(VLOOKUP($A45,'Goals &amp; Budget 2026'!$A$2:$EJ$49,129,FALSE),0)</f>
        <v>0</v>
      </c>
      <c r="L45" s="65" t="str">
        <f t="shared" si="19"/>
        <v>***</v>
      </c>
      <c r="M45" s="54"/>
      <c r="N45" s="54">
        <f>+IFERROR(VLOOKUP($A45,'Goals &amp; Budget 2026'!$A$2:$EJ$49,130,FALSE),0)</f>
        <v>0</v>
      </c>
      <c r="O45" s="232" t="str">
        <f t="shared" si="20"/>
        <v>***</v>
      </c>
      <c r="P45" s="54"/>
      <c r="Q45" s="54">
        <f>+IFERROR(VLOOKUP($A45,'Goals &amp; Budget 2026'!$A$2:$EJ$49,131,FALSE),0)</f>
        <v>0</v>
      </c>
      <c r="R45" s="65" t="str">
        <f t="shared" si="21"/>
        <v>***</v>
      </c>
      <c r="S45" s="54"/>
      <c r="T45" s="54">
        <f>+IFERROR(VLOOKUP($A45,'Goals &amp; Budget 2026'!$A$2:$EJ$49,132,FALSE),0)</f>
        <v>0</v>
      </c>
      <c r="U45" s="65" t="str">
        <f t="shared" si="22"/>
        <v>***</v>
      </c>
      <c r="V45" s="54"/>
      <c r="W45" s="54">
        <f>+IFERROR(VLOOKUP($A45,'Goals &amp; Budget 2026'!$A$2:$EJ$49,133,FALSE),0)</f>
        <v>0</v>
      </c>
      <c r="X45" s="232" t="str">
        <f t="shared" si="23"/>
        <v>***</v>
      </c>
      <c r="Y45" s="54"/>
      <c r="Z45" s="54">
        <f>+IFERROR(VLOOKUP($A45,'Goals &amp; Budget 2026'!$A$2:$EJ$49,134,FALSE),0)</f>
        <v>0</v>
      </c>
      <c r="AA45" s="65" t="str">
        <f t="shared" si="24"/>
        <v>***</v>
      </c>
      <c r="AB45" s="54"/>
      <c r="AC45" s="54">
        <f>+IFERROR(VLOOKUP($A45,'Goals &amp; Budget 2026'!$A$2:$EJ$49,135,FALSE),0)</f>
        <v>0</v>
      </c>
      <c r="AD45" s="65" t="str">
        <f t="shared" si="25"/>
        <v>***</v>
      </c>
      <c r="AE45" s="54"/>
      <c r="AF45" s="54">
        <f>+IFERROR(VLOOKUP($A45,'Goals &amp; Budget 2026'!$A$2:$EJ$49,136,FALSE),0)</f>
        <v>0</v>
      </c>
      <c r="AG45" s="232" t="str">
        <f t="shared" si="26"/>
        <v>***</v>
      </c>
      <c r="AH45" s="54"/>
      <c r="AI45" s="54">
        <f>+IFERROR(VLOOKUP($A45,'Goals &amp; Budget 2026'!$A$2:$EJ$49,137,FALSE),0)</f>
        <v>0</v>
      </c>
      <c r="AJ45" s="65" t="str">
        <f t="shared" si="27"/>
        <v>***</v>
      </c>
      <c r="AK45" s="54"/>
      <c r="AL45" s="54">
        <f>+IFERROR(VLOOKUP($A45,'Goals &amp; Budget 2026'!$A$2:$EJ$49,138,FALSE),0)</f>
        <v>0</v>
      </c>
      <c r="AM45" s="65" t="str">
        <f t="shared" si="28"/>
        <v>***</v>
      </c>
      <c r="AN45" s="54"/>
      <c r="AO45" s="54">
        <f>+IFERROR(VLOOKUP($A45,'Goals &amp; Budget 2026'!$A$2:$EJ$49,139,FALSE),0)</f>
        <v>0</v>
      </c>
      <c r="AP45" s="66" t="str">
        <f t="shared" si="29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1">
        <f t="shared" si="15"/>
        <v>0</v>
      </c>
      <c r="E46" s="54">
        <f t="shared" si="16"/>
        <v>0</v>
      </c>
      <c r="F46" s="232" t="str">
        <f t="shared" si="17"/>
        <v>***</v>
      </c>
      <c r="G46" s="54"/>
      <c r="H46" s="54">
        <f>+IFERROR(VLOOKUP($A46,'Goals &amp; Budget 2026'!$A$2:$EJ$49,128,FALSE),0)</f>
        <v>0</v>
      </c>
      <c r="I46" s="65" t="str">
        <f t="shared" si="18"/>
        <v>***</v>
      </c>
      <c r="J46" s="54"/>
      <c r="K46" s="54">
        <f>+IFERROR(VLOOKUP($A46,'Goals &amp; Budget 2026'!$A$2:$EJ$49,129,FALSE),0)</f>
        <v>0</v>
      </c>
      <c r="L46" s="65" t="str">
        <f t="shared" si="19"/>
        <v>***</v>
      </c>
      <c r="M46" s="54"/>
      <c r="N46" s="54">
        <f>+IFERROR(VLOOKUP($A46,'Goals &amp; Budget 2026'!$A$2:$EJ$49,130,FALSE),0)</f>
        <v>0</v>
      </c>
      <c r="O46" s="232" t="str">
        <f t="shared" si="20"/>
        <v>***</v>
      </c>
      <c r="P46" s="54"/>
      <c r="Q46" s="54">
        <f>+IFERROR(VLOOKUP($A46,'Goals &amp; Budget 2026'!$A$2:$EJ$49,131,FALSE),0)</f>
        <v>0</v>
      </c>
      <c r="R46" s="65" t="str">
        <f t="shared" si="21"/>
        <v>***</v>
      </c>
      <c r="S46" s="54"/>
      <c r="T46" s="54">
        <f>+IFERROR(VLOOKUP($A46,'Goals &amp; Budget 2026'!$A$2:$EJ$49,132,FALSE),0)</f>
        <v>0</v>
      </c>
      <c r="U46" s="65" t="str">
        <f t="shared" si="22"/>
        <v>***</v>
      </c>
      <c r="V46" s="54"/>
      <c r="W46" s="54">
        <f>+IFERROR(VLOOKUP($A46,'Goals &amp; Budget 2026'!$A$2:$EJ$49,133,FALSE),0)</f>
        <v>0</v>
      </c>
      <c r="X46" s="232" t="str">
        <f t="shared" si="23"/>
        <v>***</v>
      </c>
      <c r="Y46" s="54"/>
      <c r="Z46" s="54">
        <f>+IFERROR(VLOOKUP($A46,'Goals &amp; Budget 2026'!$A$2:$EJ$49,134,FALSE),0)</f>
        <v>0</v>
      </c>
      <c r="AA46" s="65" t="str">
        <f t="shared" si="24"/>
        <v>***</v>
      </c>
      <c r="AB46" s="54"/>
      <c r="AC46" s="54">
        <f>+IFERROR(VLOOKUP($A46,'Goals &amp; Budget 2026'!$A$2:$EJ$49,135,FALSE),0)</f>
        <v>0</v>
      </c>
      <c r="AD46" s="65" t="str">
        <f t="shared" si="25"/>
        <v>***</v>
      </c>
      <c r="AE46" s="54"/>
      <c r="AF46" s="54">
        <f>+IFERROR(VLOOKUP($A46,'Goals &amp; Budget 2026'!$A$2:$EJ$49,136,FALSE),0)</f>
        <v>0</v>
      </c>
      <c r="AG46" s="232" t="str">
        <f t="shared" si="26"/>
        <v>***</v>
      </c>
      <c r="AH46" s="54"/>
      <c r="AI46" s="54">
        <f>+IFERROR(VLOOKUP($A46,'Goals &amp; Budget 2026'!$A$2:$EJ$49,137,FALSE),0)</f>
        <v>0</v>
      </c>
      <c r="AJ46" s="65" t="str">
        <f t="shared" si="27"/>
        <v>***</v>
      </c>
      <c r="AK46" s="54"/>
      <c r="AL46" s="54">
        <f>+IFERROR(VLOOKUP($A46,'Goals &amp; Budget 2026'!$A$2:$EJ$49,138,FALSE),0)</f>
        <v>0</v>
      </c>
      <c r="AM46" s="65" t="str">
        <f t="shared" si="28"/>
        <v>***</v>
      </c>
      <c r="AN46" s="54"/>
      <c r="AO46" s="54">
        <f>+IFERROR(VLOOKUP($A46,'Goals &amp; Budget 2026'!$A$2:$EJ$49,139,FALSE),0)</f>
        <v>0</v>
      </c>
      <c r="AP46" s="66" t="str">
        <f t="shared" si="29"/>
        <v>***</v>
      </c>
    </row>
    <row r="47" spans="1:42" ht="20.100000000000001" customHeight="1" thickBot="1" x14ac:dyDescent="0.3">
      <c r="A47" s="233" t="s">
        <v>106</v>
      </c>
      <c r="B47" s="234">
        <v>1</v>
      </c>
      <c r="C47" s="235">
        <v>378</v>
      </c>
      <c r="D47" s="51">
        <f t="shared" si="15"/>
        <v>0</v>
      </c>
      <c r="E47" s="54">
        <f t="shared" si="16"/>
        <v>0</v>
      </c>
      <c r="F47" s="232" t="str">
        <f t="shared" si="17"/>
        <v>***</v>
      </c>
      <c r="G47" s="54"/>
      <c r="H47" s="54">
        <f>+IFERROR(VLOOKUP($A47,'Goals &amp; Budget 2026'!$A$2:$EJ$49,128,FALSE),0)</f>
        <v>0</v>
      </c>
      <c r="I47" s="65" t="str">
        <f t="shared" si="18"/>
        <v>***</v>
      </c>
      <c r="J47" s="54"/>
      <c r="K47" s="54">
        <f>+IFERROR(VLOOKUP($A47,'Goals &amp; Budget 2026'!$A$2:$EJ$49,129,FALSE),0)</f>
        <v>0</v>
      </c>
      <c r="L47" s="65" t="str">
        <f t="shared" si="19"/>
        <v>***</v>
      </c>
      <c r="M47" s="54"/>
      <c r="N47" s="54">
        <f>+IFERROR(VLOOKUP($A47,'Goals &amp; Budget 2026'!$A$2:$EJ$49,130,FALSE),0)</f>
        <v>0</v>
      </c>
      <c r="O47" s="232" t="str">
        <f t="shared" si="20"/>
        <v>***</v>
      </c>
      <c r="P47" s="54"/>
      <c r="Q47" s="54">
        <f>+IFERROR(VLOOKUP($A47,'Goals &amp; Budget 2026'!$A$2:$EJ$49,131,FALSE),0)</f>
        <v>0</v>
      </c>
      <c r="R47" s="65" t="str">
        <f t="shared" si="21"/>
        <v>***</v>
      </c>
      <c r="S47" s="54"/>
      <c r="T47" s="54">
        <f>+IFERROR(VLOOKUP($A47,'Goals &amp; Budget 2026'!$A$2:$EJ$49,132,FALSE),0)</f>
        <v>0</v>
      </c>
      <c r="U47" s="65" t="str">
        <f t="shared" si="22"/>
        <v>***</v>
      </c>
      <c r="V47" s="54"/>
      <c r="W47" s="54">
        <f>+IFERROR(VLOOKUP($A47,'Goals &amp; Budget 2026'!$A$2:$EJ$49,133,FALSE),0)</f>
        <v>0</v>
      </c>
      <c r="X47" s="232" t="str">
        <f t="shared" si="23"/>
        <v>***</v>
      </c>
      <c r="Y47" s="54"/>
      <c r="Z47" s="54">
        <f>+IFERROR(VLOOKUP($A47,'Goals &amp; Budget 2026'!$A$2:$EJ$49,134,FALSE),0)</f>
        <v>0</v>
      </c>
      <c r="AA47" s="65" t="str">
        <f t="shared" si="24"/>
        <v>***</v>
      </c>
      <c r="AB47" s="54"/>
      <c r="AC47" s="54">
        <f>+IFERROR(VLOOKUP($A47,'Goals &amp; Budget 2026'!$A$2:$EJ$49,135,FALSE),0)</f>
        <v>0</v>
      </c>
      <c r="AD47" s="65" t="str">
        <f t="shared" si="25"/>
        <v>***</v>
      </c>
      <c r="AE47" s="54"/>
      <c r="AF47" s="54">
        <f>+IFERROR(VLOOKUP($A47,'Goals &amp; Budget 2026'!$A$2:$EJ$49,136,FALSE),0)</f>
        <v>0</v>
      </c>
      <c r="AG47" s="232" t="str">
        <f t="shared" si="26"/>
        <v>***</v>
      </c>
      <c r="AH47" s="54"/>
      <c r="AI47" s="54">
        <f>+IFERROR(VLOOKUP($A47,'Goals &amp; Budget 2026'!$A$2:$EJ$49,137,FALSE),0)</f>
        <v>0</v>
      </c>
      <c r="AJ47" s="65" t="str">
        <f t="shared" si="27"/>
        <v>***</v>
      </c>
      <c r="AK47" s="54"/>
      <c r="AL47" s="54">
        <f>+IFERROR(VLOOKUP($A47,'Goals &amp; Budget 2026'!$A$2:$EJ$49,138,FALSE),0)</f>
        <v>0</v>
      </c>
      <c r="AM47" s="65" t="str">
        <f t="shared" si="28"/>
        <v>***</v>
      </c>
      <c r="AN47" s="54"/>
      <c r="AO47" s="54">
        <f>+IFERROR(VLOOKUP($A47,'Goals &amp; Budget 2026'!$A$2:$EJ$49,139,FALSE),0)</f>
        <v>0</v>
      </c>
      <c r="AP47" s="66" t="str">
        <f t="shared" si="29"/>
        <v>***</v>
      </c>
    </row>
    <row r="48" spans="1:42" ht="20.100000000000001" customHeight="1" x14ac:dyDescent="0.25">
      <c r="A48" s="172" t="s">
        <v>12</v>
      </c>
      <c r="B48" s="173"/>
      <c r="C48" s="236"/>
      <c r="D48" s="125">
        <f>+SUM(D3:D47)</f>
        <v>0</v>
      </c>
      <c r="E48" s="126">
        <f>+SUM(E3:E47)</f>
        <v>0</v>
      </c>
      <c r="F48" s="237" t="str">
        <f t="shared" ref="F48" si="30">IF(AND(D48&gt;0,E48&gt;0),D48/E48,IF(AND(D48&gt;0,E48=0),100%,IF(AND(D48=0,E48&gt;0),0,IF(AND(D48=0,E48=0),"***",0))))</f>
        <v>***</v>
      </c>
      <c r="G48" s="126">
        <f>+SUM(G3:G47)</f>
        <v>0</v>
      </c>
      <c r="H48" s="126">
        <f>+SUM(H3:H47)</f>
        <v>0</v>
      </c>
      <c r="I48" s="238" t="str">
        <f t="shared" ref="I48:I49" si="31">IF(AND(G48&gt;0,H48&gt;0),G48/H48,IF(AND(G48&gt;0,H48=0),100%,IF(AND(G48=0,H48&gt;0),0,IF(AND(G48=0,H48=0),"***",0))))</f>
        <v>***</v>
      </c>
      <c r="J48" s="126">
        <f>+SUM(J3:J47)</f>
        <v>0</v>
      </c>
      <c r="K48" s="126">
        <f>+SUM(K3:K47)</f>
        <v>64</v>
      </c>
      <c r="L48" s="238">
        <f t="shared" ref="L48:L49" si="32">IF(AND(J48&gt;0,K48&gt;0),J48/K48,IF(AND(J48&gt;0,K48=0),100%,IF(AND(J48=0,K48&gt;0),0,IF(AND(J48=0,K48=0),"***",0))))</f>
        <v>0</v>
      </c>
      <c r="M48" s="126">
        <f>+SUM(M3:M47)</f>
        <v>0</v>
      </c>
      <c r="N48" s="126">
        <f>+SUM(N3:N47)</f>
        <v>122</v>
      </c>
      <c r="O48" s="237">
        <f t="shared" ref="O48:O49" si="33">IF(AND(M48&gt;0,N48&gt;0),M48/N48,IF(AND(M48&gt;0,N48=0),100%,IF(AND(M48=0,N48&gt;0),0,IF(AND(M48=0,N48=0),"***",0))))</f>
        <v>0</v>
      </c>
      <c r="P48" s="126">
        <f>+SUM(P3:P47)</f>
        <v>0</v>
      </c>
      <c r="Q48" s="126">
        <f>+SUM(Q3:Q47)</f>
        <v>0</v>
      </c>
      <c r="R48" s="238" t="str">
        <f t="shared" ref="R48:R49" si="34">IF(AND(P48&gt;0,Q48&gt;0),P48/Q48,IF(AND(P48&gt;0,Q48=0),100%,IF(AND(P48=0,Q48&gt;0),0,IF(AND(P48=0,Q48=0),"***",0))))</f>
        <v>***</v>
      </c>
      <c r="S48" s="126">
        <f>+SUM(S3:S47)</f>
        <v>0</v>
      </c>
      <c r="T48" s="126">
        <f>+SUM(T3:T47)</f>
        <v>95</v>
      </c>
      <c r="U48" s="238">
        <f t="shared" ref="U48:U49" si="35">IF(AND(S48&gt;0,T48&gt;0),S48/T48,IF(AND(S48&gt;0,T48=0),100%,IF(AND(S48=0,T48&gt;0),0,IF(AND(S48=0,T48=0),"***",0))))</f>
        <v>0</v>
      </c>
      <c r="V48" s="126">
        <f>+SUM(V3:V47)</f>
        <v>0</v>
      </c>
      <c r="W48" s="126">
        <f>+SUM(W3:W47)</f>
        <v>0</v>
      </c>
      <c r="X48" s="237" t="str">
        <f t="shared" ref="X48:X49" si="36">IF(AND(V48&gt;0,W48&gt;0),V48/W48,IF(AND(V48&gt;0,W48=0),100%,IF(AND(V48=0,W48&gt;0),0,IF(AND(V48=0,W48=0),"***",0))))</f>
        <v>***</v>
      </c>
      <c r="Y48" s="126">
        <f>+SUM(Y3:Y47)</f>
        <v>0</v>
      </c>
      <c r="Z48" s="126">
        <f>+SUM(Z3:Z47)</f>
        <v>54</v>
      </c>
      <c r="AA48" s="238">
        <f t="shared" ref="AA48:AA49" si="37">IF(AND(Y48&gt;0,Z48&gt;0),Y48/Z48,IF(AND(Y48&gt;0,Z48=0),100%,IF(AND(Y48=0,Z48&gt;0),0,IF(AND(Y48=0,Z48=0),"***",0))))</f>
        <v>0</v>
      </c>
      <c r="AB48" s="126">
        <f>+SUM(AB3:AB47)</f>
        <v>0</v>
      </c>
      <c r="AC48" s="126">
        <f>+SUM(AC3:AC47)</f>
        <v>0</v>
      </c>
      <c r="AD48" s="238" t="str">
        <f t="shared" ref="AD48:AD49" si="38">IF(AND(AB48&gt;0,AC48&gt;0),AB48/AC48,IF(AND(AB48&gt;0,AC48=0),100%,IF(AND(AB48=0,AC48&gt;0),0,IF(AND(AB48=0,AC48=0),"***",0))))</f>
        <v>***</v>
      </c>
      <c r="AE48" s="126">
        <f>+SUM(AE3:AE47)</f>
        <v>0</v>
      </c>
      <c r="AF48" s="126">
        <f>+SUM(AF3:AF47)</f>
        <v>0</v>
      </c>
      <c r="AG48" s="237" t="str">
        <f t="shared" ref="AG48:AG49" si="39">IF(AND(AE48&gt;0,AF48&gt;0),AE48/AF48,IF(AND(AE48&gt;0,AF48=0),100%,IF(AND(AE48=0,AF48&gt;0),0,IF(AND(AE48=0,AF48=0),"***",0))))</f>
        <v>***</v>
      </c>
      <c r="AH48" s="126">
        <f>+SUM(AH3:AH47)</f>
        <v>0</v>
      </c>
      <c r="AI48" s="126">
        <f>+SUM(AI3:AI47)</f>
        <v>0</v>
      </c>
      <c r="AJ48" s="238" t="str">
        <f t="shared" ref="AJ48:AJ49" si="40">IF(AND(AH48&gt;0,AI48&gt;0),AH48/AI48,IF(AND(AH48&gt;0,AI48=0),100%,IF(AND(AH48=0,AI48&gt;0),0,IF(AND(AH48=0,AI48=0),"***",0))))</f>
        <v>***</v>
      </c>
      <c r="AK48" s="126">
        <f>+SUM(AK3:AK47)</f>
        <v>0</v>
      </c>
      <c r="AL48" s="126">
        <f>+SUM(AL3:AL47)</f>
        <v>142</v>
      </c>
      <c r="AM48" s="238">
        <f t="shared" ref="AM48:AM49" si="41">IF(AND(AK48&gt;0,AL48&gt;0),AK48/AL48,IF(AND(AK48&gt;0,AL48=0),100%,IF(AND(AK48=0,AL48&gt;0),0,IF(AND(AK48=0,AL48=0),"***",0))))</f>
        <v>0</v>
      </c>
      <c r="AN48" s="126">
        <f>+SUM(AN3:AN47)</f>
        <v>0</v>
      </c>
      <c r="AO48" s="126">
        <f>+SUM(AO3:AO47)</f>
        <v>46</v>
      </c>
      <c r="AP48" s="239">
        <f t="shared" ref="AP48:AP49" si="42">IF(AND(AN48&gt;0,AO48&gt;0),AN48/AO48,IF(AND(AN48&gt;0,AO48=0),100%,IF(AND(AN48=0,AO48&gt;0),0,IF(AND(AN48=0,AO48=0),"***",0))))</f>
        <v>0</v>
      </c>
    </row>
    <row r="49" spans="1:42" ht="20.100000000000001" customHeight="1" thickBot="1" x14ac:dyDescent="0.3">
      <c r="A49" s="240" t="s">
        <v>23</v>
      </c>
      <c r="B49" s="241"/>
      <c r="C49" s="242"/>
      <c r="D49" s="139">
        <f>+SUMPRODUCT(D3:D47,$B$3:$B$47)</f>
        <v>0</v>
      </c>
      <c r="E49" s="140">
        <f>+SUMPRODUCT(E3:E47,$B$3:$B$47)</f>
        <v>0</v>
      </c>
      <c r="F49" s="243" t="str">
        <f>IF(AND(D49&gt;0,E49&gt;0),D49/E49,IF(AND(D49&gt;0,E49=0),100%,IF(AND(D49=0,E49&gt;0),0,IF(AND(D49=0,E49=0),"***",0))))</f>
        <v>***</v>
      </c>
      <c r="G49" s="140">
        <f>+SUMPRODUCT(G3:G47,$B$3:$B$47)</f>
        <v>0</v>
      </c>
      <c r="H49" s="140">
        <f>+SUMPRODUCT(H3:H47,$B$3:$B$47)</f>
        <v>0</v>
      </c>
      <c r="I49" s="244" t="str">
        <f t="shared" si="31"/>
        <v>***</v>
      </c>
      <c r="J49" s="140">
        <f>+SUMPRODUCT(J3:J47,$B$3:$B$47)</f>
        <v>0</v>
      </c>
      <c r="K49" s="140">
        <f>+SUMPRODUCT(K3:K47,$B$3:$B$47)</f>
        <v>64</v>
      </c>
      <c r="L49" s="244">
        <f t="shared" si="32"/>
        <v>0</v>
      </c>
      <c r="M49" s="140">
        <f>+SUMPRODUCT(M3:M47,$B$3:$B$47)</f>
        <v>0</v>
      </c>
      <c r="N49" s="140">
        <f>+SUMPRODUCT(N3:N47,$B$3:$B$47)</f>
        <v>122</v>
      </c>
      <c r="O49" s="243">
        <f t="shared" si="33"/>
        <v>0</v>
      </c>
      <c r="P49" s="140">
        <f>+SUMPRODUCT(P3:P47,$B$3:$B$47)</f>
        <v>0</v>
      </c>
      <c r="Q49" s="140">
        <f>+SUMPRODUCT(Q3:Q47,$B$3:$B$47)</f>
        <v>0</v>
      </c>
      <c r="R49" s="244" t="str">
        <f t="shared" si="34"/>
        <v>***</v>
      </c>
      <c r="S49" s="140">
        <f>+SUMPRODUCT(S3:S47,$B$3:$B$47)</f>
        <v>0</v>
      </c>
      <c r="T49" s="140">
        <f>+SUMPRODUCT(T3:T47,$B$3:$B$47)</f>
        <v>95</v>
      </c>
      <c r="U49" s="244">
        <f t="shared" si="35"/>
        <v>0</v>
      </c>
      <c r="V49" s="140">
        <f>+SUMPRODUCT(V3:V47,$B$3:$B$47)</f>
        <v>0</v>
      </c>
      <c r="W49" s="140">
        <f>+SUMPRODUCT(W3:W47,$B$3:$B$47)</f>
        <v>0</v>
      </c>
      <c r="X49" s="243" t="str">
        <f t="shared" si="36"/>
        <v>***</v>
      </c>
      <c r="Y49" s="140">
        <f>+SUMPRODUCT(Y3:Y47,$B$3:$B$47)</f>
        <v>0</v>
      </c>
      <c r="Z49" s="140">
        <f>+SUMPRODUCT(Z3:Z47,$B$3:$B$47)</f>
        <v>54</v>
      </c>
      <c r="AA49" s="244">
        <f t="shared" si="37"/>
        <v>0</v>
      </c>
      <c r="AB49" s="140">
        <f>+SUMPRODUCT(AB3:AB47,$B$3:$B$47)</f>
        <v>0</v>
      </c>
      <c r="AC49" s="140">
        <f>+SUMPRODUCT(AC3:AC47,$B$3:$B$47)</f>
        <v>0</v>
      </c>
      <c r="AD49" s="244" t="str">
        <f t="shared" si="38"/>
        <v>***</v>
      </c>
      <c r="AE49" s="140">
        <f>+SUMPRODUCT(AE3:AE47,$B$3:$B$47)</f>
        <v>0</v>
      </c>
      <c r="AF49" s="140">
        <f>+SUMPRODUCT(AF3:AF47,$B$3:$B$47)</f>
        <v>0</v>
      </c>
      <c r="AG49" s="243" t="str">
        <f t="shared" si="39"/>
        <v>***</v>
      </c>
      <c r="AH49" s="140">
        <f>+SUMPRODUCT(AH3:AH47,$B$3:$B$47)</f>
        <v>0</v>
      </c>
      <c r="AI49" s="140">
        <f>+SUMPRODUCT(AI3:AI47,$B$3:$B$47)</f>
        <v>0</v>
      </c>
      <c r="AJ49" s="244" t="str">
        <f t="shared" si="40"/>
        <v>***</v>
      </c>
      <c r="AK49" s="140">
        <f>+SUMPRODUCT(AK3:AK47,$B$3:$B$47)</f>
        <v>0</v>
      </c>
      <c r="AL49" s="140">
        <f>+SUMPRODUCT(AL3:AL47,$B$3:$B$47)</f>
        <v>142</v>
      </c>
      <c r="AM49" s="244">
        <f t="shared" si="41"/>
        <v>0</v>
      </c>
      <c r="AN49" s="140">
        <f>+SUMPRODUCT(AN3:AN47,$B$3:$B$47)</f>
        <v>0</v>
      </c>
      <c r="AO49" s="140">
        <f>+SUMPRODUCT(AO3:AO47,$B$3:$B$47)</f>
        <v>46</v>
      </c>
      <c r="AP49" s="245">
        <f t="shared" si="42"/>
        <v>0</v>
      </c>
    </row>
  </sheetData>
  <mergeCells count="16">
    <mergeCell ref="A49:C49"/>
    <mergeCell ref="M1:O1"/>
    <mergeCell ref="P1:R1"/>
    <mergeCell ref="S1:U1"/>
    <mergeCell ref="V1:X1"/>
    <mergeCell ref="A1:C1"/>
    <mergeCell ref="D1:F1"/>
    <mergeCell ref="G1:I1"/>
    <mergeCell ref="J1:L1"/>
    <mergeCell ref="AE1:AG1"/>
    <mergeCell ref="AH1:AJ1"/>
    <mergeCell ref="AK1:AM1"/>
    <mergeCell ref="AN1:AP1"/>
    <mergeCell ref="A48:C48"/>
    <mergeCell ref="Y1:AA1"/>
    <mergeCell ref="AB1:AD1"/>
  </mergeCells>
  <conditionalFormatting sqref="F3:F49 I3:I49 L3:L49 O3:O49 R3:R49 U3:U49 X3:X49 AA3:AA49 AD3:AD49 AG3:AG49 AJ3:AJ49 AM3:AM49 AP3:AP49">
    <cfRule type="cellIs" priority="1" operator="equal">
      <formula>"***"</formula>
    </cfRule>
    <cfRule type="cellIs" dxfId="3" priority="2" operator="lessThan">
      <formula>1</formula>
    </cfRule>
    <cfRule type="cellIs" dxfId="2" priority="3" operator="greaterThanOrEqual">
      <formula>1</formula>
    </cfRule>
  </conditionalFormatting>
  <pageMargins left="0.7" right="0.7" top="0.75" bottom="0.75" header="0.3" footer="0.3"/>
  <ignoredErrors>
    <ignoredError sqref="AJ48:AJ49 AM48:AM49 AG48:AG49 AD48:AD49 AA48:AA49 F49 I48:I49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E3AB-E1C5-46C1-9C1C-E0FC3C41FFCF}">
  <sheetPr>
    <tabColor theme="8" tint="0.59999389629810485"/>
  </sheetPr>
  <dimension ref="A1:AP49"/>
  <sheetViews>
    <sheetView showGridLines="0" zoomScale="70" zoomScaleNormal="70" workbookViewId="0">
      <pane xSplit="6" ySplit="2" topLeftCell="I24" activePane="bottomRight" state="frozen"/>
      <selection pane="topRight" activeCell="G1" sqref="G1"/>
      <selection pane="bottomLeft" activeCell="A3" sqref="A3"/>
      <selection pane="bottomRight" activeCell="A37" sqref="A1:AP49"/>
    </sheetView>
  </sheetViews>
  <sheetFormatPr defaultRowHeight="20.100000000000001" customHeight="1" x14ac:dyDescent="0.25"/>
  <cols>
    <col min="1" max="1" width="15.85546875" style="1" bestFit="1" customWidth="1"/>
    <col min="2" max="2" width="7.140625" style="1" bestFit="1" customWidth="1"/>
    <col min="3" max="3" width="9.28515625" style="1" bestFit="1" customWidth="1"/>
    <col min="4" max="16384" width="9.140625" style="1"/>
  </cols>
  <sheetData>
    <row r="1" spans="1:42" ht="20.100000000000001" customHeight="1" x14ac:dyDescent="0.25">
      <c r="A1" s="169" t="s">
        <v>44</v>
      </c>
      <c r="B1" s="170"/>
      <c r="C1" s="171"/>
      <c r="D1" s="212" t="str">
        <f>+'KPIs - Schematics'!D1</f>
        <v>Accumulated - 1-01/2026</v>
      </c>
      <c r="E1" s="213"/>
      <c r="F1" s="214"/>
      <c r="G1" s="215">
        <f>+'KPIs - Sales Launch'!G1</f>
        <v>46023</v>
      </c>
      <c r="H1" s="216"/>
      <c r="I1" s="217"/>
      <c r="J1" s="215">
        <f>+'KPIs - Sales Launch'!J1</f>
        <v>46054</v>
      </c>
      <c r="K1" s="216"/>
      <c r="L1" s="217"/>
      <c r="M1" s="215">
        <f>+'KPIs - Sales Launch'!M1</f>
        <v>46082</v>
      </c>
      <c r="N1" s="216"/>
      <c r="O1" s="218"/>
      <c r="P1" s="215">
        <f>+'KPIs - Sales Launch'!P1</f>
        <v>46113</v>
      </c>
      <c r="Q1" s="216"/>
      <c r="R1" s="217"/>
      <c r="S1" s="215">
        <f>+'KPIs - Sales Launch'!S1</f>
        <v>46143</v>
      </c>
      <c r="T1" s="216"/>
      <c r="U1" s="217"/>
      <c r="V1" s="215">
        <f>+'KPIs - Sales Launch'!V1</f>
        <v>46174</v>
      </c>
      <c r="W1" s="216"/>
      <c r="X1" s="218"/>
      <c r="Y1" s="215">
        <f>+'KPIs - Sales Launch'!Y1</f>
        <v>46204</v>
      </c>
      <c r="Z1" s="216"/>
      <c r="AA1" s="217"/>
      <c r="AB1" s="215">
        <f>+'KPIs - Sales Launch'!AB1</f>
        <v>46235</v>
      </c>
      <c r="AC1" s="216"/>
      <c r="AD1" s="217"/>
      <c r="AE1" s="215">
        <f>+'KPIs - Sales Launch'!AE1</f>
        <v>46266</v>
      </c>
      <c r="AF1" s="216"/>
      <c r="AG1" s="218"/>
      <c r="AH1" s="215">
        <f>+'KPIs - Sales Launch'!AH1</f>
        <v>46296</v>
      </c>
      <c r="AI1" s="216"/>
      <c r="AJ1" s="217"/>
      <c r="AK1" s="215">
        <f>+'KPIs - Sales Launch'!AK1</f>
        <v>46327</v>
      </c>
      <c r="AL1" s="216"/>
      <c r="AM1" s="217"/>
      <c r="AN1" s="215">
        <f>+'KPIs - Sales Launch'!AN1</f>
        <v>46357</v>
      </c>
      <c r="AO1" s="216"/>
      <c r="AP1" s="219"/>
    </row>
    <row r="2" spans="1:42" ht="20.100000000000001" customHeight="1" thickBot="1" x14ac:dyDescent="0.3">
      <c r="A2" s="220" t="s">
        <v>0</v>
      </c>
      <c r="B2" s="221" t="s">
        <v>22</v>
      </c>
      <c r="C2" s="222" t="s">
        <v>1</v>
      </c>
      <c r="D2" s="223" t="s">
        <v>40</v>
      </c>
      <c r="E2" s="224" t="s">
        <v>41</v>
      </c>
      <c r="F2" s="225" t="s">
        <v>42</v>
      </c>
      <c r="G2" s="226" t="s">
        <v>40</v>
      </c>
      <c r="H2" s="226" t="s">
        <v>41</v>
      </c>
      <c r="I2" s="227" t="s">
        <v>42</v>
      </c>
      <c r="J2" s="226" t="s">
        <v>40</v>
      </c>
      <c r="K2" s="226" t="s">
        <v>41</v>
      </c>
      <c r="L2" s="227" t="s">
        <v>42</v>
      </c>
      <c r="M2" s="226" t="s">
        <v>40</v>
      </c>
      <c r="N2" s="226" t="s">
        <v>41</v>
      </c>
      <c r="O2" s="228" t="s">
        <v>42</v>
      </c>
      <c r="P2" s="226" t="s">
        <v>40</v>
      </c>
      <c r="Q2" s="226" t="s">
        <v>41</v>
      </c>
      <c r="R2" s="227" t="s">
        <v>42</v>
      </c>
      <c r="S2" s="226" t="s">
        <v>40</v>
      </c>
      <c r="T2" s="226" t="s">
        <v>41</v>
      </c>
      <c r="U2" s="227" t="s">
        <v>42</v>
      </c>
      <c r="V2" s="226" t="s">
        <v>40</v>
      </c>
      <c r="W2" s="226" t="s">
        <v>41</v>
      </c>
      <c r="X2" s="228" t="s">
        <v>42</v>
      </c>
      <c r="Y2" s="226" t="s">
        <v>40</v>
      </c>
      <c r="Z2" s="226" t="s">
        <v>41</v>
      </c>
      <c r="AA2" s="227" t="s">
        <v>42</v>
      </c>
      <c r="AB2" s="226" t="s">
        <v>40</v>
      </c>
      <c r="AC2" s="226" t="s">
        <v>41</v>
      </c>
      <c r="AD2" s="227" t="s">
        <v>42</v>
      </c>
      <c r="AE2" s="226" t="s">
        <v>40</v>
      </c>
      <c r="AF2" s="226" t="s">
        <v>41</v>
      </c>
      <c r="AG2" s="228" t="s">
        <v>42</v>
      </c>
      <c r="AH2" s="226" t="s">
        <v>40</v>
      </c>
      <c r="AI2" s="226" t="s">
        <v>41</v>
      </c>
      <c r="AJ2" s="227" t="s">
        <v>42</v>
      </c>
      <c r="AK2" s="226" t="s">
        <v>40</v>
      </c>
      <c r="AL2" s="226" t="s">
        <v>41</v>
      </c>
      <c r="AM2" s="227" t="s">
        <v>42</v>
      </c>
      <c r="AN2" s="226" t="s">
        <v>40</v>
      </c>
      <c r="AO2" s="226" t="s">
        <v>41</v>
      </c>
      <c r="AP2" s="229" t="s">
        <v>42</v>
      </c>
    </row>
    <row r="3" spans="1:42" ht="20.100000000000001" customHeight="1" x14ac:dyDescent="0.25">
      <c r="A3" s="35" t="s">
        <v>18</v>
      </c>
      <c r="B3" s="36">
        <v>1</v>
      </c>
      <c r="C3" s="37">
        <v>30</v>
      </c>
      <c r="D3" s="35">
        <f>+G3</f>
        <v>0</v>
      </c>
      <c r="E3" s="38">
        <f>+H3</f>
        <v>0</v>
      </c>
      <c r="F3" s="230" t="str">
        <f>IF(AND(D3&gt;0,E3&gt;0),D3/E3,IF(AND(D3&gt;0,E3=0),100%,IF(AND(D3=0,E3&gt;0),0,IF(AND(D3=0,E3=0),"***",0))))</f>
        <v>***</v>
      </c>
      <c r="G3" s="38"/>
      <c r="H3" s="38">
        <f>+IFERROR(VLOOKUP($A3,'Goals &amp; Budget 2026'!$A$2:$EJ$49,141,FALSE),0)</f>
        <v>0</v>
      </c>
      <c r="I3" s="49" t="str">
        <f>IF(AND(G3&gt;0,H3&gt;0),G3/H3,IF(AND(G3&gt;0,H3=0),100%,IF(AND(G3=0,H3&gt;0),0,IF(AND(G3=0,H3=0),"***",0))))</f>
        <v>***</v>
      </c>
      <c r="J3" s="38"/>
      <c r="K3" s="38">
        <f>+IFERROR(VLOOKUP($A3,'Goals &amp; Budget 2026'!$A$2:$EJ$49,142,FALSE),0)</f>
        <v>0</v>
      </c>
      <c r="L3" s="49" t="str">
        <f>IF(AND(J3&gt;0,K3&gt;0),J3/K3,IF(AND(J3&gt;0,K3=0),100%,IF(AND(J3=0,K3&gt;0),0,IF(AND(J3=0,K3=0),"***",0))))</f>
        <v>***</v>
      </c>
      <c r="M3" s="38"/>
      <c r="N3" s="38">
        <f>+IFERROR(VLOOKUP($A3,'Goals &amp; Budget 2026'!$A$2:$EJ$49,143,FALSE),0)</f>
        <v>0</v>
      </c>
      <c r="O3" s="230" t="str">
        <f>IF(AND(M3&gt;0,N3&gt;0),M3/N3,IF(AND(M3&gt;0,N3=0),100%,IF(AND(M3=0,N3&gt;0),0,IF(AND(M3=0,N3=0),"***",0))))</f>
        <v>***</v>
      </c>
      <c r="P3" s="38"/>
      <c r="Q3" s="38">
        <f>+IFERROR(VLOOKUP($A3,'Goals &amp; Budget 2026'!$A$2:$EJ$49,144,FALSE),0)</f>
        <v>0</v>
      </c>
      <c r="R3" s="49" t="str">
        <f>IF(AND(P3&gt;0,Q3&gt;0),P3/Q3,IF(AND(P3&gt;0,Q3=0),100%,IF(AND(P3=0,Q3&gt;0),0,IF(AND(P3=0,Q3=0),"***",0))))</f>
        <v>***</v>
      </c>
      <c r="S3" s="38"/>
      <c r="T3" s="38">
        <f>+IFERROR(VLOOKUP($A3,'Goals &amp; Budget 2026'!$A$2:$EJ$49,145,FALSE),0)</f>
        <v>0</v>
      </c>
      <c r="U3" s="49" t="str">
        <f>IF(AND(S3&gt;0,T3&gt;0),S3/T3,IF(AND(S3&gt;0,T3=0),100%,IF(AND(S3=0,T3&gt;0),0,IF(AND(S3=0,T3=0),"***",0))))</f>
        <v>***</v>
      </c>
      <c r="V3" s="38"/>
      <c r="W3" s="38">
        <f>+IFERROR(VLOOKUP($A3,'Goals &amp; Budget 2026'!$A$2:$EJ$49,146,FALSE),0)</f>
        <v>0</v>
      </c>
      <c r="X3" s="230" t="str">
        <f>IF(AND(V3&gt;0,W3&gt;0),V3/W3,IF(AND(V3&gt;0,W3=0),100%,IF(AND(V3=0,W3&gt;0),0,IF(AND(V3=0,W3=0),"***",0))))</f>
        <v>***</v>
      </c>
      <c r="Y3" s="38"/>
      <c r="Z3" s="38">
        <f>+IFERROR(VLOOKUP($A3,'Goals &amp; Budget 2026'!$A$2:$EJ$49,147,FALSE),0)</f>
        <v>0</v>
      </c>
      <c r="AA3" s="49" t="str">
        <f>IF(AND(Y3&gt;0,Z3&gt;0),Y3/Z3,IF(AND(Y3&gt;0,Z3=0),100%,IF(AND(Y3=0,Z3&gt;0),0,IF(AND(Y3=0,Z3=0),"***",0))))</f>
        <v>***</v>
      </c>
      <c r="AB3" s="38"/>
      <c r="AC3" s="38">
        <f>+IFERROR(VLOOKUP($A3,'Goals &amp; Budget 2026'!$A$2:$EJ$49,148,FALSE),0)</f>
        <v>0</v>
      </c>
      <c r="AD3" s="49" t="str">
        <f>IF(AND(AB3&gt;0,AC3&gt;0),AB3/AC3,IF(AND(AB3&gt;0,AC3=0),100%,IF(AND(AB3=0,AC3&gt;0),0,IF(AND(AB3=0,AC3=0),"***",0))))</f>
        <v>***</v>
      </c>
      <c r="AE3" s="38"/>
      <c r="AF3" s="38">
        <f>+IFERROR(VLOOKUP($A3,'Goals &amp; Budget 2026'!$A$2:$EJ$49,149,FALSE),0)</f>
        <v>0</v>
      </c>
      <c r="AG3" s="230" t="str">
        <f>IF(AND(AE3&gt;0,AF3&gt;0),AE3/AF3,IF(AND(AE3&gt;0,AF3=0),100%,IF(AND(AE3=0,AF3&gt;0),0,IF(AND(AE3=0,AF3=0),"***",0))))</f>
        <v>***</v>
      </c>
      <c r="AH3" s="38"/>
      <c r="AI3" s="38">
        <f>+IFERROR(VLOOKUP($A3,'Goals &amp; Budget 2026'!$A$2:$EJ$49,150,FALSE),0)</f>
        <v>0</v>
      </c>
      <c r="AJ3" s="49" t="str">
        <f>IF(AND(AH3&gt;0,AI3&gt;0),AH3/AI3,IF(AND(AH3&gt;0,AI3=0),100%,IF(AND(AH3=0,AI3&gt;0),0,IF(AND(AH3=0,AI3=0),"***",0))))</f>
        <v>***</v>
      </c>
      <c r="AK3" s="38"/>
      <c r="AL3" s="38">
        <f>+IFERROR(VLOOKUP($A3,'Goals &amp; Budget 2026'!$A$2:$EJ$49,151,FALSE),0)</f>
        <v>0</v>
      </c>
      <c r="AM3" s="49" t="str">
        <f>IF(AND(AK3&gt;0,AL3&gt;0),AK3/AL3,IF(AND(AK3&gt;0,AL3=0),100%,IF(AND(AK3=0,AL3&gt;0),0,IF(AND(AK3=0,AL3=0),"***",0))))</f>
        <v>***</v>
      </c>
      <c r="AN3" s="38"/>
      <c r="AO3" s="38">
        <f>+IFERROR(VLOOKUP($A3,'Goals &amp; Budget 2026'!$A$2:$EJ$49,152,FALSE),0)</f>
        <v>0</v>
      </c>
      <c r="AP3" s="50" t="str">
        <f>IF(AND(AN3&gt;0,AO3&gt;0),AN3/AO3,IF(AND(AN3&gt;0,AO3=0),100%,IF(AND(AN3=0,AO3&gt;0),0,IF(AND(AN3=0,AO3=0),"***",0))))</f>
        <v>***</v>
      </c>
    </row>
    <row r="4" spans="1:42" ht="20.100000000000001" customHeight="1" x14ac:dyDescent="0.25">
      <c r="A4" s="70" t="s">
        <v>68</v>
      </c>
      <c r="B4" s="71">
        <v>1</v>
      </c>
      <c r="C4" s="72">
        <v>25</v>
      </c>
      <c r="D4" s="70">
        <f t="shared" ref="D4:D38" si="0">+G4</f>
        <v>0</v>
      </c>
      <c r="E4" s="73">
        <f t="shared" ref="E4:E38" si="1">+H4</f>
        <v>0</v>
      </c>
      <c r="F4" s="231" t="str">
        <f t="shared" ref="F4:F38" si="2">IF(AND(D4&gt;0,E4&gt;0),D4/E4,IF(AND(D4&gt;0,E4=0),100%,IF(AND(D4=0,E4&gt;0),0,IF(AND(D4=0,E4=0),"***",0))))</f>
        <v>***</v>
      </c>
      <c r="G4" s="73"/>
      <c r="H4" s="73">
        <f>+IFERROR(VLOOKUP($A4,'Goals &amp; Budget 2026'!$A$2:$EJ$49,141,FALSE),0)</f>
        <v>0</v>
      </c>
      <c r="I4" s="84" t="str">
        <f t="shared" ref="I4:I38" si="3">IF(AND(G4&gt;0,H4&gt;0),G4/H4,IF(AND(G4&gt;0,H4=0),100%,IF(AND(G4=0,H4&gt;0),0,IF(AND(G4=0,H4=0),"***",0))))</f>
        <v>***</v>
      </c>
      <c r="J4" s="73"/>
      <c r="K4" s="73">
        <f>+IFERROR(VLOOKUP($A4,'Goals &amp; Budget 2026'!$A$2:$EJ$49,142,FALSE),0)</f>
        <v>0</v>
      </c>
      <c r="L4" s="84" t="str">
        <f t="shared" ref="L4:L38" si="4">IF(AND(J4&gt;0,K4&gt;0),J4/K4,IF(AND(J4&gt;0,K4=0),100%,IF(AND(J4=0,K4&gt;0),0,IF(AND(J4=0,K4=0),"***",0))))</f>
        <v>***</v>
      </c>
      <c r="M4" s="73"/>
      <c r="N4" s="73">
        <f>+IFERROR(VLOOKUP($A4,'Goals &amp; Budget 2026'!$A$2:$EJ$49,143,FALSE),0)</f>
        <v>0</v>
      </c>
      <c r="O4" s="231" t="str">
        <f t="shared" ref="O4:O38" si="5">IF(AND(M4&gt;0,N4&gt;0),M4/N4,IF(AND(M4&gt;0,N4=0),100%,IF(AND(M4=0,N4&gt;0),0,IF(AND(M4=0,N4=0),"***",0))))</f>
        <v>***</v>
      </c>
      <c r="P4" s="73"/>
      <c r="Q4" s="73">
        <f>+IFERROR(VLOOKUP($A4,'Goals &amp; Budget 2026'!$A$2:$EJ$49,144,FALSE),0)</f>
        <v>0</v>
      </c>
      <c r="R4" s="84" t="str">
        <f t="shared" ref="R4:R38" si="6">IF(AND(P4&gt;0,Q4&gt;0),P4/Q4,IF(AND(P4&gt;0,Q4=0),100%,IF(AND(P4=0,Q4&gt;0),0,IF(AND(P4=0,Q4=0),"***",0))))</f>
        <v>***</v>
      </c>
      <c r="S4" s="73"/>
      <c r="T4" s="73">
        <f>+IFERROR(VLOOKUP($A4,'Goals &amp; Budget 2026'!$A$2:$EJ$49,145,FALSE),0)</f>
        <v>0</v>
      </c>
      <c r="U4" s="84" t="str">
        <f t="shared" ref="U4:U38" si="7">IF(AND(S4&gt;0,T4&gt;0),S4/T4,IF(AND(S4&gt;0,T4=0),100%,IF(AND(S4=0,T4&gt;0),0,IF(AND(S4=0,T4=0),"***",0))))</f>
        <v>***</v>
      </c>
      <c r="V4" s="73"/>
      <c r="W4" s="73">
        <f>+IFERROR(VLOOKUP($A4,'Goals &amp; Budget 2026'!$A$2:$EJ$49,146,FALSE),0)</f>
        <v>0</v>
      </c>
      <c r="X4" s="231" t="str">
        <f t="shared" ref="X4:X38" si="8">IF(AND(V4&gt;0,W4&gt;0),V4/W4,IF(AND(V4&gt;0,W4=0),100%,IF(AND(V4=0,W4&gt;0),0,IF(AND(V4=0,W4=0),"***",0))))</f>
        <v>***</v>
      </c>
      <c r="Y4" s="73"/>
      <c r="Z4" s="73">
        <f>+IFERROR(VLOOKUP($A4,'Goals &amp; Budget 2026'!$A$2:$EJ$49,147,FALSE),0)</f>
        <v>0</v>
      </c>
      <c r="AA4" s="84" t="str">
        <f t="shared" ref="AA4:AA38" si="9">IF(AND(Y4&gt;0,Z4&gt;0),Y4/Z4,IF(AND(Y4&gt;0,Z4=0),100%,IF(AND(Y4=0,Z4&gt;0),0,IF(AND(Y4=0,Z4=0),"***",0))))</f>
        <v>***</v>
      </c>
      <c r="AB4" s="73"/>
      <c r="AC4" s="73">
        <f>+IFERROR(VLOOKUP($A4,'Goals &amp; Budget 2026'!$A$2:$EJ$49,148,FALSE),0)</f>
        <v>0</v>
      </c>
      <c r="AD4" s="84" t="str">
        <f t="shared" ref="AD4:AD38" si="10">IF(AND(AB4&gt;0,AC4&gt;0),AB4/AC4,IF(AND(AB4&gt;0,AC4=0),100%,IF(AND(AB4=0,AC4&gt;0),0,IF(AND(AB4=0,AC4=0),"***",0))))</f>
        <v>***</v>
      </c>
      <c r="AE4" s="73"/>
      <c r="AF4" s="73">
        <f>+IFERROR(VLOOKUP($A4,'Goals &amp; Budget 2026'!$A$2:$EJ$49,149,FALSE),0)</f>
        <v>0</v>
      </c>
      <c r="AG4" s="231" t="str">
        <f t="shared" ref="AG4:AG38" si="11">IF(AND(AE4&gt;0,AF4&gt;0),AE4/AF4,IF(AND(AE4&gt;0,AF4=0),100%,IF(AND(AE4=0,AF4&gt;0),0,IF(AND(AE4=0,AF4=0),"***",0))))</f>
        <v>***</v>
      </c>
      <c r="AH4" s="73"/>
      <c r="AI4" s="73">
        <f>+IFERROR(VLOOKUP($A4,'Goals &amp; Budget 2026'!$A$2:$EJ$49,150,FALSE),0)</f>
        <v>0</v>
      </c>
      <c r="AJ4" s="84" t="str">
        <f t="shared" ref="AJ4:AJ38" si="12">IF(AND(AH4&gt;0,AI4&gt;0),AH4/AI4,IF(AND(AH4&gt;0,AI4=0),100%,IF(AND(AH4=0,AI4&gt;0),0,IF(AND(AH4=0,AI4=0),"***",0))))</f>
        <v>***</v>
      </c>
      <c r="AK4" s="73"/>
      <c r="AL4" s="73">
        <f>+IFERROR(VLOOKUP($A4,'Goals &amp; Budget 2026'!$A$2:$EJ$49,151,FALSE),0)</f>
        <v>0</v>
      </c>
      <c r="AM4" s="84" t="str">
        <f t="shared" ref="AM4:AM38" si="13">IF(AND(AK4&gt;0,AL4&gt;0),AK4/AL4,IF(AND(AK4&gt;0,AL4=0),100%,IF(AND(AK4=0,AL4&gt;0),0,IF(AND(AK4=0,AL4=0),"***",0))))</f>
        <v>***</v>
      </c>
      <c r="AN4" s="73"/>
      <c r="AO4" s="73">
        <f>+IFERROR(VLOOKUP($A4,'Goals &amp; Budget 2026'!$A$2:$EJ$49,152,FALSE),0)</f>
        <v>0</v>
      </c>
      <c r="AP4" s="85" t="str">
        <f t="shared" ref="AP4:AP38" si="14">IF(AND(AN4&gt;0,AO4&gt;0),AN4/AO4,IF(AND(AN4&gt;0,AO4=0),100%,IF(AND(AN4=0,AO4&gt;0),0,IF(AND(AN4=0,AO4=0),"***",0))))</f>
        <v>***</v>
      </c>
    </row>
    <row r="5" spans="1:42" ht="20.100000000000001" customHeight="1" x14ac:dyDescent="0.25">
      <c r="A5" s="70" t="s">
        <v>69</v>
      </c>
      <c r="B5" s="71">
        <v>1</v>
      </c>
      <c r="C5" s="72">
        <v>31</v>
      </c>
      <c r="D5" s="70">
        <f t="shared" si="0"/>
        <v>0</v>
      </c>
      <c r="E5" s="73">
        <f t="shared" si="1"/>
        <v>0</v>
      </c>
      <c r="F5" s="231" t="str">
        <f t="shared" si="2"/>
        <v>***</v>
      </c>
      <c r="G5" s="73"/>
      <c r="H5" s="73">
        <f>+IFERROR(VLOOKUP($A5,'Goals &amp; Budget 2026'!$A$2:$EJ$49,141,FALSE),0)</f>
        <v>0</v>
      </c>
      <c r="I5" s="84" t="str">
        <f t="shared" si="3"/>
        <v>***</v>
      </c>
      <c r="J5" s="73"/>
      <c r="K5" s="73">
        <f>+IFERROR(VLOOKUP($A5,'Goals &amp; Budget 2026'!$A$2:$EJ$49,142,FALSE),0)</f>
        <v>0</v>
      </c>
      <c r="L5" s="84" t="str">
        <f t="shared" si="4"/>
        <v>***</v>
      </c>
      <c r="M5" s="73"/>
      <c r="N5" s="73">
        <f>+IFERROR(VLOOKUP($A5,'Goals &amp; Budget 2026'!$A$2:$EJ$49,143,FALSE),0)</f>
        <v>0</v>
      </c>
      <c r="O5" s="231" t="str">
        <f t="shared" si="5"/>
        <v>***</v>
      </c>
      <c r="P5" s="73"/>
      <c r="Q5" s="73">
        <f>+IFERROR(VLOOKUP($A5,'Goals &amp; Budget 2026'!$A$2:$EJ$49,144,FALSE),0)</f>
        <v>0</v>
      </c>
      <c r="R5" s="84" t="str">
        <f t="shared" si="6"/>
        <v>***</v>
      </c>
      <c r="S5" s="73"/>
      <c r="T5" s="73">
        <f>+IFERROR(VLOOKUP($A5,'Goals &amp; Budget 2026'!$A$2:$EJ$49,145,FALSE),0)</f>
        <v>0</v>
      </c>
      <c r="U5" s="84" t="str">
        <f t="shared" si="7"/>
        <v>***</v>
      </c>
      <c r="V5" s="73"/>
      <c r="W5" s="73">
        <f>+IFERROR(VLOOKUP($A5,'Goals &amp; Budget 2026'!$A$2:$EJ$49,146,FALSE),0)</f>
        <v>0</v>
      </c>
      <c r="X5" s="231" t="str">
        <f t="shared" si="8"/>
        <v>***</v>
      </c>
      <c r="Y5" s="73"/>
      <c r="Z5" s="73">
        <f>+IFERROR(VLOOKUP($A5,'Goals &amp; Budget 2026'!$A$2:$EJ$49,147,FALSE),0)</f>
        <v>0</v>
      </c>
      <c r="AA5" s="84" t="str">
        <f t="shared" si="9"/>
        <v>***</v>
      </c>
      <c r="AB5" s="73"/>
      <c r="AC5" s="73">
        <f>+IFERROR(VLOOKUP($A5,'Goals &amp; Budget 2026'!$A$2:$EJ$49,148,FALSE),0)</f>
        <v>0</v>
      </c>
      <c r="AD5" s="84" t="str">
        <f t="shared" si="10"/>
        <v>***</v>
      </c>
      <c r="AE5" s="73"/>
      <c r="AF5" s="73">
        <f>+IFERROR(VLOOKUP($A5,'Goals &amp; Budget 2026'!$A$2:$EJ$49,149,FALSE),0)</f>
        <v>0</v>
      </c>
      <c r="AG5" s="231" t="str">
        <f t="shared" si="11"/>
        <v>***</v>
      </c>
      <c r="AH5" s="73"/>
      <c r="AI5" s="73">
        <f>+IFERROR(VLOOKUP($A5,'Goals &amp; Budget 2026'!$A$2:$EJ$49,150,FALSE),0)</f>
        <v>0</v>
      </c>
      <c r="AJ5" s="84" t="str">
        <f t="shared" si="12"/>
        <v>***</v>
      </c>
      <c r="AK5" s="73"/>
      <c r="AL5" s="73">
        <f>+IFERROR(VLOOKUP($A5,'Goals &amp; Budget 2026'!$A$2:$EJ$49,151,FALSE),0)</f>
        <v>0</v>
      </c>
      <c r="AM5" s="84" t="str">
        <f t="shared" si="13"/>
        <v>***</v>
      </c>
      <c r="AN5" s="73"/>
      <c r="AO5" s="73">
        <f>+IFERROR(VLOOKUP($A5,'Goals &amp; Budget 2026'!$A$2:$EJ$49,152,FALSE),0)</f>
        <v>0</v>
      </c>
      <c r="AP5" s="85" t="str">
        <f t="shared" si="14"/>
        <v>***</v>
      </c>
    </row>
    <row r="6" spans="1:42" ht="20.100000000000001" customHeight="1" x14ac:dyDescent="0.25">
      <c r="A6" s="70" t="s">
        <v>70</v>
      </c>
      <c r="B6" s="71">
        <v>1</v>
      </c>
      <c r="C6" s="72">
        <v>46</v>
      </c>
      <c r="D6" s="70">
        <f t="shared" si="0"/>
        <v>0</v>
      </c>
      <c r="E6" s="73">
        <f t="shared" si="1"/>
        <v>0</v>
      </c>
      <c r="F6" s="231" t="str">
        <f t="shared" si="2"/>
        <v>***</v>
      </c>
      <c r="G6" s="73"/>
      <c r="H6" s="73">
        <f>+IFERROR(VLOOKUP($A6,'Goals &amp; Budget 2026'!$A$2:$EJ$49,141,FALSE),0)</f>
        <v>0</v>
      </c>
      <c r="I6" s="84" t="str">
        <f t="shared" si="3"/>
        <v>***</v>
      </c>
      <c r="J6" s="73"/>
      <c r="K6" s="73">
        <f>+IFERROR(VLOOKUP($A6,'Goals &amp; Budget 2026'!$A$2:$EJ$49,142,FALSE),0)</f>
        <v>0</v>
      </c>
      <c r="L6" s="84" t="str">
        <f t="shared" si="4"/>
        <v>***</v>
      </c>
      <c r="M6" s="73"/>
      <c r="N6" s="73">
        <f>+IFERROR(VLOOKUP($A6,'Goals &amp; Budget 2026'!$A$2:$EJ$49,143,FALSE),0)</f>
        <v>0</v>
      </c>
      <c r="O6" s="231" t="str">
        <f t="shared" si="5"/>
        <v>***</v>
      </c>
      <c r="P6" s="73"/>
      <c r="Q6" s="73">
        <f>+IFERROR(VLOOKUP($A6,'Goals &amp; Budget 2026'!$A$2:$EJ$49,144,FALSE),0)</f>
        <v>0</v>
      </c>
      <c r="R6" s="84" t="str">
        <f t="shared" si="6"/>
        <v>***</v>
      </c>
      <c r="S6" s="73"/>
      <c r="T6" s="73">
        <f>+IFERROR(VLOOKUP($A6,'Goals &amp; Budget 2026'!$A$2:$EJ$49,145,FALSE),0)</f>
        <v>0</v>
      </c>
      <c r="U6" s="84" t="str">
        <f t="shared" si="7"/>
        <v>***</v>
      </c>
      <c r="V6" s="73"/>
      <c r="W6" s="73">
        <f>+IFERROR(VLOOKUP($A6,'Goals &amp; Budget 2026'!$A$2:$EJ$49,146,FALSE),0)</f>
        <v>0</v>
      </c>
      <c r="X6" s="231" t="str">
        <f t="shared" si="8"/>
        <v>***</v>
      </c>
      <c r="Y6" s="73"/>
      <c r="Z6" s="73">
        <f>+IFERROR(VLOOKUP($A6,'Goals &amp; Budget 2026'!$A$2:$EJ$49,147,FALSE),0)</f>
        <v>0</v>
      </c>
      <c r="AA6" s="84" t="str">
        <f t="shared" si="9"/>
        <v>***</v>
      </c>
      <c r="AB6" s="73"/>
      <c r="AC6" s="73">
        <f>+IFERROR(VLOOKUP($A6,'Goals &amp; Budget 2026'!$A$2:$EJ$49,148,FALSE),0)</f>
        <v>0</v>
      </c>
      <c r="AD6" s="84" t="str">
        <f t="shared" si="10"/>
        <v>***</v>
      </c>
      <c r="AE6" s="73"/>
      <c r="AF6" s="73">
        <f>+IFERROR(VLOOKUP($A6,'Goals &amp; Budget 2026'!$A$2:$EJ$49,149,FALSE),0)</f>
        <v>0</v>
      </c>
      <c r="AG6" s="231" t="str">
        <f t="shared" si="11"/>
        <v>***</v>
      </c>
      <c r="AH6" s="73"/>
      <c r="AI6" s="73">
        <f>+IFERROR(VLOOKUP($A6,'Goals &amp; Budget 2026'!$A$2:$EJ$49,150,FALSE),0)</f>
        <v>0</v>
      </c>
      <c r="AJ6" s="84" t="str">
        <f t="shared" si="12"/>
        <v>***</v>
      </c>
      <c r="AK6" s="73"/>
      <c r="AL6" s="73">
        <f>+IFERROR(VLOOKUP($A6,'Goals &amp; Budget 2026'!$A$2:$EJ$49,151,FALSE),0)</f>
        <v>0</v>
      </c>
      <c r="AM6" s="84" t="str">
        <f t="shared" si="13"/>
        <v>***</v>
      </c>
      <c r="AN6" s="73"/>
      <c r="AO6" s="73">
        <f>+IFERROR(VLOOKUP($A6,'Goals &amp; Budget 2026'!$A$2:$EJ$49,152,FALSE),0)</f>
        <v>0</v>
      </c>
      <c r="AP6" s="85" t="str">
        <f t="shared" si="14"/>
        <v>***</v>
      </c>
    </row>
    <row r="7" spans="1:42" ht="20.100000000000001" customHeight="1" x14ac:dyDescent="0.25">
      <c r="A7" s="70" t="s">
        <v>71</v>
      </c>
      <c r="B7" s="71">
        <v>1</v>
      </c>
      <c r="C7" s="72">
        <v>62</v>
      </c>
      <c r="D7" s="70">
        <f t="shared" si="0"/>
        <v>0</v>
      </c>
      <c r="E7" s="73">
        <f t="shared" si="1"/>
        <v>0</v>
      </c>
      <c r="F7" s="231" t="str">
        <f t="shared" si="2"/>
        <v>***</v>
      </c>
      <c r="G7" s="73"/>
      <c r="H7" s="73">
        <f>+IFERROR(VLOOKUP($A7,'Goals &amp; Budget 2026'!$A$2:$EJ$49,141,FALSE),0)</f>
        <v>0</v>
      </c>
      <c r="I7" s="84" t="str">
        <f t="shared" si="3"/>
        <v>***</v>
      </c>
      <c r="J7" s="73"/>
      <c r="K7" s="73">
        <f>+IFERROR(VLOOKUP($A7,'Goals &amp; Budget 2026'!$A$2:$EJ$49,142,FALSE),0)</f>
        <v>0</v>
      </c>
      <c r="L7" s="84" t="str">
        <f t="shared" si="4"/>
        <v>***</v>
      </c>
      <c r="M7" s="73"/>
      <c r="N7" s="73">
        <f>+IFERROR(VLOOKUP($A7,'Goals &amp; Budget 2026'!$A$2:$EJ$49,143,FALSE),0)</f>
        <v>0</v>
      </c>
      <c r="O7" s="231" t="str">
        <f t="shared" si="5"/>
        <v>***</v>
      </c>
      <c r="P7" s="73"/>
      <c r="Q7" s="73">
        <f>+IFERROR(VLOOKUP($A7,'Goals &amp; Budget 2026'!$A$2:$EJ$49,144,FALSE),0)</f>
        <v>0</v>
      </c>
      <c r="R7" s="84" t="str">
        <f t="shared" si="6"/>
        <v>***</v>
      </c>
      <c r="S7" s="73"/>
      <c r="T7" s="73">
        <f>+IFERROR(VLOOKUP($A7,'Goals &amp; Budget 2026'!$A$2:$EJ$49,145,FALSE),0)</f>
        <v>0</v>
      </c>
      <c r="U7" s="84" t="str">
        <f t="shared" si="7"/>
        <v>***</v>
      </c>
      <c r="V7" s="73"/>
      <c r="W7" s="73">
        <f>+IFERROR(VLOOKUP($A7,'Goals &amp; Budget 2026'!$A$2:$EJ$49,146,FALSE),0)</f>
        <v>0</v>
      </c>
      <c r="X7" s="231" t="str">
        <f t="shared" si="8"/>
        <v>***</v>
      </c>
      <c r="Y7" s="73"/>
      <c r="Z7" s="73">
        <f>+IFERROR(VLOOKUP($A7,'Goals &amp; Budget 2026'!$A$2:$EJ$49,147,FALSE),0)</f>
        <v>0</v>
      </c>
      <c r="AA7" s="84" t="str">
        <f t="shared" si="9"/>
        <v>***</v>
      </c>
      <c r="AB7" s="73"/>
      <c r="AC7" s="73">
        <f>+IFERROR(VLOOKUP($A7,'Goals &amp; Budget 2026'!$A$2:$EJ$49,148,FALSE),0)</f>
        <v>0</v>
      </c>
      <c r="AD7" s="84" t="str">
        <f t="shared" si="10"/>
        <v>***</v>
      </c>
      <c r="AE7" s="73"/>
      <c r="AF7" s="73">
        <f>+IFERROR(VLOOKUP($A7,'Goals &amp; Budget 2026'!$A$2:$EJ$49,149,FALSE),0)</f>
        <v>0</v>
      </c>
      <c r="AG7" s="231" t="str">
        <f t="shared" si="11"/>
        <v>***</v>
      </c>
      <c r="AH7" s="73"/>
      <c r="AI7" s="73">
        <f>+IFERROR(VLOOKUP($A7,'Goals &amp; Budget 2026'!$A$2:$EJ$49,150,FALSE),0)</f>
        <v>0</v>
      </c>
      <c r="AJ7" s="84" t="str">
        <f t="shared" si="12"/>
        <v>***</v>
      </c>
      <c r="AK7" s="73"/>
      <c r="AL7" s="73">
        <f>+IFERROR(VLOOKUP($A7,'Goals &amp; Budget 2026'!$A$2:$EJ$49,151,FALSE),0)</f>
        <v>0</v>
      </c>
      <c r="AM7" s="84" t="str">
        <f t="shared" si="13"/>
        <v>***</v>
      </c>
      <c r="AN7" s="73"/>
      <c r="AO7" s="73">
        <f>+IFERROR(VLOOKUP($A7,'Goals &amp; Budget 2026'!$A$2:$EJ$49,152,FALSE),0)</f>
        <v>0</v>
      </c>
      <c r="AP7" s="85" t="str">
        <f t="shared" si="14"/>
        <v>***</v>
      </c>
    </row>
    <row r="8" spans="1:42" ht="20.100000000000001" customHeight="1" x14ac:dyDescent="0.25">
      <c r="A8" s="70" t="s">
        <v>72</v>
      </c>
      <c r="B8" s="71">
        <v>1</v>
      </c>
      <c r="C8" s="72">
        <v>37</v>
      </c>
      <c r="D8" s="70">
        <f t="shared" si="0"/>
        <v>0</v>
      </c>
      <c r="E8" s="73">
        <f t="shared" si="1"/>
        <v>0</v>
      </c>
      <c r="F8" s="231" t="str">
        <f t="shared" si="2"/>
        <v>***</v>
      </c>
      <c r="G8" s="73"/>
      <c r="H8" s="73">
        <f>+IFERROR(VLOOKUP($A8,'Goals &amp; Budget 2026'!$A$2:$EJ$49,141,FALSE),0)</f>
        <v>0</v>
      </c>
      <c r="I8" s="84" t="str">
        <f t="shared" si="3"/>
        <v>***</v>
      </c>
      <c r="J8" s="73"/>
      <c r="K8" s="73">
        <f>+IFERROR(VLOOKUP($A8,'Goals &amp; Budget 2026'!$A$2:$EJ$49,142,FALSE),0)</f>
        <v>0</v>
      </c>
      <c r="L8" s="84" t="str">
        <f t="shared" si="4"/>
        <v>***</v>
      </c>
      <c r="M8" s="73"/>
      <c r="N8" s="73">
        <f>+IFERROR(VLOOKUP($A8,'Goals &amp; Budget 2026'!$A$2:$EJ$49,143,FALSE),0)</f>
        <v>0</v>
      </c>
      <c r="O8" s="231" t="str">
        <f t="shared" si="5"/>
        <v>***</v>
      </c>
      <c r="P8" s="73"/>
      <c r="Q8" s="73">
        <f>+IFERROR(VLOOKUP($A8,'Goals &amp; Budget 2026'!$A$2:$EJ$49,144,FALSE),0)</f>
        <v>0</v>
      </c>
      <c r="R8" s="84" t="str">
        <f t="shared" si="6"/>
        <v>***</v>
      </c>
      <c r="S8" s="73"/>
      <c r="T8" s="73">
        <f>+IFERROR(VLOOKUP($A8,'Goals &amp; Budget 2026'!$A$2:$EJ$49,145,FALSE),0)</f>
        <v>0</v>
      </c>
      <c r="U8" s="84" t="str">
        <f t="shared" si="7"/>
        <v>***</v>
      </c>
      <c r="V8" s="73"/>
      <c r="W8" s="73">
        <f>+IFERROR(VLOOKUP($A8,'Goals &amp; Budget 2026'!$A$2:$EJ$49,146,FALSE),0)</f>
        <v>0</v>
      </c>
      <c r="X8" s="231" t="str">
        <f t="shared" si="8"/>
        <v>***</v>
      </c>
      <c r="Y8" s="73"/>
      <c r="Z8" s="73">
        <f>+IFERROR(VLOOKUP($A8,'Goals &amp; Budget 2026'!$A$2:$EJ$49,147,FALSE),0)</f>
        <v>0</v>
      </c>
      <c r="AA8" s="84" t="str">
        <f t="shared" si="9"/>
        <v>***</v>
      </c>
      <c r="AB8" s="73"/>
      <c r="AC8" s="73">
        <f>+IFERROR(VLOOKUP($A8,'Goals &amp; Budget 2026'!$A$2:$EJ$49,148,FALSE),0)</f>
        <v>0</v>
      </c>
      <c r="AD8" s="84" t="str">
        <f t="shared" si="10"/>
        <v>***</v>
      </c>
      <c r="AE8" s="73"/>
      <c r="AF8" s="73">
        <f>+IFERROR(VLOOKUP($A8,'Goals &amp; Budget 2026'!$A$2:$EJ$49,149,FALSE),0)</f>
        <v>0</v>
      </c>
      <c r="AG8" s="231" t="str">
        <f t="shared" si="11"/>
        <v>***</v>
      </c>
      <c r="AH8" s="73"/>
      <c r="AI8" s="73">
        <f>+IFERROR(VLOOKUP($A8,'Goals &amp; Budget 2026'!$A$2:$EJ$49,150,FALSE),0)</f>
        <v>0</v>
      </c>
      <c r="AJ8" s="84" t="str">
        <f t="shared" si="12"/>
        <v>***</v>
      </c>
      <c r="AK8" s="73"/>
      <c r="AL8" s="73">
        <f>+IFERROR(VLOOKUP($A8,'Goals &amp; Budget 2026'!$A$2:$EJ$49,151,FALSE),0)</f>
        <v>0</v>
      </c>
      <c r="AM8" s="84" t="str">
        <f t="shared" si="13"/>
        <v>***</v>
      </c>
      <c r="AN8" s="73"/>
      <c r="AO8" s="73">
        <f>+IFERROR(VLOOKUP($A8,'Goals &amp; Budget 2026'!$A$2:$EJ$49,152,FALSE),0)</f>
        <v>0</v>
      </c>
      <c r="AP8" s="85" t="str">
        <f t="shared" si="14"/>
        <v>***</v>
      </c>
    </row>
    <row r="9" spans="1:42" ht="20.100000000000001" customHeight="1" x14ac:dyDescent="0.25">
      <c r="A9" s="70" t="s">
        <v>73</v>
      </c>
      <c r="B9" s="52">
        <v>1</v>
      </c>
      <c r="C9" s="53">
        <v>24</v>
      </c>
      <c r="D9" s="70">
        <f t="shared" si="0"/>
        <v>0</v>
      </c>
      <c r="E9" s="73">
        <f t="shared" si="1"/>
        <v>0</v>
      </c>
      <c r="F9" s="231" t="str">
        <f t="shared" si="2"/>
        <v>***</v>
      </c>
      <c r="G9" s="73"/>
      <c r="H9" s="73">
        <f>+IFERROR(VLOOKUP($A9,'Goals &amp; Budget 2026'!$A$2:$EJ$49,141,FALSE),0)</f>
        <v>0</v>
      </c>
      <c r="I9" s="84" t="str">
        <f t="shared" si="3"/>
        <v>***</v>
      </c>
      <c r="J9" s="73"/>
      <c r="K9" s="73">
        <f>+IFERROR(VLOOKUP($A9,'Goals &amp; Budget 2026'!$A$2:$EJ$49,142,FALSE),0)</f>
        <v>0</v>
      </c>
      <c r="L9" s="84" t="str">
        <f t="shared" si="4"/>
        <v>***</v>
      </c>
      <c r="M9" s="73"/>
      <c r="N9" s="73">
        <f>+IFERROR(VLOOKUP($A9,'Goals &amp; Budget 2026'!$A$2:$EJ$49,143,FALSE),0)</f>
        <v>0</v>
      </c>
      <c r="O9" s="231" t="str">
        <f t="shared" si="5"/>
        <v>***</v>
      </c>
      <c r="P9" s="73"/>
      <c r="Q9" s="73">
        <f>+IFERROR(VLOOKUP($A9,'Goals &amp; Budget 2026'!$A$2:$EJ$49,144,FALSE),0)</f>
        <v>0</v>
      </c>
      <c r="R9" s="84" t="str">
        <f t="shared" si="6"/>
        <v>***</v>
      </c>
      <c r="S9" s="73"/>
      <c r="T9" s="73">
        <f>+IFERROR(VLOOKUP($A9,'Goals &amp; Budget 2026'!$A$2:$EJ$49,145,FALSE),0)</f>
        <v>0</v>
      </c>
      <c r="U9" s="84" t="str">
        <f t="shared" si="7"/>
        <v>***</v>
      </c>
      <c r="V9" s="73"/>
      <c r="W9" s="73">
        <f>+IFERROR(VLOOKUP($A9,'Goals &amp; Budget 2026'!$A$2:$EJ$49,146,FALSE),0)</f>
        <v>0</v>
      </c>
      <c r="X9" s="231" t="str">
        <f t="shared" si="8"/>
        <v>***</v>
      </c>
      <c r="Y9" s="73"/>
      <c r="Z9" s="73">
        <f>+IFERROR(VLOOKUP($A9,'Goals &amp; Budget 2026'!$A$2:$EJ$49,147,FALSE),0)</f>
        <v>0</v>
      </c>
      <c r="AA9" s="84" t="str">
        <f t="shared" si="9"/>
        <v>***</v>
      </c>
      <c r="AB9" s="73"/>
      <c r="AC9" s="73">
        <f>+IFERROR(VLOOKUP($A9,'Goals &amp; Budget 2026'!$A$2:$EJ$49,148,FALSE),0)</f>
        <v>0</v>
      </c>
      <c r="AD9" s="84" t="str">
        <f t="shared" si="10"/>
        <v>***</v>
      </c>
      <c r="AE9" s="73"/>
      <c r="AF9" s="73">
        <f>+IFERROR(VLOOKUP($A9,'Goals &amp; Budget 2026'!$A$2:$EJ$49,149,FALSE),0)</f>
        <v>0</v>
      </c>
      <c r="AG9" s="231" t="str">
        <f t="shared" si="11"/>
        <v>***</v>
      </c>
      <c r="AH9" s="73"/>
      <c r="AI9" s="73">
        <f>+IFERROR(VLOOKUP($A9,'Goals &amp; Budget 2026'!$A$2:$EJ$49,150,FALSE),0)</f>
        <v>0</v>
      </c>
      <c r="AJ9" s="84" t="str">
        <f t="shared" si="12"/>
        <v>***</v>
      </c>
      <c r="AK9" s="73"/>
      <c r="AL9" s="73">
        <f>+IFERROR(VLOOKUP($A9,'Goals &amp; Budget 2026'!$A$2:$EJ$49,151,FALSE),0)</f>
        <v>0</v>
      </c>
      <c r="AM9" s="84" t="str">
        <f t="shared" si="13"/>
        <v>***</v>
      </c>
      <c r="AN9" s="73"/>
      <c r="AO9" s="73">
        <f>+IFERROR(VLOOKUP($A9,'Goals &amp; Budget 2026'!$A$2:$EJ$49,152,FALSE),0)</f>
        <v>0</v>
      </c>
      <c r="AP9" s="85" t="str">
        <f t="shared" si="14"/>
        <v>***</v>
      </c>
    </row>
    <row r="10" spans="1:42" ht="20.100000000000001" customHeight="1" x14ac:dyDescent="0.25">
      <c r="A10" s="51" t="s">
        <v>19</v>
      </c>
      <c r="B10" s="52">
        <v>1</v>
      </c>
      <c r="C10" s="53">
        <v>77</v>
      </c>
      <c r="D10" s="70">
        <f t="shared" si="0"/>
        <v>0</v>
      </c>
      <c r="E10" s="73">
        <f t="shared" si="1"/>
        <v>0</v>
      </c>
      <c r="F10" s="231" t="str">
        <f t="shared" si="2"/>
        <v>***</v>
      </c>
      <c r="G10" s="73"/>
      <c r="H10" s="73">
        <f>+IFERROR(VLOOKUP($A10,'Goals &amp; Budget 2026'!$A$2:$EJ$49,141,FALSE),0)</f>
        <v>0</v>
      </c>
      <c r="I10" s="84" t="str">
        <f t="shared" si="3"/>
        <v>***</v>
      </c>
      <c r="J10" s="73"/>
      <c r="K10" s="73">
        <f>+IFERROR(VLOOKUP($A10,'Goals &amp; Budget 2026'!$A$2:$EJ$49,142,FALSE),0)</f>
        <v>0</v>
      </c>
      <c r="L10" s="84" t="str">
        <f t="shared" si="4"/>
        <v>***</v>
      </c>
      <c r="M10" s="73"/>
      <c r="N10" s="73">
        <f>+IFERROR(VLOOKUP($A10,'Goals &amp; Budget 2026'!$A$2:$EJ$49,143,FALSE),0)</f>
        <v>0</v>
      </c>
      <c r="O10" s="231" t="str">
        <f t="shared" si="5"/>
        <v>***</v>
      </c>
      <c r="P10" s="73"/>
      <c r="Q10" s="73">
        <f>+IFERROR(VLOOKUP($A10,'Goals &amp; Budget 2026'!$A$2:$EJ$49,144,FALSE),0)</f>
        <v>0</v>
      </c>
      <c r="R10" s="84" t="str">
        <f t="shared" si="6"/>
        <v>***</v>
      </c>
      <c r="S10" s="73"/>
      <c r="T10" s="73">
        <f>+IFERROR(VLOOKUP($A10,'Goals &amp; Budget 2026'!$A$2:$EJ$49,145,FALSE),0)</f>
        <v>0</v>
      </c>
      <c r="U10" s="84" t="str">
        <f t="shared" si="7"/>
        <v>***</v>
      </c>
      <c r="V10" s="73"/>
      <c r="W10" s="73">
        <f>+IFERROR(VLOOKUP($A10,'Goals &amp; Budget 2026'!$A$2:$EJ$49,146,FALSE),0)</f>
        <v>0</v>
      </c>
      <c r="X10" s="231" t="str">
        <f t="shared" si="8"/>
        <v>***</v>
      </c>
      <c r="Y10" s="73"/>
      <c r="Z10" s="73">
        <f>+IFERROR(VLOOKUP($A10,'Goals &amp; Budget 2026'!$A$2:$EJ$49,147,FALSE),0)</f>
        <v>0</v>
      </c>
      <c r="AA10" s="84" t="str">
        <f t="shared" si="9"/>
        <v>***</v>
      </c>
      <c r="AB10" s="73"/>
      <c r="AC10" s="73">
        <f>+IFERROR(VLOOKUP($A10,'Goals &amp; Budget 2026'!$A$2:$EJ$49,148,FALSE),0)</f>
        <v>0</v>
      </c>
      <c r="AD10" s="84" t="str">
        <f t="shared" si="10"/>
        <v>***</v>
      </c>
      <c r="AE10" s="73"/>
      <c r="AF10" s="73">
        <f>+IFERROR(VLOOKUP($A10,'Goals &amp; Budget 2026'!$A$2:$EJ$49,149,FALSE),0)</f>
        <v>0</v>
      </c>
      <c r="AG10" s="231" t="str">
        <f t="shared" si="11"/>
        <v>***</v>
      </c>
      <c r="AH10" s="73"/>
      <c r="AI10" s="73">
        <f>+IFERROR(VLOOKUP($A10,'Goals &amp; Budget 2026'!$A$2:$EJ$49,150,FALSE),0)</f>
        <v>0</v>
      </c>
      <c r="AJ10" s="84" t="str">
        <f t="shared" si="12"/>
        <v>***</v>
      </c>
      <c r="AK10" s="73"/>
      <c r="AL10" s="73">
        <f>+IFERROR(VLOOKUP($A10,'Goals &amp; Budget 2026'!$A$2:$EJ$49,151,FALSE),0)</f>
        <v>0</v>
      </c>
      <c r="AM10" s="84" t="str">
        <f t="shared" si="13"/>
        <v>***</v>
      </c>
      <c r="AN10" s="73"/>
      <c r="AO10" s="73">
        <f>+IFERROR(VLOOKUP($A10,'Goals &amp; Budget 2026'!$A$2:$EJ$49,152,FALSE),0)</f>
        <v>0</v>
      </c>
      <c r="AP10" s="85" t="str">
        <f t="shared" si="14"/>
        <v>***</v>
      </c>
    </row>
    <row r="11" spans="1:42" ht="20.100000000000001" customHeight="1" x14ac:dyDescent="0.25">
      <c r="A11" s="51" t="s">
        <v>74</v>
      </c>
      <c r="B11" s="52">
        <v>1</v>
      </c>
      <c r="C11" s="53">
        <v>64</v>
      </c>
      <c r="D11" s="70">
        <f t="shared" si="0"/>
        <v>0</v>
      </c>
      <c r="E11" s="73">
        <f t="shared" si="1"/>
        <v>0</v>
      </c>
      <c r="F11" s="231" t="str">
        <f t="shared" si="2"/>
        <v>***</v>
      </c>
      <c r="G11" s="73"/>
      <c r="H11" s="73">
        <f>+IFERROR(VLOOKUP($A11,'Goals &amp; Budget 2026'!$A$2:$EJ$49,141,FALSE),0)</f>
        <v>0</v>
      </c>
      <c r="I11" s="84" t="str">
        <f t="shared" si="3"/>
        <v>***</v>
      </c>
      <c r="J11" s="73"/>
      <c r="K11" s="73">
        <f>+IFERROR(VLOOKUP($A11,'Goals &amp; Budget 2026'!$A$2:$EJ$49,142,FALSE),0)</f>
        <v>0</v>
      </c>
      <c r="L11" s="84" t="str">
        <f t="shared" si="4"/>
        <v>***</v>
      </c>
      <c r="M11" s="73"/>
      <c r="N11" s="73">
        <f>+IFERROR(VLOOKUP($A11,'Goals &amp; Budget 2026'!$A$2:$EJ$49,143,FALSE),0)</f>
        <v>0</v>
      </c>
      <c r="O11" s="231" t="str">
        <f t="shared" si="5"/>
        <v>***</v>
      </c>
      <c r="P11" s="73"/>
      <c r="Q11" s="73">
        <f>+IFERROR(VLOOKUP($A11,'Goals &amp; Budget 2026'!$A$2:$EJ$49,144,FALSE),0)</f>
        <v>0</v>
      </c>
      <c r="R11" s="84" t="str">
        <f t="shared" si="6"/>
        <v>***</v>
      </c>
      <c r="S11" s="73"/>
      <c r="T11" s="73">
        <f>+IFERROR(VLOOKUP($A11,'Goals &amp; Budget 2026'!$A$2:$EJ$49,145,FALSE),0)</f>
        <v>0</v>
      </c>
      <c r="U11" s="84" t="str">
        <f t="shared" si="7"/>
        <v>***</v>
      </c>
      <c r="V11" s="73"/>
      <c r="W11" s="73">
        <f>+IFERROR(VLOOKUP($A11,'Goals &amp; Budget 2026'!$A$2:$EJ$49,146,FALSE),0)</f>
        <v>0</v>
      </c>
      <c r="X11" s="231" t="str">
        <f t="shared" si="8"/>
        <v>***</v>
      </c>
      <c r="Y11" s="73"/>
      <c r="Z11" s="73">
        <f>+IFERROR(VLOOKUP($A11,'Goals &amp; Budget 2026'!$A$2:$EJ$49,147,FALSE),0)</f>
        <v>0</v>
      </c>
      <c r="AA11" s="84" t="str">
        <f t="shared" si="9"/>
        <v>***</v>
      </c>
      <c r="AB11" s="73"/>
      <c r="AC11" s="73">
        <f>+IFERROR(VLOOKUP($A11,'Goals &amp; Budget 2026'!$A$2:$EJ$49,148,FALSE),0)</f>
        <v>0</v>
      </c>
      <c r="AD11" s="84" t="str">
        <f t="shared" si="10"/>
        <v>***</v>
      </c>
      <c r="AE11" s="73"/>
      <c r="AF11" s="73">
        <f>+IFERROR(VLOOKUP($A11,'Goals &amp; Budget 2026'!$A$2:$EJ$49,149,FALSE),0)</f>
        <v>0</v>
      </c>
      <c r="AG11" s="231" t="str">
        <f t="shared" si="11"/>
        <v>***</v>
      </c>
      <c r="AH11" s="73"/>
      <c r="AI11" s="73">
        <f>+IFERROR(VLOOKUP($A11,'Goals &amp; Budget 2026'!$A$2:$EJ$49,150,FALSE),0)</f>
        <v>0</v>
      </c>
      <c r="AJ11" s="84" t="str">
        <f t="shared" si="12"/>
        <v>***</v>
      </c>
      <c r="AK11" s="73"/>
      <c r="AL11" s="73">
        <f>+IFERROR(VLOOKUP($A11,'Goals &amp; Budget 2026'!$A$2:$EJ$49,151,FALSE),0)</f>
        <v>0</v>
      </c>
      <c r="AM11" s="84" t="str">
        <f t="shared" si="13"/>
        <v>***</v>
      </c>
      <c r="AN11" s="73"/>
      <c r="AO11" s="73">
        <f>+IFERROR(VLOOKUP($A11,'Goals &amp; Budget 2026'!$A$2:$EJ$49,152,FALSE),0)</f>
        <v>0</v>
      </c>
      <c r="AP11" s="85" t="str">
        <f t="shared" si="14"/>
        <v>***</v>
      </c>
    </row>
    <row r="12" spans="1:42" ht="20.100000000000001" customHeight="1" x14ac:dyDescent="0.25">
      <c r="A12" s="51" t="s">
        <v>89</v>
      </c>
      <c r="B12" s="52">
        <v>1</v>
      </c>
      <c r="C12" s="53">
        <v>54</v>
      </c>
      <c r="D12" s="70">
        <f t="shared" si="0"/>
        <v>0</v>
      </c>
      <c r="E12" s="73">
        <f t="shared" si="1"/>
        <v>0</v>
      </c>
      <c r="F12" s="231" t="str">
        <f t="shared" si="2"/>
        <v>***</v>
      </c>
      <c r="G12" s="73"/>
      <c r="H12" s="73">
        <f>+IFERROR(VLOOKUP($A12,'Goals &amp; Budget 2026'!$A$2:$EJ$49,141,FALSE),0)</f>
        <v>0</v>
      </c>
      <c r="I12" s="84" t="str">
        <f t="shared" si="3"/>
        <v>***</v>
      </c>
      <c r="J12" s="73"/>
      <c r="K12" s="73">
        <f>+IFERROR(VLOOKUP($A12,'Goals &amp; Budget 2026'!$A$2:$EJ$49,142,FALSE),0)</f>
        <v>0</v>
      </c>
      <c r="L12" s="84" t="str">
        <f t="shared" si="4"/>
        <v>***</v>
      </c>
      <c r="M12" s="73"/>
      <c r="N12" s="73">
        <f>+IFERROR(VLOOKUP($A12,'Goals &amp; Budget 2026'!$A$2:$EJ$49,143,FALSE),0)</f>
        <v>0</v>
      </c>
      <c r="O12" s="231" t="str">
        <f t="shared" si="5"/>
        <v>***</v>
      </c>
      <c r="P12" s="73"/>
      <c r="Q12" s="73">
        <f>+IFERROR(VLOOKUP($A12,'Goals &amp; Budget 2026'!$A$2:$EJ$49,144,FALSE),0)</f>
        <v>0</v>
      </c>
      <c r="R12" s="84" t="str">
        <f t="shared" si="6"/>
        <v>***</v>
      </c>
      <c r="S12" s="73"/>
      <c r="T12" s="73">
        <f>+IFERROR(VLOOKUP($A12,'Goals &amp; Budget 2026'!$A$2:$EJ$49,145,FALSE),0)</f>
        <v>0</v>
      </c>
      <c r="U12" s="84" t="str">
        <f t="shared" si="7"/>
        <v>***</v>
      </c>
      <c r="V12" s="73"/>
      <c r="W12" s="73">
        <f>+IFERROR(VLOOKUP($A12,'Goals &amp; Budget 2026'!$A$2:$EJ$49,146,FALSE),0)</f>
        <v>0</v>
      </c>
      <c r="X12" s="231" t="str">
        <f t="shared" si="8"/>
        <v>***</v>
      </c>
      <c r="Y12" s="73"/>
      <c r="Z12" s="73">
        <f>+IFERROR(VLOOKUP($A12,'Goals &amp; Budget 2026'!$A$2:$EJ$49,147,FALSE),0)</f>
        <v>0</v>
      </c>
      <c r="AA12" s="84" t="str">
        <f t="shared" si="9"/>
        <v>***</v>
      </c>
      <c r="AB12" s="73"/>
      <c r="AC12" s="73">
        <f>+IFERROR(VLOOKUP($A12,'Goals &amp; Budget 2026'!$A$2:$EJ$49,148,FALSE),0)</f>
        <v>0</v>
      </c>
      <c r="AD12" s="84" t="str">
        <f t="shared" si="10"/>
        <v>***</v>
      </c>
      <c r="AE12" s="73"/>
      <c r="AF12" s="73">
        <f>+IFERROR(VLOOKUP($A12,'Goals &amp; Budget 2026'!$A$2:$EJ$49,149,FALSE),0)</f>
        <v>0</v>
      </c>
      <c r="AG12" s="231" t="str">
        <f t="shared" si="11"/>
        <v>***</v>
      </c>
      <c r="AH12" s="73"/>
      <c r="AI12" s="73">
        <f>+IFERROR(VLOOKUP($A12,'Goals &amp; Budget 2026'!$A$2:$EJ$49,150,FALSE),0)</f>
        <v>0</v>
      </c>
      <c r="AJ12" s="84" t="str">
        <f t="shared" si="12"/>
        <v>***</v>
      </c>
      <c r="AK12" s="73"/>
      <c r="AL12" s="73">
        <f>+IFERROR(VLOOKUP($A12,'Goals &amp; Budget 2026'!$A$2:$EJ$49,151,FALSE),0)</f>
        <v>0</v>
      </c>
      <c r="AM12" s="84" t="str">
        <f t="shared" si="13"/>
        <v>***</v>
      </c>
      <c r="AN12" s="73"/>
      <c r="AO12" s="73">
        <f>+IFERROR(VLOOKUP($A12,'Goals &amp; Budget 2026'!$A$2:$EJ$49,152,FALSE),0)</f>
        <v>0</v>
      </c>
      <c r="AP12" s="85" t="str">
        <f t="shared" si="14"/>
        <v>***</v>
      </c>
    </row>
    <row r="13" spans="1:42" ht="20.100000000000001" customHeight="1" x14ac:dyDescent="0.25">
      <c r="A13" s="51" t="s">
        <v>90</v>
      </c>
      <c r="B13" s="52">
        <v>1</v>
      </c>
      <c r="C13" s="53">
        <v>56</v>
      </c>
      <c r="D13" s="70">
        <f t="shared" si="0"/>
        <v>0</v>
      </c>
      <c r="E13" s="73">
        <f t="shared" si="1"/>
        <v>0</v>
      </c>
      <c r="F13" s="231" t="str">
        <f t="shared" si="2"/>
        <v>***</v>
      </c>
      <c r="G13" s="73"/>
      <c r="H13" s="73">
        <f>+IFERROR(VLOOKUP($A13,'Goals &amp; Budget 2026'!$A$2:$EJ$49,141,FALSE),0)</f>
        <v>0</v>
      </c>
      <c r="I13" s="84" t="str">
        <f t="shared" si="3"/>
        <v>***</v>
      </c>
      <c r="J13" s="73"/>
      <c r="K13" s="73">
        <f>+IFERROR(VLOOKUP($A13,'Goals &amp; Budget 2026'!$A$2:$EJ$49,142,FALSE),0)</f>
        <v>0</v>
      </c>
      <c r="L13" s="84" t="str">
        <f t="shared" si="4"/>
        <v>***</v>
      </c>
      <c r="M13" s="73"/>
      <c r="N13" s="73">
        <f>+IFERROR(VLOOKUP($A13,'Goals &amp; Budget 2026'!$A$2:$EJ$49,143,FALSE),0)</f>
        <v>0</v>
      </c>
      <c r="O13" s="231" t="str">
        <f t="shared" si="5"/>
        <v>***</v>
      </c>
      <c r="P13" s="73"/>
      <c r="Q13" s="73">
        <f>+IFERROR(VLOOKUP($A13,'Goals &amp; Budget 2026'!$A$2:$EJ$49,144,FALSE),0)</f>
        <v>0</v>
      </c>
      <c r="R13" s="84" t="str">
        <f t="shared" si="6"/>
        <v>***</v>
      </c>
      <c r="S13" s="73"/>
      <c r="T13" s="73">
        <f>+IFERROR(VLOOKUP($A13,'Goals &amp; Budget 2026'!$A$2:$EJ$49,145,FALSE),0)</f>
        <v>0</v>
      </c>
      <c r="U13" s="84" t="str">
        <f t="shared" si="7"/>
        <v>***</v>
      </c>
      <c r="V13" s="73"/>
      <c r="W13" s="73">
        <f>+IFERROR(VLOOKUP($A13,'Goals &amp; Budget 2026'!$A$2:$EJ$49,146,FALSE),0)</f>
        <v>0</v>
      </c>
      <c r="X13" s="231" t="str">
        <f t="shared" si="8"/>
        <v>***</v>
      </c>
      <c r="Y13" s="73"/>
      <c r="Z13" s="73">
        <f>+IFERROR(VLOOKUP($A13,'Goals &amp; Budget 2026'!$A$2:$EJ$49,147,FALSE),0)</f>
        <v>0</v>
      </c>
      <c r="AA13" s="84" t="str">
        <f t="shared" si="9"/>
        <v>***</v>
      </c>
      <c r="AB13" s="73"/>
      <c r="AC13" s="73">
        <f>+IFERROR(VLOOKUP($A13,'Goals &amp; Budget 2026'!$A$2:$EJ$49,148,FALSE),0)</f>
        <v>0</v>
      </c>
      <c r="AD13" s="84" t="str">
        <f t="shared" si="10"/>
        <v>***</v>
      </c>
      <c r="AE13" s="73"/>
      <c r="AF13" s="73">
        <f>+IFERROR(VLOOKUP($A13,'Goals &amp; Budget 2026'!$A$2:$EJ$49,149,FALSE),0)</f>
        <v>0</v>
      </c>
      <c r="AG13" s="231" t="str">
        <f t="shared" si="11"/>
        <v>***</v>
      </c>
      <c r="AH13" s="73"/>
      <c r="AI13" s="73">
        <f>+IFERROR(VLOOKUP($A13,'Goals &amp; Budget 2026'!$A$2:$EJ$49,150,FALSE),0)</f>
        <v>0</v>
      </c>
      <c r="AJ13" s="84" t="str">
        <f t="shared" si="12"/>
        <v>***</v>
      </c>
      <c r="AK13" s="73"/>
      <c r="AL13" s="73">
        <f>+IFERROR(VLOOKUP($A13,'Goals &amp; Budget 2026'!$A$2:$EJ$49,151,FALSE),0)</f>
        <v>0</v>
      </c>
      <c r="AM13" s="84" t="str">
        <f t="shared" si="13"/>
        <v>***</v>
      </c>
      <c r="AN13" s="73"/>
      <c r="AO13" s="73">
        <f>+IFERROR(VLOOKUP($A13,'Goals &amp; Budget 2026'!$A$2:$EJ$49,152,FALSE),0)</f>
        <v>0</v>
      </c>
      <c r="AP13" s="85" t="str">
        <f t="shared" si="14"/>
        <v>***</v>
      </c>
    </row>
    <row r="14" spans="1:42" ht="20.100000000000001" customHeight="1" x14ac:dyDescent="0.25">
      <c r="A14" s="51" t="s">
        <v>91</v>
      </c>
      <c r="B14" s="52">
        <v>1</v>
      </c>
      <c r="C14" s="53">
        <v>80</v>
      </c>
      <c r="D14" s="70">
        <f t="shared" si="0"/>
        <v>0</v>
      </c>
      <c r="E14" s="73">
        <f t="shared" si="1"/>
        <v>0</v>
      </c>
      <c r="F14" s="231" t="str">
        <f t="shared" si="2"/>
        <v>***</v>
      </c>
      <c r="G14" s="73"/>
      <c r="H14" s="73">
        <f>+IFERROR(VLOOKUP($A14,'Goals &amp; Budget 2026'!$A$2:$EJ$49,141,FALSE),0)</f>
        <v>0</v>
      </c>
      <c r="I14" s="84" t="str">
        <f t="shared" si="3"/>
        <v>***</v>
      </c>
      <c r="J14" s="73"/>
      <c r="K14" s="73">
        <f>+IFERROR(VLOOKUP($A14,'Goals &amp; Budget 2026'!$A$2:$EJ$49,142,FALSE),0)</f>
        <v>0</v>
      </c>
      <c r="L14" s="84" t="str">
        <f t="shared" si="4"/>
        <v>***</v>
      </c>
      <c r="M14" s="73"/>
      <c r="N14" s="73">
        <f>+IFERROR(VLOOKUP($A14,'Goals &amp; Budget 2026'!$A$2:$EJ$49,143,FALSE),0)</f>
        <v>0</v>
      </c>
      <c r="O14" s="231" t="str">
        <f t="shared" si="5"/>
        <v>***</v>
      </c>
      <c r="P14" s="73"/>
      <c r="Q14" s="73">
        <f>+IFERROR(VLOOKUP($A14,'Goals &amp; Budget 2026'!$A$2:$EJ$49,144,FALSE),0)</f>
        <v>0</v>
      </c>
      <c r="R14" s="84" t="str">
        <f t="shared" si="6"/>
        <v>***</v>
      </c>
      <c r="S14" s="73"/>
      <c r="T14" s="73">
        <f>+IFERROR(VLOOKUP($A14,'Goals &amp; Budget 2026'!$A$2:$EJ$49,145,FALSE),0)</f>
        <v>0</v>
      </c>
      <c r="U14" s="84" t="str">
        <f t="shared" si="7"/>
        <v>***</v>
      </c>
      <c r="V14" s="73"/>
      <c r="W14" s="73">
        <f>+IFERROR(VLOOKUP($A14,'Goals &amp; Budget 2026'!$A$2:$EJ$49,146,FALSE),0)</f>
        <v>0</v>
      </c>
      <c r="X14" s="231" t="str">
        <f t="shared" si="8"/>
        <v>***</v>
      </c>
      <c r="Y14" s="73"/>
      <c r="Z14" s="73">
        <f>+IFERROR(VLOOKUP($A14,'Goals &amp; Budget 2026'!$A$2:$EJ$49,147,FALSE),0)</f>
        <v>0</v>
      </c>
      <c r="AA14" s="84" t="str">
        <f t="shared" si="9"/>
        <v>***</v>
      </c>
      <c r="AB14" s="73"/>
      <c r="AC14" s="73">
        <f>+IFERROR(VLOOKUP($A14,'Goals &amp; Budget 2026'!$A$2:$EJ$49,148,FALSE),0)</f>
        <v>0</v>
      </c>
      <c r="AD14" s="84" t="str">
        <f t="shared" si="10"/>
        <v>***</v>
      </c>
      <c r="AE14" s="73"/>
      <c r="AF14" s="73">
        <f>+IFERROR(VLOOKUP($A14,'Goals &amp; Budget 2026'!$A$2:$EJ$49,149,FALSE),0)</f>
        <v>0</v>
      </c>
      <c r="AG14" s="231" t="str">
        <f t="shared" si="11"/>
        <v>***</v>
      </c>
      <c r="AH14" s="73"/>
      <c r="AI14" s="73">
        <f>+IFERROR(VLOOKUP($A14,'Goals &amp; Budget 2026'!$A$2:$EJ$49,150,FALSE),0)</f>
        <v>0</v>
      </c>
      <c r="AJ14" s="84" t="str">
        <f t="shared" si="12"/>
        <v>***</v>
      </c>
      <c r="AK14" s="73"/>
      <c r="AL14" s="73">
        <f>+IFERROR(VLOOKUP($A14,'Goals &amp; Budget 2026'!$A$2:$EJ$49,151,FALSE),0)</f>
        <v>0</v>
      </c>
      <c r="AM14" s="84" t="str">
        <f t="shared" si="13"/>
        <v>***</v>
      </c>
      <c r="AN14" s="73"/>
      <c r="AO14" s="73">
        <f>+IFERROR(VLOOKUP($A14,'Goals &amp; Budget 2026'!$A$2:$EJ$49,152,FALSE),0)</f>
        <v>0</v>
      </c>
      <c r="AP14" s="85" t="str">
        <f t="shared" si="14"/>
        <v>***</v>
      </c>
    </row>
    <row r="15" spans="1:42" ht="20.100000000000001" customHeight="1" x14ac:dyDescent="0.25">
      <c r="A15" s="51" t="s">
        <v>92</v>
      </c>
      <c r="B15" s="52">
        <v>1</v>
      </c>
      <c r="C15" s="53">
        <v>2</v>
      </c>
      <c r="D15" s="70">
        <f t="shared" si="0"/>
        <v>0</v>
      </c>
      <c r="E15" s="73">
        <f t="shared" si="1"/>
        <v>0</v>
      </c>
      <c r="F15" s="231" t="str">
        <f t="shared" si="2"/>
        <v>***</v>
      </c>
      <c r="G15" s="73"/>
      <c r="H15" s="73">
        <f>+IFERROR(VLOOKUP($A15,'Goals &amp; Budget 2026'!$A$2:$EJ$49,141,FALSE),0)</f>
        <v>0</v>
      </c>
      <c r="I15" s="84" t="str">
        <f t="shared" si="3"/>
        <v>***</v>
      </c>
      <c r="J15" s="73"/>
      <c r="K15" s="73">
        <f>+IFERROR(VLOOKUP($A15,'Goals &amp; Budget 2026'!$A$2:$EJ$49,142,FALSE),0)</f>
        <v>0</v>
      </c>
      <c r="L15" s="84" t="str">
        <f t="shared" si="4"/>
        <v>***</v>
      </c>
      <c r="M15" s="73"/>
      <c r="N15" s="73">
        <f>+IFERROR(VLOOKUP($A15,'Goals &amp; Budget 2026'!$A$2:$EJ$49,143,FALSE),0)</f>
        <v>0</v>
      </c>
      <c r="O15" s="231" t="str">
        <f t="shared" si="5"/>
        <v>***</v>
      </c>
      <c r="P15" s="73"/>
      <c r="Q15" s="73">
        <f>+IFERROR(VLOOKUP($A15,'Goals &amp; Budget 2026'!$A$2:$EJ$49,144,FALSE),0)</f>
        <v>0</v>
      </c>
      <c r="R15" s="84" t="str">
        <f t="shared" si="6"/>
        <v>***</v>
      </c>
      <c r="S15" s="73"/>
      <c r="T15" s="73">
        <f>+IFERROR(VLOOKUP($A15,'Goals &amp; Budget 2026'!$A$2:$EJ$49,145,FALSE),0)</f>
        <v>0</v>
      </c>
      <c r="U15" s="84" t="str">
        <f t="shared" si="7"/>
        <v>***</v>
      </c>
      <c r="V15" s="73"/>
      <c r="W15" s="73">
        <f>+IFERROR(VLOOKUP($A15,'Goals &amp; Budget 2026'!$A$2:$EJ$49,146,FALSE),0)</f>
        <v>0</v>
      </c>
      <c r="X15" s="231" t="str">
        <f t="shared" si="8"/>
        <v>***</v>
      </c>
      <c r="Y15" s="73"/>
      <c r="Z15" s="73">
        <f>+IFERROR(VLOOKUP($A15,'Goals &amp; Budget 2026'!$A$2:$EJ$49,147,FALSE),0)</f>
        <v>0</v>
      </c>
      <c r="AA15" s="84" t="str">
        <f t="shared" si="9"/>
        <v>***</v>
      </c>
      <c r="AB15" s="73"/>
      <c r="AC15" s="73">
        <f>+IFERROR(VLOOKUP($A15,'Goals &amp; Budget 2026'!$A$2:$EJ$49,148,FALSE),0)</f>
        <v>0</v>
      </c>
      <c r="AD15" s="84" t="str">
        <f t="shared" si="10"/>
        <v>***</v>
      </c>
      <c r="AE15" s="73"/>
      <c r="AF15" s="73">
        <f>+IFERROR(VLOOKUP($A15,'Goals &amp; Budget 2026'!$A$2:$EJ$49,149,FALSE),0)</f>
        <v>0</v>
      </c>
      <c r="AG15" s="231" t="str">
        <f t="shared" si="11"/>
        <v>***</v>
      </c>
      <c r="AH15" s="73"/>
      <c r="AI15" s="73">
        <f>+IFERROR(VLOOKUP($A15,'Goals &amp; Budget 2026'!$A$2:$EJ$49,150,FALSE),0)</f>
        <v>0</v>
      </c>
      <c r="AJ15" s="84" t="str">
        <f t="shared" si="12"/>
        <v>***</v>
      </c>
      <c r="AK15" s="73"/>
      <c r="AL15" s="73">
        <f>+IFERROR(VLOOKUP($A15,'Goals &amp; Budget 2026'!$A$2:$EJ$49,151,FALSE),0)</f>
        <v>0</v>
      </c>
      <c r="AM15" s="84" t="str">
        <f t="shared" si="13"/>
        <v>***</v>
      </c>
      <c r="AN15" s="73"/>
      <c r="AO15" s="73">
        <f>+IFERROR(VLOOKUP($A15,'Goals &amp; Budget 2026'!$A$2:$EJ$49,152,FALSE),0)</f>
        <v>0</v>
      </c>
      <c r="AP15" s="85" t="str">
        <f t="shared" si="14"/>
        <v>***</v>
      </c>
    </row>
    <row r="16" spans="1:42" ht="20.100000000000001" customHeight="1" x14ac:dyDescent="0.25">
      <c r="A16" s="51" t="s">
        <v>20</v>
      </c>
      <c r="B16" s="52">
        <v>1</v>
      </c>
      <c r="C16" s="53">
        <v>71</v>
      </c>
      <c r="D16" s="70">
        <f t="shared" si="0"/>
        <v>0</v>
      </c>
      <c r="E16" s="73">
        <f t="shared" si="1"/>
        <v>0</v>
      </c>
      <c r="F16" s="231" t="str">
        <f t="shared" si="2"/>
        <v>***</v>
      </c>
      <c r="G16" s="73"/>
      <c r="H16" s="73">
        <f>+IFERROR(VLOOKUP($A16,'Goals &amp; Budget 2026'!$A$2:$EJ$49,141,FALSE),0)</f>
        <v>0</v>
      </c>
      <c r="I16" s="84" t="str">
        <f t="shared" si="3"/>
        <v>***</v>
      </c>
      <c r="J16" s="73"/>
      <c r="K16" s="73">
        <f>+IFERROR(VLOOKUP($A16,'Goals &amp; Budget 2026'!$A$2:$EJ$49,142,FALSE),0)</f>
        <v>0</v>
      </c>
      <c r="L16" s="84" t="str">
        <f t="shared" si="4"/>
        <v>***</v>
      </c>
      <c r="M16" s="73"/>
      <c r="N16" s="73">
        <f>+IFERROR(VLOOKUP($A16,'Goals &amp; Budget 2026'!$A$2:$EJ$49,143,FALSE),0)</f>
        <v>0</v>
      </c>
      <c r="O16" s="231" t="str">
        <f t="shared" si="5"/>
        <v>***</v>
      </c>
      <c r="P16" s="73"/>
      <c r="Q16" s="73">
        <f>+IFERROR(VLOOKUP($A16,'Goals &amp; Budget 2026'!$A$2:$EJ$49,144,FALSE),0)</f>
        <v>0</v>
      </c>
      <c r="R16" s="84" t="str">
        <f t="shared" si="6"/>
        <v>***</v>
      </c>
      <c r="S16" s="73"/>
      <c r="T16" s="73">
        <f>+IFERROR(VLOOKUP($A16,'Goals &amp; Budget 2026'!$A$2:$EJ$49,145,FALSE),0)</f>
        <v>0</v>
      </c>
      <c r="U16" s="84" t="str">
        <f t="shared" si="7"/>
        <v>***</v>
      </c>
      <c r="V16" s="73"/>
      <c r="W16" s="73">
        <f>+IFERROR(VLOOKUP($A16,'Goals &amp; Budget 2026'!$A$2:$EJ$49,146,FALSE),0)</f>
        <v>0</v>
      </c>
      <c r="X16" s="231" t="str">
        <f t="shared" si="8"/>
        <v>***</v>
      </c>
      <c r="Y16" s="73"/>
      <c r="Z16" s="73">
        <f>+IFERROR(VLOOKUP($A16,'Goals &amp; Budget 2026'!$A$2:$EJ$49,147,FALSE),0)</f>
        <v>0</v>
      </c>
      <c r="AA16" s="84" t="str">
        <f t="shared" si="9"/>
        <v>***</v>
      </c>
      <c r="AB16" s="73"/>
      <c r="AC16" s="73">
        <f>+IFERROR(VLOOKUP($A16,'Goals &amp; Budget 2026'!$A$2:$EJ$49,148,FALSE),0)</f>
        <v>0</v>
      </c>
      <c r="AD16" s="84" t="str">
        <f t="shared" si="10"/>
        <v>***</v>
      </c>
      <c r="AE16" s="73"/>
      <c r="AF16" s="73">
        <f>+IFERROR(VLOOKUP($A16,'Goals &amp; Budget 2026'!$A$2:$EJ$49,149,FALSE),0)</f>
        <v>0</v>
      </c>
      <c r="AG16" s="231" t="str">
        <f t="shared" si="11"/>
        <v>***</v>
      </c>
      <c r="AH16" s="73"/>
      <c r="AI16" s="73">
        <f>+IFERROR(VLOOKUP($A16,'Goals &amp; Budget 2026'!$A$2:$EJ$49,150,FALSE),0)</f>
        <v>0</v>
      </c>
      <c r="AJ16" s="84" t="str">
        <f t="shared" si="12"/>
        <v>***</v>
      </c>
      <c r="AK16" s="73"/>
      <c r="AL16" s="73">
        <f>+IFERROR(VLOOKUP($A16,'Goals &amp; Budget 2026'!$A$2:$EJ$49,151,FALSE),0)</f>
        <v>0</v>
      </c>
      <c r="AM16" s="84" t="str">
        <f t="shared" si="13"/>
        <v>***</v>
      </c>
      <c r="AN16" s="73"/>
      <c r="AO16" s="73">
        <f>+IFERROR(VLOOKUP($A16,'Goals &amp; Budget 2026'!$A$2:$EJ$49,152,FALSE),0)</f>
        <v>0</v>
      </c>
      <c r="AP16" s="85" t="str">
        <f t="shared" si="14"/>
        <v>***</v>
      </c>
    </row>
    <row r="17" spans="1:42" ht="20.100000000000001" customHeight="1" x14ac:dyDescent="0.25">
      <c r="A17" s="51" t="s">
        <v>75</v>
      </c>
      <c r="B17" s="52">
        <v>1</v>
      </c>
      <c r="C17" s="53">
        <v>28</v>
      </c>
      <c r="D17" s="70">
        <f t="shared" si="0"/>
        <v>0</v>
      </c>
      <c r="E17" s="73">
        <f t="shared" si="1"/>
        <v>0</v>
      </c>
      <c r="F17" s="231" t="str">
        <f t="shared" si="2"/>
        <v>***</v>
      </c>
      <c r="G17" s="73"/>
      <c r="H17" s="73">
        <f>+IFERROR(VLOOKUP($A17,'Goals &amp; Budget 2026'!$A$2:$EJ$49,141,FALSE),0)</f>
        <v>0</v>
      </c>
      <c r="I17" s="84" t="str">
        <f t="shared" si="3"/>
        <v>***</v>
      </c>
      <c r="J17" s="73"/>
      <c r="K17" s="73">
        <f>+IFERROR(VLOOKUP($A17,'Goals &amp; Budget 2026'!$A$2:$EJ$49,142,FALSE),0)</f>
        <v>0</v>
      </c>
      <c r="L17" s="84" t="str">
        <f t="shared" si="4"/>
        <v>***</v>
      </c>
      <c r="M17" s="73"/>
      <c r="N17" s="73">
        <f>+IFERROR(VLOOKUP($A17,'Goals &amp; Budget 2026'!$A$2:$EJ$49,143,FALSE),0)</f>
        <v>0</v>
      </c>
      <c r="O17" s="231" t="str">
        <f t="shared" si="5"/>
        <v>***</v>
      </c>
      <c r="P17" s="73"/>
      <c r="Q17" s="73">
        <f>+IFERROR(VLOOKUP($A17,'Goals &amp; Budget 2026'!$A$2:$EJ$49,144,FALSE),0)</f>
        <v>0</v>
      </c>
      <c r="R17" s="84" t="str">
        <f t="shared" si="6"/>
        <v>***</v>
      </c>
      <c r="S17" s="73"/>
      <c r="T17" s="73">
        <f>+IFERROR(VLOOKUP($A17,'Goals &amp; Budget 2026'!$A$2:$EJ$49,145,FALSE),0)</f>
        <v>0</v>
      </c>
      <c r="U17" s="84" t="str">
        <f t="shared" si="7"/>
        <v>***</v>
      </c>
      <c r="V17" s="73"/>
      <c r="W17" s="73">
        <f>+IFERROR(VLOOKUP($A17,'Goals &amp; Budget 2026'!$A$2:$EJ$49,146,FALSE),0)</f>
        <v>0</v>
      </c>
      <c r="X17" s="231" t="str">
        <f t="shared" si="8"/>
        <v>***</v>
      </c>
      <c r="Y17" s="73"/>
      <c r="Z17" s="73">
        <f>+IFERROR(VLOOKUP($A17,'Goals &amp; Budget 2026'!$A$2:$EJ$49,147,FALSE),0)</f>
        <v>0</v>
      </c>
      <c r="AA17" s="84" t="str">
        <f t="shared" si="9"/>
        <v>***</v>
      </c>
      <c r="AB17" s="73"/>
      <c r="AC17" s="73">
        <f>+IFERROR(VLOOKUP($A17,'Goals &amp; Budget 2026'!$A$2:$EJ$49,148,FALSE),0)</f>
        <v>0</v>
      </c>
      <c r="AD17" s="84" t="str">
        <f t="shared" si="10"/>
        <v>***</v>
      </c>
      <c r="AE17" s="73"/>
      <c r="AF17" s="73">
        <f>+IFERROR(VLOOKUP($A17,'Goals &amp; Budget 2026'!$A$2:$EJ$49,149,FALSE),0)</f>
        <v>0</v>
      </c>
      <c r="AG17" s="231" t="str">
        <f t="shared" si="11"/>
        <v>***</v>
      </c>
      <c r="AH17" s="73"/>
      <c r="AI17" s="73">
        <f>+IFERROR(VLOOKUP($A17,'Goals &amp; Budget 2026'!$A$2:$EJ$49,150,FALSE),0)</f>
        <v>0</v>
      </c>
      <c r="AJ17" s="84" t="str">
        <f t="shared" si="12"/>
        <v>***</v>
      </c>
      <c r="AK17" s="73"/>
      <c r="AL17" s="73">
        <f>+IFERROR(VLOOKUP($A17,'Goals &amp; Budget 2026'!$A$2:$EJ$49,151,FALSE),0)</f>
        <v>0</v>
      </c>
      <c r="AM17" s="84" t="str">
        <f t="shared" si="13"/>
        <v>***</v>
      </c>
      <c r="AN17" s="73"/>
      <c r="AO17" s="73">
        <f>+IFERROR(VLOOKUP($A17,'Goals &amp; Budget 2026'!$A$2:$EJ$49,152,FALSE),0)</f>
        <v>0</v>
      </c>
      <c r="AP17" s="85" t="str">
        <f t="shared" si="14"/>
        <v>***</v>
      </c>
    </row>
    <row r="18" spans="1:42" ht="20.100000000000001" customHeight="1" x14ac:dyDescent="0.25">
      <c r="A18" s="51" t="s">
        <v>76</v>
      </c>
      <c r="B18" s="52">
        <v>1</v>
      </c>
      <c r="C18" s="53">
        <v>28</v>
      </c>
      <c r="D18" s="70">
        <f t="shared" si="0"/>
        <v>0</v>
      </c>
      <c r="E18" s="73">
        <f t="shared" si="1"/>
        <v>0</v>
      </c>
      <c r="F18" s="231" t="str">
        <f t="shared" si="2"/>
        <v>***</v>
      </c>
      <c r="G18" s="73"/>
      <c r="H18" s="73">
        <f>+IFERROR(VLOOKUP($A18,'Goals &amp; Budget 2026'!$A$2:$EJ$49,141,FALSE),0)</f>
        <v>0</v>
      </c>
      <c r="I18" s="84" t="str">
        <f t="shared" si="3"/>
        <v>***</v>
      </c>
      <c r="J18" s="73"/>
      <c r="K18" s="73">
        <f>+IFERROR(VLOOKUP($A18,'Goals &amp; Budget 2026'!$A$2:$EJ$49,142,FALSE),0)</f>
        <v>0</v>
      </c>
      <c r="L18" s="84" t="str">
        <f t="shared" si="4"/>
        <v>***</v>
      </c>
      <c r="M18" s="73"/>
      <c r="N18" s="73">
        <f>+IFERROR(VLOOKUP($A18,'Goals &amp; Budget 2026'!$A$2:$EJ$49,143,FALSE),0)</f>
        <v>0</v>
      </c>
      <c r="O18" s="231" t="str">
        <f t="shared" si="5"/>
        <v>***</v>
      </c>
      <c r="P18" s="73"/>
      <c r="Q18" s="73">
        <f>+IFERROR(VLOOKUP($A18,'Goals &amp; Budget 2026'!$A$2:$EJ$49,144,FALSE),0)</f>
        <v>0</v>
      </c>
      <c r="R18" s="84" t="str">
        <f t="shared" si="6"/>
        <v>***</v>
      </c>
      <c r="S18" s="73"/>
      <c r="T18" s="73">
        <f>+IFERROR(VLOOKUP($A18,'Goals &amp; Budget 2026'!$A$2:$EJ$49,145,FALSE),0)</f>
        <v>0</v>
      </c>
      <c r="U18" s="84" t="str">
        <f t="shared" si="7"/>
        <v>***</v>
      </c>
      <c r="V18" s="73"/>
      <c r="W18" s="73">
        <f>+IFERROR(VLOOKUP($A18,'Goals &amp; Budget 2026'!$A$2:$EJ$49,146,FALSE),0)</f>
        <v>0</v>
      </c>
      <c r="X18" s="231" t="str">
        <f t="shared" si="8"/>
        <v>***</v>
      </c>
      <c r="Y18" s="73"/>
      <c r="Z18" s="73">
        <f>+IFERROR(VLOOKUP($A18,'Goals &amp; Budget 2026'!$A$2:$EJ$49,147,FALSE),0)</f>
        <v>0</v>
      </c>
      <c r="AA18" s="84" t="str">
        <f t="shared" si="9"/>
        <v>***</v>
      </c>
      <c r="AB18" s="73"/>
      <c r="AC18" s="73">
        <f>+IFERROR(VLOOKUP($A18,'Goals &amp; Budget 2026'!$A$2:$EJ$49,148,FALSE),0)</f>
        <v>0</v>
      </c>
      <c r="AD18" s="84" t="str">
        <f t="shared" si="10"/>
        <v>***</v>
      </c>
      <c r="AE18" s="73"/>
      <c r="AF18" s="73">
        <f>+IFERROR(VLOOKUP($A18,'Goals &amp; Budget 2026'!$A$2:$EJ$49,149,FALSE),0)</f>
        <v>0</v>
      </c>
      <c r="AG18" s="231" t="str">
        <f t="shared" si="11"/>
        <v>***</v>
      </c>
      <c r="AH18" s="73"/>
      <c r="AI18" s="73">
        <f>+IFERROR(VLOOKUP($A18,'Goals &amp; Budget 2026'!$A$2:$EJ$49,150,FALSE),0)</f>
        <v>0</v>
      </c>
      <c r="AJ18" s="84" t="str">
        <f t="shared" si="12"/>
        <v>***</v>
      </c>
      <c r="AK18" s="73"/>
      <c r="AL18" s="73">
        <f>+IFERROR(VLOOKUP($A18,'Goals &amp; Budget 2026'!$A$2:$EJ$49,151,FALSE),0)</f>
        <v>0</v>
      </c>
      <c r="AM18" s="84" t="str">
        <f t="shared" si="13"/>
        <v>***</v>
      </c>
      <c r="AN18" s="73"/>
      <c r="AO18" s="73">
        <f>+IFERROR(VLOOKUP($A18,'Goals &amp; Budget 2026'!$A$2:$EJ$49,152,FALSE),0)</f>
        <v>0</v>
      </c>
      <c r="AP18" s="85" t="str">
        <f t="shared" si="14"/>
        <v>***</v>
      </c>
    </row>
    <row r="19" spans="1:42" ht="20.100000000000001" customHeight="1" x14ac:dyDescent="0.25">
      <c r="A19" s="51" t="s">
        <v>77</v>
      </c>
      <c r="B19" s="52">
        <v>1</v>
      </c>
      <c r="C19" s="53">
        <v>14</v>
      </c>
      <c r="D19" s="70">
        <f t="shared" si="0"/>
        <v>0</v>
      </c>
      <c r="E19" s="73">
        <f t="shared" si="1"/>
        <v>0</v>
      </c>
      <c r="F19" s="231" t="str">
        <f t="shared" si="2"/>
        <v>***</v>
      </c>
      <c r="G19" s="73"/>
      <c r="H19" s="73">
        <f>+IFERROR(VLOOKUP($A19,'Goals &amp; Budget 2026'!$A$2:$EJ$49,141,FALSE),0)</f>
        <v>0</v>
      </c>
      <c r="I19" s="84" t="str">
        <f t="shared" si="3"/>
        <v>***</v>
      </c>
      <c r="J19" s="73"/>
      <c r="K19" s="73">
        <f>+IFERROR(VLOOKUP($A19,'Goals &amp; Budget 2026'!$A$2:$EJ$49,142,FALSE),0)</f>
        <v>0</v>
      </c>
      <c r="L19" s="84" t="str">
        <f t="shared" si="4"/>
        <v>***</v>
      </c>
      <c r="M19" s="73"/>
      <c r="N19" s="73">
        <f>+IFERROR(VLOOKUP($A19,'Goals &amp; Budget 2026'!$A$2:$EJ$49,143,FALSE),0)</f>
        <v>0</v>
      </c>
      <c r="O19" s="231" t="str">
        <f t="shared" si="5"/>
        <v>***</v>
      </c>
      <c r="P19" s="73"/>
      <c r="Q19" s="73">
        <f>+IFERROR(VLOOKUP($A19,'Goals &amp; Budget 2026'!$A$2:$EJ$49,144,FALSE),0)</f>
        <v>0</v>
      </c>
      <c r="R19" s="84" t="str">
        <f t="shared" si="6"/>
        <v>***</v>
      </c>
      <c r="S19" s="73"/>
      <c r="T19" s="73">
        <f>+IFERROR(VLOOKUP($A19,'Goals &amp; Budget 2026'!$A$2:$EJ$49,145,FALSE),0)</f>
        <v>0</v>
      </c>
      <c r="U19" s="84" t="str">
        <f t="shared" si="7"/>
        <v>***</v>
      </c>
      <c r="V19" s="73"/>
      <c r="W19" s="73">
        <f>+IFERROR(VLOOKUP($A19,'Goals &amp; Budget 2026'!$A$2:$EJ$49,146,FALSE),0)</f>
        <v>0</v>
      </c>
      <c r="X19" s="231" t="str">
        <f t="shared" si="8"/>
        <v>***</v>
      </c>
      <c r="Y19" s="73"/>
      <c r="Z19" s="73">
        <f>+IFERROR(VLOOKUP($A19,'Goals &amp; Budget 2026'!$A$2:$EJ$49,147,FALSE),0)</f>
        <v>0</v>
      </c>
      <c r="AA19" s="84" t="str">
        <f t="shared" si="9"/>
        <v>***</v>
      </c>
      <c r="AB19" s="73"/>
      <c r="AC19" s="73">
        <f>+IFERROR(VLOOKUP($A19,'Goals &amp; Budget 2026'!$A$2:$EJ$49,148,FALSE),0)</f>
        <v>0</v>
      </c>
      <c r="AD19" s="84" t="str">
        <f t="shared" si="10"/>
        <v>***</v>
      </c>
      <c r="AE19" s="73"/>
      <c r="AF19" s="73">
        <f>+IFERROR(VLOOKUP($A19,'Goals &amp; Budget 2026'!$A$2:$EJ$49,149,FALSE),0)</f>
        <v>0</v>
      </c>
      <c r="AG19" s="231" t="str">
        <f t="shared" si="11"/>
        <v>***</v>
      </c>
      <c r="AH19" s="73"/>
      <c r="AI19" s="73">
        <f>+IFERROR(VLOOKUP($A19,'Goals &amp; Budget 2026'!$A$2:$EJ$49,150,FALSE),0)</f>
        <v>0</v>
      </c>
      <c r="AJ19" s="84" t="str">
        <f t="shared" si="12"/>
        <v>***</v>
      </c>
      <c r="AK19" s="73"/>
      <c r="AL19" s="73">
        <f>+IFERROR(VLOOKUP($A19,'Goals &amp; Budget 2026'!$A$2:$EJ$49,151,FALSE),0)</f>
        <v>0</v>
      </c>
      <c r="AM19" s="84" t="str">
        <f t="shared" si="13"/>
        <v>***</v>
      </c>
      <c r="AN19" s="73"/>
      <c r="AO19" s="73">
        <f>+IFERROR(VLOOKUP($A19,'Goals &amp; Budget 2026'!$A$2:$EJ$49,152,FALSE),0)</f>
        <v>0</v>
      </c>
      <c r="AP19" s="85" t="str">
        <f t="shared" si="14"/>
        <v>***</v>
      </c>
    </row>
    <row r="20" spans="1:42" ht="20.100000000000001" customHeight="1" x14ac:dyDescent="0.25">
      <c r="A20" s="51" t="s">
        <v>78</v>
      </c>
      <c r="B20" s="52">
        <v>1</v>
      </c>
      <c r="C20" s="53">
        <v>14</v>
      </c>
      <c r="D20" s="70">
        <f t="shared" si="0"/>
        <v>0</v>
      </c>
      <c r="E20" s="73">
        <f t="shared" si="1"/>
        <v>0</v>
      </c>
      <c r="F20" s="231" t="str">
        <f t="shared" si="2"/>
        <v>***</v>
      </c>
      <c r="G20" s="73"/>
      <c r="H20" s="73">
        <f>+IFERROR(VLOOKUP($A20,'Goals &amp; Budget 2026'!$A$2:$EJ$49,141,FALSE),0)</f>
        <v>0</v>
      </c>
      <c r="I20" s="84" t="str">
        <f t="shared" si="3"/>
        <v>***</v>
      </c>
      <c r="J20" s="73"/>
      <c r="K20" s="73">
        <f>+IFERROR(VLOOKUP($A20,'Goals &amp; Budget 2026'!$A$2:$EJ$49,142,FALSE),0)</f>
        <v>0</v>
      </c>
      <c r="L20" s="84" t="str">
        <f t="shared" si="4"/>
        <v>***</v>
      </c>
      <c r="M20" s="73"/>
      <c r="N20" s="73">
        <f>+IFERROR(VLOOKUP($A20,'Goals &amp; Budget 2026'!$A$2:$EJ$49,143,FALSE),0)</f>
        <v>0</v>
      </c>
      <c r="O20" s="231" t="str">
        <f t="shared" si="5"/>
        <v>***</v>
      </c>
      <c r="P20" s="73"/>
      <c r="Q20" s="73">
        <f>+IFERROR(VLOOKUP($A20,'Goals &amp; Budget 2026'!$A$2:$EJ$49,144,FALSE),0)</f>
        <v>0</v>
      </c>
      <c r="R20" s="84" t="str">
        <f t="shared" si="6"/>
        <v>***</v>
      </c>
      <c r="S20" s="73"/>
      <c r="T20" s="73">
        <f>+IFERROR(VLOOKUP($A20,'Goals &amp; Budget 2026'!$A$2:$EJ$49,145,FALSE),0)</f>
        <v>0</v>
      </c>
      <c r="U20" s="84" t="str">
        <f t="shared" si="7"/>
        <v>***</v>
      </c>
      <c r="V20" s="73"/>
      <c r="W20" s="73">
        <f>+IFERROR(VLOOKUP($A20,'Goals &amp; Budget 2026'!$A$2:$EJ$49,146,FALSE),0)</f>
        <v>0</v>
      </c>
      <c r="X20" s="231" t="str">
        <f t="shared" si="8"/>
        <v>***</v>
      </c>
      <c r="Y20" s="73"/>
      <c r="Z20" s="73">
        <f>+IFERROR(VLOOKUP($A20,'Goals &amp; Budget 2026'!$A$2:$EJ$49,147,FALSE),0)</f>
        <v>0</v>
      </c>
      <c r="AA20" s="84" t="str">
        <f t="shared" si="9"/>
        <v>***</v>
      </c>
      <c r="AB20" s="73"/>
      <c r="AC20" s="73">
        <f>+IFERROR(VLOOKUP($A20,'Goals &amp; Budget 2026'!$A$2:$EJ$49,148,FALSE),0)</f>
        <v>0</v>
      </c>
      <c r="AD20" s="84" t="str">
        <f t="shared" si="10"/>
        <v>***</v>
      </c>
      <c r="AE20" s="73"/>
      <c r="AF20" s="73">
        <f>+IFERROR(VLOOKUP($A20,'Goals &amp; Budget 2026'!$A$2:$EJ$49,149,FALSE),0)</f>
        <v>0</v>
      </c>
      <c r="AG20" s="231" t="str">
        <f t="shared" si="11"/>
        <v>***</v>
      </c>
      <c r="AH20" s="73"/>
      <c r="AI20" s="73">
        <f>+IFERROR(VLOOKUP($A20,'Goals &amp; Budget 2026'!$A$2:$EJ$49,150,FALSE),0)</f>
        <v>0</v>
      </c>
      <c r="AJ20" s="84" t="str">
        <f t="shared" si="12"/>
        <v>***</v>
      </c>
      <c r="AK20" s="73"/>
      <c r="AL20" s="73">
        <f>+IFERROR(VLOOKUP($A20,'Goals &amp; Budget 2026'!$A$2:$EJ$49,151,FALSE),0)</f>
        <v>0</v>
      </c>
      <c r="AM20" s="84" t="str">
        <f t="shared" si="13"/>
        <v>***</v>
      </c>
      <c r="AN20" s="73"/>
      <c r="AO20" s="73">
        <f>+IFERROR(VLOOKUP($A20,'Goals &amp; Budget 2026'!$A$2:$EJ$49,152,FALSE),0)</f>
        <v>0</v>
      </c>
      <c r="AP20" s="85" t="str">
        <f t="shared" si="14"/>
        <v>***</v>
      </c>
    </row>
    <row r="21" spans="1:42" ht="20.100000000000001" customHeight="1" x14ac:dyDescent="0.25">
      <c r="A21" s="51" t="s">
        <v>79</v>
      </c>
      <c r="B21" s="52">
        <v>1</v>
      </c>
      <c r="C21" s="53">
        <v>14</v>
      </c>
      <c r="D21" s="70">
        <f t="shared" si="0"/>
        <v>0</v>
      </c>
      <c r="E21" s="73">
        <f t="shared" si="1"/>
        <v>0</v>
      </c>
      <c r="F21" s="231" t="str">
        <f t="shared" si="2"/>
        <v>***</v>
      </c>
      <c r="G21" s="73"/>
      <c r="H21" s="73">
        <f>+IFERROR(VLOOKUP($A21,'Goals &amp; Budget 2026'!$A$2:$EJ$49,141,FALSE),0)</f>
        <v>0</v>
      </c>
      <c r="I21" s="84" t="str">
        <f t="shared" si="3"/>
        <v>***</v>
      </c>
      <c r="J21" s="73"/>
      <c r="K21" s="73">
        <f>+IFERROR(VLOOKUP($A21,'Goals &amp; Budget 2026'!$A$2:$EJ$49,142,FALSE),0)</f>
        <v>0</v>
      </c>
      <c r="L21" s="84" t="str">
        <f t="shared" si="4"/>
        <v>***</v>
      </c>
      <c r="M21" s="73"/>
      <c r="N21" s="73">
        <f>+IFERROR(VLOOKUP($A21,'Goals &amp; Budget 2026'!$A$2:$EJ$49,143,FALSE),0)</f>
        <v>0</v>
      </c>
      <c r="O21" s="231" t="str">
        <f t="shared" si="5"/>
        <v>***</v>
      </c>
      <c r="P21" s="73"/>
      <c r="Q21" s="73">
        <f>+IFERROR(VLOOKUP($A21,'Goals &amp; Budget 2026'!$A$2:$EJ$49,144,FALSE),0)</f>
        <v>0</v>
      </c>
      <c r="R21" s="84" t="str">
        <f t="shared" si="6"/>
        <v>***</v>
      </c>
      <c r="S21" s="73"/>
      <c r="T21" s="73">
        <f>+IFERROR(VLOOKUP($A21,'Goals &amp; Budget 2026'!$A$2:$EJ$49,145,FALSE),0)</f>
        <v>0</v>
      </c>
      <c r="U21" s="84" t="str">
        <f t="shared" si="7"/>
        <v>***</v>
      </c>
      <c r="V21" s="73"/>
      <c r="W21" s="73">
        <f>+IFERROR(VLOOKUP($A21,'Goals &amp; Budget 2026'!$A$2:$EJ$49,146,FALSE),0)</f>
        <v>0</v>
      </c>
      <c r="X21" s="231" t="str">
        <f t="shared" si="8"/>
        <v>***</v>
      </c>
      <c r="Y21" s="73"/>
      <c r="Z21" s="73">
        <f>+IFERROR(VLOOKUP($A21,'Goals &amp; Budget 2026'!$A$2:$EJ$49,147,FALSE),0)</f>
        <v>0</v>
      </c>
      <c r="AA21" s="84" t="str">
        <f t="shared" si="9"/>
        <v>***</v>
      </c>
      <c r="AB21" s="73"/>
      <c r="AC21" s="73">
        <f>+IFERROR(VLOOKUP($A21,'Goals &amp; Budget 2026'!$A$2:$EJ$49,148,FALSE),0)</f>
        <v>0</v>
      </c>
      <c r="AD21" s="84" t="str">
        <f t="shared" si="10"/>
        <v>***</v>
      </c>
      <c r="AE21" s="73"/>
      <c r="AF21" s="73">
        <f>+IFERROR(VLOOKUP($A21,'Goals &amp; Budget 2026'!$A$2:$EJ$49,149,FALSE),0)</f>
        <v>0</v>
      </c>
      <c r="AG21" s="231" t="str">
        <f t="shared" si="11"/>
        <v>***</v>
      </c>
      <c r="AH21" s="73"/>
      <c r="AI21" s="73">
        <f>+IFERROR(VLOOKUP($A21,'Goals &amp; Budget 2026'!$A$2:$EJ$49,150,FALSE),0)</f>
        <v>0</v>
      </c>
      <c r="AJ21" s="84" t="str">
        <f t="shared" si="12"/>
        <v>***</v>
      </c>
      <c r="AK21" s="73"/>
      <c r="AL21" s="73">
        <f>+IFERROR(VLOOKUP($A21,'Goals &amp; Budget 2026'!$A$2:$EJ$49,151,FALSE),0)</f>
        <v>0</v>
      </c>
      <c r="AM21" s="84" t="str">
        <f t="shared" si="13"/>
        <v>***</v>
      </c>
      <c r="AN21" s="73"/>
      <c r="AO21" s="73">
        <f>+IFERROR(VLOOKUP($A21,'Goals &amp; Budget 2026'!$A$2:$EJ$49,152,FALSE),0)</f>
        <v>0</v>
      </c>
      <c r="AP21" s="85" t="str">
        <f t="shared" si="14"/>
        <v>***</v>
      </c>
    </row>
    <row r="22" spans="1:42" ht="20.100000000000001" customHeight="1" x14ac:dyDescent="0.25">
      <c r="A22" s="51" t="s">
        <v>80</v>
      </c>
      <c r="B22" s="52">
        <v>1</v>
      </c>
      <c r="C22" s="53">
        <v>14</v>
      </c>
      <c r="D22" s="70">
        <f t="shared" si="0"/>
        <v>0</v>
      </c>
      <c r="E22" s="73">
        <f t="shared" si="1"/>
        <v>0</v>
      </c>
      <c r="F22" s="231" t="str">
        <f t="shared" si="2"/>
        <v>***</v>
      </c>
      <c r="G22" s="73"/>
      <c r="H22" s="73">
        <f>+IFERROR(VLOOKUP($A22,'Goals &amp; Budget 2026'!$A$2:$EJ$49,141,FALSE),0)</f>
        <v>0</v>
      </c>
      <c r="I22" s="84" t="str">
        <f t="shared" si="3"/>
        <v>***</v>
      </c>
      <c r="J22" s="73"/>
      <c r="K22" s="73">
        <f>+IFERROR(VLOOKUP($A22,'Goals &amp; Budget 2026'!$A$2:$EJ$49,142,FALSE),0)</f>
        <v>0</v>
      </c>
      <c r="L22" s="84" t="str">
        <f t="shared" si="4"/>
        <v>***</v>
      </c>
      <c r="M22" s="73"/>
      <c r="N22" s="73">
        <f>+IFERROR(VLOOKUP($A22,'Goals &amp; Budget 2026'!$A$2:$EJ$49,143,FALSE),0)</f>
        <v>0</v>
      </c>
      <c r="O22" s="231" t="str">
        <f t="shared" si="5"/>
        <v>***</v>
      </c>
      <c r="P22" s="73"/>
      <c r="Q22" s="73">
        <f>+IFERROR(VLOOKUP($A22,'Goals &amp; Budget 2026'!$A$2:$EJ$49,144,FALSE),0)</f>
        <v>0</v>
      </c>
      <c r="R22" s="84" t="str">
        <f t="shared" si="6"/>
        <v>***</v>
      </c>
      <c r="S22" s="73"/>
      <c r="T22" s="73">
        <f>+IFERROR(VLOOKUP($A22,'Goals &amp; Budget 2026'!$A$2:$EJ$49,145,FALSE),0)</f>
        <v>0</v>
      </c>
      <c r="U22" s="84" t="str">
        <f t="shared" si="7"/>
        <v>***</v>
      </c>
      <c r="V22" s="73"/>
      <c r="W22" s="73">
        <f>+IFERROR(VLOOKUP($A22,'Goals &amp; Budget 2026'!$A$2:$EJ$49,146,FALSE),0)</f>
        <v>0</v>
      </c>
      <c r="X22" s="231" t="str">
        <f t="shared" si="8"/>
        <v>***</v>
      </c>
      <c r="Y22" s="73"/>
      <c r="Z22" s="73">
        <f>+IFERROR(VLOOKUP($A22,'Goals &amp; Budget 2026'!$A$2:$EJ$49,147,FALSE),0)</f>
        <v>0</v>
      </c>
      <c r="AA22" s="84" t="str">
        <f t="shared" si="9"/>
        <v>***</v>
      </c>
      <c r="AB22" s="73"/>
      <c r="AC22" s="73">
        <f>+IFERROR(VLOOKUP($A22,'Goals &amp; Budget 2026'!$A$2:$EJ$49,148,FALSE),0)</f>
        <v>0</v>
      </c>
      <c r="AD22" s="84" t="str">
        <f t="shared" si="10"/>
        <v>***</v>
      </c>
      <c r="AE22" s="73"/>
      <c r="AF22" s="73">
        <f>+IFERROR(VLOOKUP($A22,'Goals &amp; Budget 2026'!$A$2:$EJ$49,149,FALSE),0)</f>
        <v>0</v>
      </c>
      <c r="AG22" s="231" t="str">
        <f t="shared" si="11"/>
        <v>***</v>
      </c>
      <c r="AH22" s="73"/>
      <c r="AI22" s="73">
        <f>+IFERROR(VLOOKUP($A22,'Goals &amp; Budget 2026'!$A$2:$EJ$49,150,FALSE),0)</f>
        <v>0</v>
      </c>
      <c r="AJ22" s="84" t="str">
        <f t="shared" si="12"/>
        <v>***</v>
      </c>
      <c r="AK22" s="73"/>
      <c r="AL22" s="73">
        <f>+IFERROR(VLOOKUP($A22,'Goals &amp; Budget 2026'!$A$2:$EJ$49,151,FALSE),0)</f>
        <v>0</v>
      </c>
      <c r="AM22" s="84" t="str">
        <f t="shared" si="13"/>
        <v>***</v>
      </c>
      <c r="AN22" s="73"/>
      <c r="AO22" s="73">
        <f>+IFERROR(VLOOKUP($A22,'Goals &amp; Budget 2026'!$A$2:$EJ$49,152,FALSE),0)</f>
        <v>0</v>
      </c>
      <c r="AP22" s="85" t="str">
        <f t="shared" si="14"/>
        <v>***</v>
      </c>
    </row>
    <row r="23" spans="1:42" ht="20.100000000000001" customHeight="1" x14ac:dyDescent="0.25">
      <c r="A23" s="51" t="s">
        <v>21</v>
      </c>
      <c r="B23" s="52">
        <v>1</v>
      </c>
      <c r="C23" s="53">
        <v>30</v>
      </c>
      <c r="D23" s="70">
        <f t="shared" si="0"/>
        <v>0</v>
      </c>
      <c r="E23" s="73">
        <f t="shared" si="1"/>
        <v>0</v>
      </c>
      <c r="F23" s="231" t="str">
        <f t="shared" si="2"/>
        <v>***</v>
      </c>
      <c r="G23" s="73"/>
      <c r="H23" s="73">
        <f>+IFERROR(VLOOKUP($A23,'Goals &amp; Budget 2026'!$A$2:$EJ$49,141,FALSE),0)</f>
        <v>0</v>
      </c>
      <c r="I23" s="84" t="str">
        <f t="shared" si="3"/>
        <v>***</v>
      </c>
      <c r="J23" s="73"/>
      <c r="K23" s="73">
        <f>+IFERROR(VLOOKUP($A23,'Goals &amp; Budget 2026'!$A$2:$EJ$49,142,FALSE),0)</f>
        <v>0</v>
      </c>
      <c r="L23" s="84" t="str">
        <f t="shared" si="4"/>
        <v>***</v>
      </c>
      <c r="M23" s="73"/>
      <c r="N23" s="73">
        <f>+IFERROR(VLOOKUP($A23,'Goals &amp; Budget 2026'!$A$2:$EJ$49,143,FALSE),0)</f>
        <v>0</v>
      </c>
      <c r="O23" s="231" t="str">
        <f t="shared" si="5"/>
        <v>***</v>
      </c>
      <c r="P23" s="73"/>
      <c r="Q23" s="73">
        <f>+IFERROR(VLOOKUP($A23,'Goals &amp; Budget 2026'!$A$2:$EJ$49,144,FALSE),0)</f>
        <v>0</v>
      </c>
      <c r="R23" s="84" t="str">
        <f t="shared" si="6"/>
        <v>***</v>
      </c>
      <c r="S23" s="73"/>
      <c r="T23" s="73">
        <f>+IFERROR(VLOOKUP($A23,'Goals &amp; Budget 2026'!$A$2:$EJ$49,145,FALSE),0)</f>
        <v>0</v>
      </c>
      <c r="U23" s="84" t="str">
        <f t="shared" si="7"/>
        <v>***</v>
      </c>
      <c r="V23" s="73"/>
      <c r="W23" s="73">
        <f>+IFERROR(VLOOKUP($A23,'Goals &amp; Budget 2026'!$A$2:$EJ$49,146,FALSE),0)</f>
        <v>0</v>
      </c>
      <c r="X23" s="231" t="str">
        <f t="shared" si="8"/>
        <v>***</v>
      </c>
      <c r="Y23" s="73"/>
      <c r="Z23" s="73">
        <f>+IFERROR(VLOOKUP($A23,'Goals &amp; Budget 2026'!$A$2:$EJ$49,147,FALSE),0)</f>
        <v>0</v>
      </c>
      <c r="AA23" s="84" t="str">
        <f t="shared" si="9"/>
        <v>***</v>
      </c>
      <c r="AB23" s="73"/>
      <c r="AC23" s="73">
        <f>+IFERROR(VLOOKUP($A23,'Goals &amp; Budget 2026'!$A$2:$EJ$49,148,FALSE),0)</f>
        <v>0</v>
      </c>
      <c r="AD23" s="84" t="str">
        <f t="shared" si="10"/>
        <v>***</v>
      </c>
      <c r="AE23" s="73"/>
      <c r="AF23" s="73">
        <f>+IFERROR(VLOOKUP($A23,'Goals &amp; Budget 2026'!$A$2:$EJ$49,149,FALSE),0)</f>
        <v>0</v>
      </c>
      <c r="AG23" s="231" t="str">
        <f t="shared" si="11"/>
        <v>***</v>
      </c>
      <c r="AH23" s="73"/>
      <c r="AI23" s="73">
        <f>+IFERROR(VLOOKUP($A23,'Goals &amp; Budget 2026'!$A$2:$EJ$49,150,FALSE),0)</f>
        <v>0</v>
      </c>
      <c r="AJ23" s="84" t="str">
        <f t="shared" si="12"/>
        <v>***</v>
      </c>
      <c r="AK23" s="73"/>
      <c r="AL23" s="73">
        <f>+IFERROR(VLOOKUP($A23,'Goals &amp; Budget 2026'!$A$2:$EJ$49,151,FALSE),0)</f>
        <v>0</v>
      </c>
      <c r="AM23" s="84" t="str">
        <f t="shared" si="13"/>
        <v>***</v>
      </c>
      <c r="AN23" s="73"/>
      <c r="AO23" s="73">
        <f>+IFERROR(VLOOKUP($A23,'Goals &amp; Budget 2026'!$A$2:$EJ$49,152,FALSE),0)</f>
        <v>0</v>
      </c>
      <c r="AP23" s="85" t="str">
        <f t="shared" si="14"/>
        <v>***</v>
      </c>
    </row>
    <row r="24" spans="1:42" ht="20.100000000000001" customHeight="1" x14ac:dyDescent="0.25">
      <c r="A24" s="51" t="s">
        <v>81</v>
      </c>
      <c r="B24" s="52">
        <v>0.5</v>
      </c>
      <c r="C24" s="53">
        <v>58</v>
      </c>
      <c r="D24" s="70">
        <f t="shared" si="0"/>
        <v>0</v>
      </c>
      <c r="E24" s="73">
        <f t="shared" si="1"/>
        <v>0</v>
      </c>
      <c r="F24" s="231" t="str">
        <f t="shared" si="2"/>
        <v>***</v>
      </c>
      <c r="G24" s="73"/>
      <c r="H24" s="73">
        <f>+IFERROR(VLOOKUP($A24,'Goals &amp; Budget 2026'!$A$2:$EJ$49,141,FALSE),0)</f>
        <v>0</v>
      </c>
      <c r="I24" s="84" t="str">
        <f t="shared" si="3"/>
        <v>***</v>
      </c>
      <c r="J24" s="73"/>
      <c r="K24" s="73">
        <f>+IFERROR(VLOOKUP($A24,'Goals &amp; Budget 2026'!$A$2:$EJ$49,142,FALSE),0)</f>
        <v>0</v>
      </c>
      <c r="L24" s="84" t="str">
        <f t="shared" si="4"/>
        <v>***</v>
      </c>
      <c r="M24" s="73"/>
      <c r="N24" s="73">
        <f>+IFERROR(VLOOKUP($A24,'Goals &amp; Budget 2026'!$A$2:$EJ$49,143,FALSE),0)</f>
        <v>0</v>
      </c>
      <c r="O24" s="231" t="str">
        <f t="shared" si="5"/>
        <v>***</v>
      </c>
      <c r="P24" s="73"/>
      <c r="Q24" s="73">
        <f>+IFERROR(VLOOKUP($A24,'Goals &amp; Budget 2026'!$A$2:$EJ$49,144,FALSE),0)</f>
        <v>0</v>
      </c>
      <c r="R24" s="84" t="str">
        <f t="shared" si="6"/>
        <v>***</v>
      </c>
      <c r="S24" s="73"/>
      <c r="T24" s="73">
        <f>+IFERROR(VLOOKUP($A24,'Goals &amp; Budget 2026'!$A$2:$EJ$49,145,FALSE),0)</f>
        <v>0</v>
      </c>
      <c r="U24" s="84" t="str">
        <f t="shared" si="7"/>
        <v>***</v>
      </c>
      <c r="V24" s="73"/>
      <c r="W24" s="73">
        <f>+IFERROR(VLOOKUP($A24,'Goals &amp; Budget 2026'!$A$2:$EJ$49,146,FALSE),0)</f>
        <v>0</v>
      </c>
      <c r="X24" s="231" t="str">
        <f t="shared" si="8"/>
        <v>***</v>
      </c>
      <c r="Y24" s="73"/>
      <c r="Z24" s="73">
        <f>+IFERROR(VLOOKUP($A24,'Goals &amp; Budget 2026'!$A$2:$EJ$49,147,FALSE),0)</f>
        <v>0</v>
      </c>
      <c r="AA24" s="84" t="str">
        <f t="shared" si="9"/>
        <v>***</v>
      </c>
      <c r="AB24" s="73"/>
      <c r="AC24" s="73">
        <f>+IFERROR(VLOOKUP($A24,'Goals &amp; Budget 2026'!$A$2:$EJ$49,148,FALSE),0)</f>
        <v>0</v>
      </c>
      <c r="AD24" s="84" t="str">
        <f t="shared" si="10"/>
        <v>***</v>
      </c>
      <c r="AE24" s="73"/>
      <c r="AF24" s="73">
        <f>+IFERROR(VLOOKUP($A24,'Goals &amp; Budget 2026'!$A$2:$EJ$49,149,FALSE),0)</f>
        <v>0</v>
      </c>
      <c r="AG24" s="231" t="str">
        <f t="shared" si="11"/>
        <v>***</v>
      </c>
      <c r="AH24" s="73"/>
      <c r="AI24" s="73">
        <f>+IFERROR(VLOOKUP($A24,'Goals &amp; Budget 2026'!$A$2:$EJ$49,150,FALSE),0)</f>
        <v>0</v>
      </c>
      <c r="AJ24" s="84" t="str">
        <f t="shared" si="12"/>
        <v>***</v>
      </c>
      <c r="AK24" s="73"/>
      <c r="AL24" s="73">
        <f>+IFERROR(VLOOKUP($A24,'Goals &amp; Budget 2026'!$A$2:$EJ$49,151,FALSE),0)</f>
        <v>0</v>
      </c>
      <c r="AM24" s="84" t="str">
        <f t="shared" si="13"/>
        <v>***</v>
      </c>
      <c r="AN24" s="73"/>
      <c r="AO24" s="73">
        <f>+IFERROR(VLOOKUP($A24,'Goals &amp; Budget 2026'!$A$2:$EJ$49,152,FALSE),0)</f>
        <v>0</v>
      </c>
      <c r="AP24" s="85" t="str">
        <f t="shared" si="14"/>
        <v>***</v>
      </c>
    </row>
    <row r="25" spans="1:42" ht="20.100000000000001" customHeight="1" x14ac:dyDescent="0.25">
      <c r="A25" s="51" t="s">
        <v>82</v>
      </c>
      <c r="B25" s="52">
        <v>0.5</v>
      </c>
      <c r="C25" s="53">
        <v>58</v>
      </c>
      <c r="D25" s="70">
        <f t="shared" si="0"/>
        <v>0</v>
      </c>
      <c r="E25" s="73">
        <f t="shared" si="1"/>
        <v>0</v>
      </c>
      <c r="F25" s="231" t="str">
        <f t="shared" si="2"/>
        <v>***</v>
      </c>
      <c r="G25" s="73"/>
      <c r="H25" s="73">
        <f>+IFERROR(VLOOKUP($A25,'Goals &amp; Budget 2026'!$A$2:$EJ$49,141,FALSE),0)</f>
        <v>0</v>
      </c>
      <c r="I25" s="84" t="str">
        <f t="shared" si="3"/>
        <v>***</v>
      </c>
      <c r="J25" s="73"/>
      <c r="K25" s="73">
        <f>+IFERROR(VLOOKUP($A25,'Goals &amp; Budget 2026'!$A$2:$EJ$49,142,FALSE),0)</f>
        <v>0</v>
      </c>
      <c r="L25" s="84" t="str">
        <f t="shared" si="4"/>
        <v>***</v>
      </c>
      <c r="M25" s="73"/>
      <c r="N25" s="73">
        <f>+IFERROR(VLOOKUP($A25,'Goals &amp; Budget 2026'!$A$2:$EJ$49,143,FALSE),0)</f>
        <v>0</v>
      </c>
      <c r="O25" s="231" t="str">
        <f t="shared" si="5"/>
        <v>***</v>
      </c>
      <c r="P25" s="73"/>
      <c r="Q25" s="73">
        <f>+IFERROR(VLOOKUP($A25,'Goals &amp; Budget 2026'!$A$2:$EJ$49,144,FALSE),0)</f>
        <v>0</v>
      </c>
      <c r="R25" s="84" t="str">
        <f t="shared" si="6"/>
        <v>***</v>
      </c>
      <c r="S25" s="73"/>
      <c r="T25" s="73">
        <f>+IFERROR(VLOOKUP($A25,'Goals &amp; Budget 2026'!$A$2:$EJ$49,145,FALSE),0)</f>
        <v>0</v>
      </c>
      <c r="U25" s="84" t="str">
        <f t="shared" si="7"/>
        <v>***</v>
      </c>
      <c r="V25" s="73"/>
      <c r="W25" s="73">
        <f>+IFERROR(VLOOKUP($A25,'Goals &amp; Budget 2026'!$A$2:$EJ$49,146,FALSE),0)</f>
        <v>0</v>
      </c>
      <c r="X25" s="231" t="str">
        <f t="shared" si="8"/>
        <v>***</v>
      </c>
      <c r="Y25" s="73"/>
      <c r="Z25" s="73">
        <f>+IFERROR(VLOOKUP($A25,'Goals &amp; Budget 2026'!$A$2:$EJ$49,147,FALSE),0)</f>
        <v>0</v>
      </c>
      <c r="AA25" s="84" t="str">
        <f t="shared" si="9"/>
        <v>***</v>
      </c>
      <c r="AB25" s="73"/>
      <c r="AC25" s="73">
        <f>+IFERROR(VLOOKUP($A25,'Goals &amp; Budget 2026'!$A$2:$EJ$49,148,FALSE),0)</f>
        <v>0</v>
      </c>
      <c r="AD25" s="84" t="str">
        <f t="shared" si="10"/>
        <v>***</v>
      </c>
      <c r="AE25" s="73"/>
      <c r="AF25" s="73">
        <f>+IFERROR(VLOOKUP($A25,'Goals &amp; Budget 2026'!$A$2:$EJ$49,149,FALSE),0)</f>
        <v>0</v>
      </c>
      <c r="AG25" s="231" t="str">
        <f t="shared" si="11"/>
        <v>***</v>
      </c>
      <c r="AH25" s="73"/>
      <c r="AI25" s="73">
        <f>+IFERROR(VLOOKUP($A25,'Goals &amp; Budget 2026'!$A$2:$EJ$49,150,FALSE),0)</f>
        <v>0</v>
      </c>
      <c r="AJ25" s="84" t="str">
        <f t="shared" si="12"/>
        <v>***</v>
      </c>
      <c r="AK25" s="73"/>
      <c r="AL25" s="73">
        <f>+IFERROR(VLOOKUP($A25,'Goals &amp; Budget 2026'!$A$2:$EJ$49,151,FALSE),0)</f>
        <v>0</v>
      </c>
      <c r="AM25" s="84" t="str">
        <f t="shared" si="13"/>
        <v>***</v>
      </c>
      <c r="AN25" s="73"/>
      <c r="AO25" s="73">
        <f>+IFERROR(VLOOKUP($A25,'Goals &amp; Budget 2026'!$A$2:$EJ$49,152,FALSE),0)</f>
        <v>0</v>
      </c>
      <c r="AP25" s="85" t="str">
        <f t="shared" si="14"/>
        <v>***</v>
      </c>
    </row>
    <row r="26" spans="1:42" ht="20.100000000000001" customHeight="1" x14ac:dyDescent="0.25">
      <c r="A26" s="51" t="s">
        <v>83</v>
      </c>
      <c r="B26" s="52">
        <v>0.5</v>
      </c>
      <c r="C26" s="53">
        <v>58</v>
      </c>
      <c r="D26" s="51">
        <f t="shared" si="0"/>
        <v>0</v>
      </c>
      <c r="E26" s="54">
        <f t="shared" si="1"/>
        <v>0</v>
      </c>
      <c r="F26" s="232" t="str">
        <f t="shared" si="2"/>
        <v>***</v>
      </c>
      <c r="G26" s="54"/>
      <c r="H26" s="54">
        <f>+IFERROR(VLOOKUP($A26,'Goals &amp; Budget 2026'!$A$2:$EJ$49,141,FALSE),0)</f>
        <v>0</v>
      </c>
      <c r="I26" s="65" t="str">
        <f t="shared" si="3"/>
        <v>***</v>
      </c>
      <c r="J26" s="54"/>
      <c r="K26" s="54">
        <f>+IFERROR(VLOOKUP($A26,'Goals &amp; Budget 2026'!$A$2:$EJ$49,142,FALSE),0)</f>
        <v>0</v>
      </c>
      <c r="L26" s="65" t="str">
        <f t="shared" si="4"/>
        <v>***</v>
      </c>
      <c r="M26" s="54"/>
      <c r="N26" s="54">
        <f>+IFERROR(VLOOKUP($A26,'Goals &amp; Budget 2026'!$A$2:$EJ$49,143,FALSE),0)</f>
        <v>0</v>
      </c>
      <c r="O26" s="232" t="str">
        <f t="shared" si="5"/>
        <v>***</v>
      </c>
      <c r="P26" s="54"/>
      <c r="Q26" s="54">
        <f>+IFERROR(VLOOKUP($A26,'Goals &amp; Budget 2026'!$A$2:$EJ$49,144,FALSE),0)</f>
        <v>0</v>
      </c>
      <c r="R26" s="65" t="str">
        <f t="shared" si="6"/>
        <v>***</v>
      </c>
      <c r="S26" s="54"/>
      <c r="T26" s="54">
        <f>+IFERROR(VLOOKUP($A26,'Goals &amp; Budget 2026'!$A$2:$EJ$49,145,FALSE),0)</f>
        <v>0</v>
      </c>
      <c r="U26" s="65" t="str">
        <f t="shared" si="7"/>
        <v>***</v>
      </c>
      <c r="V26" s="54"/>
      <c r="W26" s="54">
        <f>+IFERROR(VLOOKUP($A26,'Goals &amp; Budget 2026'!$A$2:$EJ$49,146,FALSE),0)</f>
        <v>0</v>
      </c>
      <c r="X26" s="232" t="str">
        <f t="shared" si="8"/>
        <v>***</v>
      </c>
      <c r="Y26" s="54"/>
      <c r="Z26" s="54">
        <f>+IFERROR(VLOOKUP($A26,'Goals &amp; Budget 2026'!$A$2:$EJ$49,147,FALSE),0)</f>
        <v>0</v>
      </c>
      <c r="AA26" s="65" t="str">
        <f t="shared" si="9"/>
        <v>***</v>
      </c>
      <c r="AB26" s="54"/>
      <c r="AC26" s="54">
        <f>+IFERROR(VLOOKUP($A26,'Goals &amp; Budget 2026'!$A$2:$EJ$49,148,FALSE),0)</f>
        <v>0</v>
      </c>
      <c r="AD26" s="65" t="str">
        <f t="shared" si="10"/>
        <v>***</v>
      </c>
      <c r="AE26" s="54"/>
      <c r="AF26" s="54">
        <f>+IFERROR(VLOOKUP($A26,'Goals &amp; Budget 2026'!$A$2:$EJ$49,149,FALSE),0)</f>
        <v>0</v>
      </c>
      <c r="AG26" s="232" t="str">
        <f t="shared" si="11"/>
        <v>***</v>
      </c>
      <c r="AH26" s="54"/>
      <c r="AI26" s="54">
        <f>+IFERROR(VLOOKUP($A26,'Goals &amp; Budget 2026'!$A$2:$EJ$49,150,FALSE),0)</f>
        <v>0</v>
      </c>
      <c r="AJ26" s="65" t="str">
        <f t="shared" si="12"/>
        <v>***</v>
      </c>
      <c r="AK26" s="54"/>
      <c r="AL26" s="54">
        <f>+IFERROR(VLOOKUP($A26,'Goals &amp; Budget 2026'!$A$2:$EJ$49,151,FALSE),0)</f>
        <v>0</v>
      </c>
      <c r="AM26" s="65" t="str">
        <f t="shared" si="13"/>
        <v>***</v>
      </c>
      <c r="AN26" s="54"/>
      <c r="AO26" s="54">
        <f>+IFERROR(VLOOKUP($A26,'Goals &amp; Budget 2026'!$A$2:$EJ$49,152,FALSE),0)</f>
        <v>0</v>
      </c>
      <c r="AP26" s="66" t="str">
        <f t="shared" si="14"/>
        <v>***</v>
      </c>
    </row>
    <row r="27" spans="1:42" ht="20.100000000000001" customHeight="1" x14ac:dyDescent="0.25">
      <c r="A27" s="51" t="s">
        <v>84</v>
      </c>
      <c r="B27" s="52">
        <v>0.5</v>
      </c>
      <c r="C27" s="53">
        <v>58</v>
      </c>
      <c r="D27" s="51">
        <f t="shared" si="0"/>
        <v>0</v>
      </c>
      <c r="E27" s="54">
        <f t="shared" si="1"/>
        <v>0</v>
      </c>
      <c r="F27" s="232" t="str">
        <f t="shared" si="2"/>
        <v>***</v>
      </c>
      <c r="G27" s="54"/>
      <c r="H27" s="54">
        <f>+IFERROR(VLOOKUP($A27,'Goals &amp; Budget 2026'!$A$2:$EJ$49,141,FALSE),0)</f>
        <v>0</v>
      </c>
      <c r="I27" s="65" t="str">
        <f t="shared" si="3"/>
        <v>***</v>
      </c>
      <c r="J27" s="54"/>
      <c r="K27" s="54">
        <f>+IFERROR(VLOOKUP($A27,'Goals &amp; Budget 2026'!$A$2:$EJ$49,142,FALSE),0)</f>
        <v>0</v>
      </c>
      <c r="L27" s="65" t="str">
        <f t="shared" si="4"/>
        <v>***</v>
      </c>
      <c r="M27" s="54"/>
      <c r="N27" s="54">
        <f>+IFERROR(VLOOKUP($A27,'Goals &amp; Budget 2026'!$A$2:$EJ$49,143,FALSE),0)</f>
        <v>0</v>
      </c>
      <c r="O27" s="232" t="str">
        <f t="shared" si="5"/>
        <v>***</v>
      </c>
      <c r="P27" s="54"/>
      <c r="Q27" s="54">
        <f>+IFERROR(VLOOKUP($A27,'Goals &amp; Budget 2026'!$A$2:$EJ$49,144,FALSE),0)</f>
        <v>0</v>
      </c>
      <c r="R27" s="65" t="str">
        <f t="shared" si="6"/>
        <v>***</v>
      </c>
      <c r="S27" s="54"/>
      <c r="T27" s="54">
        <f>+IFERROR(VLOOKUP($A27,'Goals &amp; Budget 2026'!$A$2:$EJ$49,145,FALSE),0)</f>
        <v>0</v>
      </c>
      <c r="U27" s="65" t="str">
        <f t="shared" si="7"/>
        <v>***</v>
      </c>
      <c r="V27" s="54"/>
      <c r="W27" s="54">
        <f>+IFERROR(VLOOKUP($A27,'Goals &amp; Budget 2026'!$A$2:$EJ$49,146,FALSE),0)</f>
        <v>0</v>
      </c>
      <c r="X27" s="232" t="str">
        <f t="shared" si="8"/>
        <v>***</v>
      </c>
      <c r="Y27" s="54"/>
      <c r="Z27" s="54">
        <f>+IFERROR(VLOOKUP($A27,'Goals &amp; Budget 2026'!$A$2:$EJ$49,147,FALSE),0)</f>
        <v>0</v>
      </c>
      <c r="AA27" s="65" t="str">
        <f t="shared" si="9"/>
        <v>***</v>
      </c>
      <c r="AB27" s="54"/>
      <c r="AC27" s="54">
        <f>+IFERROR(VLOOKUP($A27,'Goals &amp; Budget 2026'!$A$2:$EJ$49,148,FALSE),0)</f>
        <v>0</v>
      </c>
      <c r="AD27" s="65" t="str">
        <f t="shared" si="10"/>
        <v>***</v>
      </c>
      <c r="AE27" s="54"/>
      <c r="AF27" s="54">
        <f>+IFERROR(VLOOKUP($A27,'Goals &amp; Budget 2026'!$A$2:$EJ$49,149,FALSE),0)</f>
        <v>0</v>
      </c>
      <c r="AG27" s="232" t="str">
        <f t="shared" si="11"/>
        <v>***</v>
      </c>
      <c r="AH27" s="54"/>
      <c r="AI27" s="54">
        <f>+IFERROR(VLOOKUP($A27,'Goals &amp; Budget 2026'!$A$2:$EJ$49,150,FALSE),0)</f>
        <v>0</v>
      </c>
      <c r="AJ27" s="65" t="str">
        <f t="shared" si="12"/>
        <v>***</v>
      </c>
      <c r="AK27" s="54"/>
      <c r="AL27" s="54">
        <f>+IFERROR(VLOOKUP($A27,'Goals &amp; Budget 2026'!$A$2:$EJ$49,151,FALSE),0)</f>
        <v>0</v>
      </c>
      <c r="AM27" s="65" t="str">
        <f t="shared" si="13"/>
        <v>***</v>
      </c>
      <c r="AN27" s="54"/>
      <c r="AO27" s="54">
        <f>+IFERROR(VLOOKUP($A27,'Goals &amp; Budget 2026'!$A$2:$EJ$49,152,FALSE),0)</f>
        <v>0</v>
      </c>
      <c r="AP27" s="66" t="str">
        <f t="shared" si="14"/>
        <v>***</v>
      </c>
    </row>
    <row r="28" spans="1:42" ht="20.100000000000001" customHeight="1" x14ac:dyDescent="0.25">
      <c r="A28" s="51" t="s">
        <v>93</v>
      </c>
      <c r="B28" s="52">
        <v>1</v>
      </c>
      <c r="C28" s="53">
        <v>164</v>
      </c>
      <c r="D28" s="51">
        <f t="shared" si="0"/>
        <v>0</v>
      </c>
      <c r="E28" s="54">
        <f t="shared" si="1"/>
        <v>0</v>
      </c>
      <c r="F28" s="232" t="str">
        <f t="shared" si="2"/>
        <v>***</v>
      </c>
      <c r="G28" s="54"/>
      <c r="H28" s="54">
        <f>+IFERROR(VLOOKUP($A28,'Goals &amp; Budget 2026'!$A$2:$EJ$49,141,FALSE),0)</f>
        <v>0</v>
      </c>
      <c r="I28" s="65" t="str">
        <f t="shared" si="3"/>
        <v>***</v>
      </c>
      <c r="J28" s="54"/>
      <c r="K28" s="54">
        <f>+IFERROR(VLOOKUP($A28,'Goals &amp; Budget 2026'!$A$2:$EJ$49,142,FALSE),0)</f>
        <v>0</v>
      </c>
      <c r="L28" s="65" t="str">
        <f t="shared" si="4"/>
        <v>***</v>
      </c>
      <c r="M28" s="54"/>
      <c r="N28" s="54">
        <f>+IFERROR(VLOOKUP($A28,'Goals &amp; Budget 2026'!$A$2:$EJ$49,143,FALSE),0)</f>
        <v>0</v>
      </c>
      <c r="O28" s="232" t="str">
        <f t="shared" si="5"/>
        <v>***</v>
      </c>
      <c r="P28" s="54"/>
      <c r="Q28" s="54">
        <f>+IFERROR(VLOOKUP($A28,'Goals &amp; Budget 2026'!$A$2:$EJ$49,144,FALSE),0)</f>
        <v>0</v>
      </c>
      <c r="R28" s="65" t="str">
        <f t="shared" si="6"/>
        <v>***</v>
      </c>
      <c r="S28" s="54"/>
      <c r="T28" s="54">
        <f>+IFERROR(VLOOKUP($A28,'Goals &amp; Budget 2026'!$A$2:$EJ$49,145,FALSE),0)</f>
        <v>0</v>
      </c>
      <c r="U28" s="65" t="str">
        <f t="shared" si="7"/>
        <v>***</v>
      </c>
      <c r="V28" s="54"/>
      <c r="W28" s="54">
        <f>+IFERROR(VLOOKUP($A28,'Goals &amp; Budget 2026'!$A$2:$EJ$49,146,FALSE),0)</f>
        <v>0</v>
      </c>
      <c r="X28" s="232" t="str">
        <f t="shared" si="8"/>
        <v>***</v>
      </c>
      <c r="Y28" s="54"/>
      <c r="Z28" s="54">
        <f>+IFERROR(VLOOKUP($A28,'Goals &amp; Budget 2026'!$A$2:$EJ$49,147,FALSE),0)</f>
        <v>0</v>
      </c>
      <c r="AA28" s="65" t="str">
        <f t="shared" si="9"/>
        <v>***</v>
      </c>
      <c r="AB28" s="54"/>
      <c r="AC28" s="54">
        <f>+IFERROR(VLOOKUP($A28,'Goals &amp; Budget 2026'!$A$2:$EJ$49,148,FALSE),0)</f>
        <v>0</v>
      </c>
      <c r="AD28" s="65" t="str">
        <f t="shared" si="10"/>
        <v>***</v>
      </c>
      <c r="AE28" s="54"/>
      <c r="AF28" s="54">
        <f>+IFERROR(VLOOKUP($A28,'Goals &amp; Budget 2026'!$A$2:$EJ$49,149,FALSE),0)</f>
        <v>0</v>
      </c>
      <c r="AG28" s="232" t="str">
        <f t="shared" si="11"/>
        <v>***</v>
      </c>
      <c r="AH28" s="54"/>
      <c r="AI28" s="54">
        <f>+IFERROR(VLOOKUP($A28,'Goals &amp; Budget 2026'!$A$2:$EJ$49,150,FALSE),0)</f>
        <v>0</v>
      </c>
      <c r="AJ28" s="65" t="str">
        <f t="shared" si="12"/>
        <v>***</v>
      </c>
      <c r="AK28" s="54"/>
      <c r="AL28" s="54">
        <f>+IFERROR(VLOOKUP($A28,'Goals &amp; Budget 2026'!$A$2:$EJ$49,151,FALSE),0)</f>
        <v>0</v>
      </c>
      <c r="AM28" s="65" t="str">
        <f t="shared" si="13"/>
        <v>***</v>
      </c>
      <c r="AN28" s="54"/>
      <c r="AO28" s="54">
        <f>+IFERROR(VLOOKUP($A28,'Goals &amp; Budget 2026'!$A$2:$EJ$49,152,FALSE),0)</f>
        <v>0</v>
      </c>
      <c r="AP28" s="66" t="str">
        <f t="shared" si="14"/>
        <v>***</v>
      </c>
    </row>
    <row r="29" spans="1:42" ht="20.100000000000001" customHeight="1" x14ac:dyDescent="0.25">
      <c r="A29" s="51" t="s">
        <v>85</v>
      </c>
      <c r="B29" s="52">
        <v>1</v>
      </c>
      <c r="C29" s="53">
        <v>57</v>
      </c>
      <c r="D29" s="51">
        <f t="shared" si="0"/>
        <v>0</v>
      </c>
      <c r="E29" s="54">
        <f t="shared" si="1"/>
        <v>0</v>
      </c>
      <c r="F29" s="232" t="str">
        <f t="shared" si="2"/>
        <v>***</v>
      </c>
      <c r="G29" s="54"/>
      <c r="H29" s="54">
        <f>+IFERROR(VLOOKUP($A29,'Goals &amp; Budget 2026'!$A$2:$EJ$49,141,FALSE),0)</f>
        <v>0</v>
      </c>
      <c r="I29" s="65" t="str">
        <f t="shared" si="3"/>
        <v>***</v>
      </c>
      <c r="J29" s="54"/>
      <c r="K29" s="54">
        <f>+IFERROR(VLOOKUP($A29,'Goals &amp; Budget 2026'!$A$2:$EJ$49,142,FALSE),0)</f>
        <v>0</v>
      </c>
      <c r="L29" s="65" t="str">
        <f t="shared" si="4"/>
        <v>***</v>
      </c>
      <c r="M29" s="54"/>
      <c r="N29" s="54">
        <f>+IFERROR(VLOOKUP($A29,'Goals &amp; Budget 2026'!$A$2:$EJ$49,143,FALSE),0)</f>
        <v>0</v>
      </c>
      <c r="O29" s="232" t="str">
        <f t="shared" si="5"/>
        <v>***</v>
      </c>
      <c r="P29" s="54"/>
      <c r="Q29" s="54">
        <f>+IFERROR(VLOOKUP($A29,'Goals &amp; Budget 2026'!$A$2:$EJ$49,144,FALSE),0)</f>
        <v>0</v>
      </c>
      <c r="R29" s="65" t="str">
        <f t="shared" si="6"/>
        <v>***</v>
      </c>
      <c r="S29" s="54"/>
      <c r="T29" s="54">
        <f>+IFERROR(VLOOKUP($A29,'Goals &amp; Budget 2026'!$A$2:$EJ$49,145,FALSE),0)</f>
        <v>0</v>
      </c>
      <c r="U29" s="65" t="str">
        <f t="shared" si="7"/>
        <v>***</v>
      </c>
      <c r="V29" s="54"/>
      <c r="W29" s="54">
        <f>+IFERROR(VLOOKUP($A29,'Goals &amp; Budget 2026'!$A$2:$EJ$49,146,FALSE),0)</f>
        <v>0</v>
      </c>
      <c r="X29" s="232" t="str">
        <f t="shared" si="8"/>
        <v>***</v>
      </c>
      <c r="Y29" s="54"/>
      <c r="Z29" s="54">
        <f>+IFERROR(VLOOKUP($A29,'Goals &amp; Budget 2026'!$A$2:$EJ$49,147,FALSE),0)</f>
        <v>0</v>
      </c>
      <c r="AA29" s="65" t="str">
        <f t="shared" si="9"/>
        <v>***</v>
      </c>
      <c r="AB29" s="54"/>
      <c r="AC29" s="54">
        <f>+IFERROR(VLOOKUP($A29,'Goals &amp; Budget 2026'!$A$2:$EJ$49,148,FALSE),0)</f>
        <v>0</v>
      </c>
      <c r="AD29" s="65" t="str">
        <f t="shared" si="10"/>
        <v>***</v>
      </c>
      <c r="AE29" s="54"/>
      <c r="AF29" s="54">
        <f>+IFERROR(VLOOKUP($A29,'Goals &amp; Budget 2026'!$A$2:$EJ$49,149,FALSE),0)</f>
        <v>0</v>
      </c>
      <c r="AG29" s="232" t="str">
        <f t="shared" si="11"/>
        <v>***</v>
      </c>
      <c r="AH29" s="54"/>
      <c r="AI29" s="54">
        <f>+IFERROR(VLOOKUP($A29,'Goals &amp; Budget 2026'!$A$2:$EJ$49,150,FALSE),0)</f>
        <v>0</v>
      </c>
      <c r="AJ29" s="65" t="str">
        <f t="shared" si="12"/>
        <v>***</v>
      </c>
      <c r="AK29" s="54"/>
      <c r="AL29" s="54">
        <f>+IFERROR(VLOOKUP($A29,'Goals &amp; Budget 2026'!$A$2:$EJ$49,151,FALSE),0)</f>
        <v>0</v>
      </c>
      <c r="AM29" s="65" t="str">
        <f t="shared" si="13"/>
        <v>***</v>
      </c>
      <c r="AN29" s="54"/>
      <c r="AO29" s="54">
        <f>+IFERROR(VLOOKUP($A29,'Goals &amp; Budget 2026'!$A$2:$EJ$49,152,FALSE),0)</f>
        <v>0</v>
      </c>
      <c r="AP29" s="66" t="str">
        <f t="shared" si="14"/>
        <v>***</v>
      </c>
    </row>
    <row r="30" spans="1:42" ht="20.100000000000001" customHeight="1" x14ac:dyDescent="0.25">
      <c r="A30" s="51" t="s">
        <v>98</v>
      </c>
      <c r="B30" s="52">
        <v>1</v>
      </c>
      <c r="C30" s="53" t="s">
        <v>99</v>
      </c>
      <c r="D30" s="51">
        <f t="shared" si="0"/>
        <v>0</v>
      </c>
      <c r="E30" s="54">
        <f t="shared" si="1"/>
        <v>0</v>
      </c>
      <c r="F30" s="232" t="str">
        <f t="shared" si="2"/>
        <v>***</v>
      </c>
      <c r="G30" s="54"/>
      <c r="H30" s="54">
        <f>+IFERROR(VLOOKUP($A30,'Goals &amp; Budget 2026'!$A$2:$EJ$49,141,FALSE),0)</f>
        <v>0</v>
      </c>
      <c r="I30" s="65" t="str">
        <f t="shared" si="3"/>
        <v>***</v>
      </c>
      <c r="J30" s="54"/>
      <c r="K30" s="54">
        <f>+IFERROR(VLOOKUP($A30,'Goals &amp; Budget 2026'!$A$2:$EJ$49,142,FALSE),0)</f>
        <v>0</v>
      </c>
      <c r="L30" s="65" t="str">
        <f t="shared" si="4"/>
        <v>***</v>
      </c>
      <c r="M30" s="54"/>
      <c r="N30" s="54">
        <f>+IFERROR(VLOOKUP($A30,'Goals &amp; Budget 2026'!$A$2:$EJ$49,143,FALSE),0)</f>
        <v>0</v>
      </c>
      <c r="O30" s="232" t="str">
        <f t="shared" si="5"/>
        <v>***</v>
      </c>
      <c r="P30" s="54"/>
      <c r="Q30" s="54">
        <f>+IFERROR(VLOOKUP($A30,'Goals &amp; Budget 2026'!$A$2:$EJ$49,144,FALSE),0)</f>
        <v>0</v>
      </c>
      <c r="R30" s="65" t="str">
        <f t="shared" si="6"/>
        <v>***</v>
      </c>
      <c r="S30" s="54"/>
      <c r="T30" s="54">
        <f>+IFERROR(VLOOKUP($A30,'Goals &amp; Budget 2026'!$A$2:$EJ$49,145,FALSE),0)</f>
        <v>0</v>
      </c>
      <c r="U30" s="65" t="str">
        <f t="shared" si="7"/>
        <v>***</v>
      </c>
      <c r="V30" s="54"/>
      <c r="W30" s="54">
        <f>+IFERROR(VLOOKUP($A30,'Goals &amp; Budget 2026'!$A$2:$EJ$49,146,FALSE),0)</f>
        <v>0</v>
      </c>
      <c r="X30" s="232" t="str">
        <f t="shared" si="8"/>
        <v>***</v>
      </c>
      <c r="Y30" s="54"/>
      <c r="Z30" s="54">
        <f>+IFERROR(VLOOKUP($A30,'Goals &amp; Budget 2026'!$A$2:$EJ$49,147,FALSE),0)</f>
        <v>0</v>
      </c>
      <c r="AA30" s="65" t="str">
        <f t="shared" si="9"/>
        <v>***</v>
      </c>
      <c r="AB30" s="54"/>
      <c r="AC30" s="54">
        <f>+IFERROR(VLOOKUP($A30,'Goals &amp; Budget 2026'!$A$2:$EJ$49,148,FALSE),0)</f>
        <v>0</v>
      </c>
      <c r="AD30" s="65" t="str">
        <f t="shared" si="10"/>
        <v>***</v>
      </c>
      <c r="AE30" s="54"/>
      <c r="AF30" s="54">
        <f>+IFERROR(VLOOKUP($A30,'Goals &amp; Budget 2026'!$A$2:$EJ$49,149,FALSE),0)</f>
        <v>0</v>
      </c>
      <c r="AG30" s="232" t="str">
        <f t="shared" si="11"/>
        <v>***</v>
      </c>
      <c r="AH30" s="54"/>
      <c r="AI30" s="54">
        <f>+IFERROR(VLOOKUP($A30,'Goals &amp; Budget 2026'!$A$2:$EJ$49,150,FALSE),0)</f>
        <v>0</v>
      </c>
      <c r="AJ30" s="65" t="str">
        <f t="shared" si="12"/>
        <v>***</v>
      </c>
      <c r="AK30" s="54"/>
      <c r="AL30" s="54">
        <f>+IFERROR(VLOOKUP($A30,'Goals &amp; Budget 2026'!$A$2:$EJ$49,151,FALSE),0)</f>
        <v>0</v>
      </c>
      <c r="AM30" s="65" t="str">
        <f t="shared" si="13"/>
        <v>***</v>
      </c>
      <c r="AN30" s="54"/>
      <c r="AO30" s="54">
        <f>+IFERROR(VLOOKUP($A30,'Goals &amp; Budget 2026'!$A$2:$EJ$49,152,FALSE),0)</f>
        <v>0</v>
      </c>
      <c r="AP30" s="66" t="str">
        <f t="shared" si="14"/>
        <v>***</v>
      </c>
    </row>
    <row r="31" spans="1:42" ht="20.100000000000001" customHeight="1" x14ac:dyDescent="0.25">
      <c r="A31" s="51" t="s">
        <v>116</v>
      </c>
      <c r="B31" s="52">
        <v>1</v>
      </c>
      <c r="C31" s="53">
        <v>1</v>
      </c>
      <c r="D31" s="51">
        <f t="shared" ref="D31:D47" si="15">+G31</f>
        <v>0</v>
      </c>
      <c r="E31" s="54">
        <f t="shared" ref="E31:E47" si="16">+H31</f>
        <v>0</v>
      </c>
      <c r="F31" s="232" t="str">
        <f t="shared" ref="F31:F47" si="17">IF(AND(D31&gt;0,E31&gt;0),D31/E31,IF(AND(D31&gt;0,E31=0),100%,IF(AND(D31=0,E31&gt;0),0,IF(AND(D31=0,E31=0),"***",0))))</f>
        <v>***</v>
      </c>
      <c r="G31" s="54"/>
      <c r="H31" s="54">
        <f>+IFERROR(VLOOKUP($A31,'Goals &amp; Budget 2026'!$A$2:$EJ$49,141,FALSE),0)</f>
        <v>0</v>
      </c>
      <c r="I31" s="65" t="str">
        <f t="shared" ref="I31:I47" si="18">IF(AND(G31&gt;0,H31&gt;0),G31/H31,IF(AND(G31&gt;0,H31=0),100%,IF(AND(G31=0,H31&gt;0),0,IF(AND(G31=0,H31=0),"***",0))))</f>
        <v>***</v>
      </c>
      <c r="J31" s="54"/>
      <c r="K31" s="54">
        <f>+IFERROR(VLOOKUP($A31,'Goals &amp; Budget 2026'!$A$2:$EJ$49,142,FALSE),0)</f>
        <v>0</v>
      </c>
      <c r="L31" s="65" t="str">
        <f t="shared" ref="L31:L47" si="19">IF(AND(J31&gt;0,K31&gt;0),J31/K31,IF(AND(J31&gt;0,K31=0),100%,IF(AND(J31=0,K31&gt;0),0,IF(AND(J31=0,K31=0),"***",0))))</f>
        <v>***</v>
      </c>
      <c r="M31" s="54"/>
      <c r="N31" s="54">
        <f>+IFERROR(VLOOKUP($A31,'Goals &amp; Budget 2026'!$A$2:$EJ$49,143,FALSE),0)</f>
        <v>0</v>
      </c>
      <c r="O31" s="232" t="str">
        <f t="shared" ref="O31:O47" si="20">IF(AND(M31&gt;0,N31&gt;0),M31/N31,IF(AND(M31&gt;0,N31=0),100%,IF(AND(M31=0,N31&gt;0),0,IF(AND(M31=0,N31=0),"***",0))))</f>
        <v>***</v>
      </c>
      <c r="P31" s="54"/>
      <c r="Q31" s="54">
        <f>+IFERROR(VLOOKUP($A31,'Goals &amp; Budget 2026'!$A$2:$EJ$49,144,FALSE),0)</f>
        <v>0</v>
      </c>
      <c r="R31" s="65" t="str">
        <f t="shared" ref="R31:R47" si="21">IF(AND(P31&gt;0,Q31&gt;0),P31/Q31,IF(AND(P31&gt;0,Q31=0),100%,IF(AND(P31=0,Q31&gt;0),0,IF(AND(P31=0,Q31=0),"***",0))))</f>
        <v>***</v>
      </c>
      <c r="S31" s="54"/>
      <c r="T31" s="54">
        <f>+IFERROR(VLOOKUP($A31,'Goals &amp; Budget 2026'!$A$2:$EJ$49,145,FALSE),0)</f>
        <v>0</v>
      </c>
      <c r="U31" s="65" t="str">
        <f t="shared" ref="U31:U47" si="22">IF(AND(S31&gt;0,T31&gt;0),S31/T31,IF(AND(S31&gt;0,T31=0),100%,IF(AND(S31=0,T31&gt;0),0,IF(AND(S31=0,T31=0),"***",0))))</f>
        <v>***</v>
      </c>
      <c r="V31" s="54"/>
      <c r="W31" s="54">
        <f>+IFERROR(VLOOKUP($A31,'Goals &amp; Budget 2026'!$A$2:$EJ$49,146,FALSE),0)</f>
        <v>0</v>
      </c>
      <c r="X31" s="232" t="str">
        <f t="shared" ref="X31:X47" si="23">IF(AND(V31&gt;0,W31&gt;0),V31/W31,IF(AND(V31&gt;0,W31=0),100%,IF(AND(V31=0,W31&gt;0),0,IF(AND(V31=0,W31=0),"***",0))))</f>
        <v>***</v>
      </c>
      <c r="Y31" s="54"/>
      <c r="Z31" s="54">
        <f>+IFERROR(VLOOKUP($A31,'Goals &amp; Budget 2026'!$A$2:$EJ$49,147,FALSE),0)</f>
        <v>0</v>
      </c>
      <c r="AA31" s="65" t="str">
        <f t="shared" ref="AA31:AA47" si="24">IF(AND(Y31&gt;0,Z31&gt;0),Y31/Z31,IF(AND(Y31&gt;0,Z31=0),100%,IF(AND(Y31=0,Z31&gt;0),0,IF(AND(Y31=0,Z31=0),"***",0))))</f>
        <v>***</v>
      </c>
      <c r="AB31" s="54"/>
      <c r="AC31" s="54">
        <f>+IFERROR(VLOOKUP($A31,'Goals &amp; Budget 2026'!$A$2:$EJ$49,148,FALSE),0)</f>
        <v>0</v>
      </c>
      <c r="AD31" s="65" t="str">
        <f t="shared" ref="AD31:AD47" si="25">IF(AND(AB31&gt;0,AC31&gt;0),AB31/AC31,IF(AND(AB31&gt;0,AC31=0),100%,IF(AND(AB31=0,AC31&gt;0),0,IF(AND(AB31=0,AC31=0),"***",0))))</f>
        <v>***</v>
      </c>
      <c r="AE31" s="54"/>
      <c r="AF31" s="54">
        <f>+IFERROR(VLOOKUP($A31,'Goals &amp; Budget 2026'!$A$2:$EJ$49,149,FALSE),0)</f>
        <v>0</v>
      </c>
      <c r="AG31" s="232" t="str">
        <f t="shared" ref="AG31:AG47" si="26">IF(AND(AE31&gt;0,AF31&gt;0),AE31/AF31,IF(AND(AE31&gt;0,AF31=0),100%,IF(AND(AE31=0,AF31&gt;0),0,IF(AND(AE31=0,AF31=0),"***",0))))</f>
        <v>***</v>
      </c>
      <c r="AH31" s="54"/>
      <c r="AI31" s="54">
        <f>+IFERROR(VLOOKUP($A31,'Goals &amp; Budget 2026'!$A$2:$EJ$49,150,FALSE),0)</f>
        <v>0</v>
      </c>
      <c r="AJ31" s="65" t="str">
        <f t="shared" ref="AJ31:AJ47" si="27">IF(AND(AH31&gt;0,AI31&gt;0),AH31/AI31,IF(AND(AH31&gt;0,AI31=0),100%,IF(AND(AH31=0,AI31&gt;0),0,IF(AND(AH31=0,AI31=0),"***",0))))</f>
        <v>***</v>
      </c>
      <c r="AK31" s="54"/>
      <c r="AL31" s="54">
        <f>+IFERROR(VLOOKUP($A31,'Goals &amp; Budget 2026'!$A$2:$EJ$49,151,FALSE),0)</f>
        <v>0</v>
      </c>
      <c r="AM31" s="65" t="str">
        <f t="shared" ref="AM31:AM47" si="28">IF(AND(AK31&gt;0,AL31&gt;0),AK31/AL31,IF(AND(AK31&gt;0,AL31=0),100%,IF(AND(AK31=0,AL31&gt;0),0,IF(AND(AK31=0,AL31=0),"***",0))))</f>
        <v>***</v>
      </c>
      <c r="AN31" s="54"/>
      <c r="AO31" s="54">
        <f>+IFERROR(VLOOKUP($A31,'Goals &amp; Budget 2026'!$A$2:$EJ$49,152,FALSE),0)</f>
        <v>0</v>
      </c>
      <c r="AP31" s="66" t="str">
        <f t="shared" ref="AP31:AP47" si="29">IF(AND(AN31&gt;0,AO31&gt;0),AN31/AO31,IF(AND(AN31&gt;0,AO31=0),100%,IF(AND(AN31=0,AO31&gt;0),0,IF(AND(AN31=0,AO31=0),"***",0))))</f>
        <v>***</v>
      </c>
    </row>
    <row r="32" spans="1:42" ht="20.100000000000001" customHeight="1" x14ac:dyDescent="0.25">
      <c r="A32" s="51" t="s">
        <v>86</v>
      </c>
      <c r="B32" s="52">
        <v>1</v>
      </c>
      <c r="C32" s="53">
        <v>165</v>
      </c>
      <c r="D32" s="51">
        <f t="shared" si="15"/>
        <v>0</v>
      </c>
      <c r="E32" s="54">
        <f t="shared" si="16"/>
        <v>0</v>
      </c>
      <c r="F32" s="232" t="str">
        <f t="shared" si="17"/>
        <v>***</v>
      </c>
      <c r="G32" s="54"/>
      <c r="H32" s="54">
        <f>+IFERROR(VLOOKUP($A32,'Goals &amp; Budget 2026'!$A$2:$EJ$49,141,FALSE),0)</f>
        <v>0</v>
      </c>
      <c r="I32" s="65" t="str">
        <f t="shared" si="18"/>
        <v>***</v>
      </c>
      <c r="J32" s="54"/>
      <c r="K32" s="54">
        <f>+IFERROR(VLOOKUP($A32,'Goals &amp; Budget 2026'!$A$2:$EJ$49,142,FALSE),0)</f>
        <v>0</v>
      </c>
      <c r="L32" s="65" t="str">
        <f t="shared" si="19"/>
        <v>***</v>
      </c>
      <c r="M32" s="54"/>
      <c r="N32" s="54">
        <f>+IFERROR(VLOOKUP($A32,'Goals &amp; Budget 2026'!$A$2:$EJ$49,143,FALSE),0)</f>
        <v>0</v>
      </c>
      <c r="O32" s="232" t="str">
        <f t="shared" si="20"/>
        <v>***</v>
      </c>
      <c r="P32" s="54"/>
      <c r="Q32" s="54">
        <f>+IFERROR(VLOOKUP($A32,'Goals &amp; Budget 2026'!$A$2:$EJ$49,144,FALSE),0)</f>
        <v>0</v>
      </c>
      <c r="R32" s="65" t="str">
        <f t="shared" si="21"/>
        <v>***</v>
      </c>
      <c r="S32" s="54"/>
      <c r="T32" s="54">
        <f>+IFERROR(VLOOKUP($A32,'Goals &amp; Budget 2026'!$A$2:$EJ$49,145,FALSE),0)</f>
        <v>0</v>
      </c>
      <c r="U32" s="65" t="str">
        <f t="shared" si="22"/>
        <v>***</v>
      </c>
      <c r="V32" s="54"/>
      <c r="W32" s="54">
        <f>+IFERROR(VLOOKUP($A32,'Goals &amp; Budget 2026'!$A$2:$EJ$49,146,FALSE),0)</f>
        <v>0</v>
      </c>
      <c r="X32" s="232" t="str">
        <f t="shared" si="23"/>
        <v>***</v>
      </c>
      <c r="Y32" s="54"/>
      <c r="Z32" s="54">
        <f>+IFERROR(VLOOKUP($A32,'Goals &amp; Budget 2026'!$A$2:$EJ$49,147,FALSE),0)</f>
        <v>0</v>
      </c>
      <c r="AA32" s="65" t="str">
        <f t="shared" si="24"/>
        <v>***</v>
      </c>
      <c r="AB32" s="54"/>
      <c r="AC32" s="54">
        <f>+IFERROR(VLOOKUP($A32,'Goals &amp; Budget 2026'!$A$2:$EJ$49,148,FALSE),0)</f>
        <v>0</v>
      </c>
      <c r="AD32" s="65" t="str">
        <f t="shared" si="25"/>
        <v>***</v>
      </c>
      <c r="AE32" s="54"/>
      <c r="AF32" s="54">
        <f>+IFERROR(VLOOKUP($A32,'Goals &amp; Budget 2026'!$A$2:$EJ$49,149,FALSE),0)</f>
        <v>0</v>
      </c>
      <c r="AG32" s="232" t="str">
        <f t="shared" si="26"/>
        <v>***</v>
      </c>
      <c r="AH32" s="54"/>
      <c r="AI32" s="54">
        <f>+IFERROR(VLOOKUP($A32,'Goals &amp; Budget 2026'!$A$2:$EJ$49,150,FALSE),0)</f>
        <v>0</v>
      </c>
      <c r="AJ32" s="65" t="str">
        <f t="shared" si="27"/>
        <v>***</v>
      </c>
      <c r="AK32" s="54"/>
      <c r="AL32" s="54">
        <f>+IFERROR(VLOOKUP($A32,'Goals &amp; Budget 2026'!$A$2:$EJ$49,151,FALSE),0)</f>
        <v>0</v>
      </c>
      <c r="AM32" s="65" t="str">
        <f t="shared" si="28"/>
        <v>***</v>
      </c>
      <c r="AN32" s="54"/>
      <c r="AO32" s="54">
        <f>+IFERROR(VLOOKUP($A32,'Goals &amp; Budget 2026'!$A$2:$EJ$49,152,FALSE),0)</f>
        <v>0</v>
      </c>
      <c r="AP32" s="66" t="str">
        <f t="shared" si="29"/>
        <v>***</v>
      </c>
    </row>
    <row r="33" spans="1:42" ht="20.100000000000001" customHeight="1" x14ac:dyDescent="0.25">
      <c r="A33" s="51" t="s">
        <v>87</v>
      </c>
      <c r="B33" s="52">
        <v>1</v>
      </c>
      <c r="C33" s="53">
        <v>39</v>
      </c>
      <c r="D33" s="51">
        <f t="shared" si="15"/>
        <v>0</v>
      </c>
      <c r="E33" s="54">
        <f t="shared" si="16"/>
        <v>0</v>
      </c>
      <c r="F33" s="232" t="str">
        <f t="shared" si="17"/>
        <v>***</v>
      </c>
      <c r="G33" s="54"/>
      <c r="H33" s="54">
        <f>+IFERROR(VLOOKUP($A33,'Goals &amp; Budget 2026'!$A$2:$EJ$49,141,FALSE),0)</f>
        <v>0</v>
      </c>
      <c r="I33" s="65" t="str">
        <f t="shared" si="18"/>
        <v>***</v>
      </c>
      <c r="J33" s="54"/>
      <c r="K33" s="54">
        <f>+IFERROR(VLOOKUP($A33,'Goals &amp; Budget 2026'!$A$2:$EJ$49,142,FALSE),0)</f>
        <v>0</v>
      </c>
      <c r="L33" s="65" t="str">
        <f t="shared" si="19"/>
        <v>***</v>
      </c>
      <c r="M33" s="54"/>
      <c r="N33" s="54">
        <f>+IFERROR(VLOOKUP($A33,'Goals &amp; Budget 2026'!$A$2:$EJ$49,143,FALSE),0)</f>
        <v>0</v>
      </c>
      <c r="O33" s="232" t="str">
        <f t="shared" si="20"/>
        <v>***</v>
      </c>
      <c r="P33" s="54"/>
      <c r="Q33" s="54">
        <f>+IFERROR(VLOOKUP($A33,'Goals &amp; Budget 2026'!$A$2:$EJ$49,144,FALSE),0)</f>
        <v>0</v>
      </c>
      <c r="R33" s="65" t="str">
        <f t="shared" si="21"/>
        <v>***</v>
      </c>
      <c r="S33" s="54"/>
      <c r="T33" s="54">
        <f>+IFERROR(VLOOKUP($A33,'Goals &amp; Budget 2026'!$A$2:$EJ$49,145,FALSE),0)</f>
        <v>0</v>
      </c>
      <c r="U33" s="65" t="str">
        <f t="shared" si="22"/>
        <v>***</v>
      </c>
      <c r="V33" s="54"/>
      <c r="W33" s="54">
        <f>+IFERROR(VLOOKUP($A33,'Goals &amp; Budget 2026'!$A$2:$EJ$49,146,FALSE),0)</f>
        <v>0</v>
      </c>
      <c r="X33" s="232" t="str">
        <f t="shared" si="23"/>
        <v>***</v>
      </c>
      <c r="Y33" s="54"/>
      <c r="Z33" s="54">
        <f>+IFERROR(VLOOKUP($A33,'Goals &amp; Budget 2026'!$A$2:$EJ$49,147,FALSE),0)</f>
        <v>0</v>
      </c>
      <c r="AA33" s="65" t="str">
        <f t="shared" si="24"/>
        <v>***</v>
      </c>
      <c r="AB33" s="54"/>
      <c r="AC33" s="54">
        <f>+IFERROR(VLOOKUP($A33,'Goals &amp; Budget 2026'!$A$2:$EJ$49,148,FALSE),0)</f>
        <v>0</v>
      </c>
      <c r="AD33" s="65" t="str">
        <f t="shared" si="25"/>
        <v>***</v>
      </c>
      <c r="AE33" s="54"/>
      <c r="AF33" s="54">
        <f>+IFERROR(VLOOKUP($A33,'Goals &amp; Budget 2026'!$A$2:$EJ$49,149,FALSE),0)</f>
        <v>0</v>
      </c>
      <c r="AG33" s="232" t="str">
        <f t="shared" si="26"/>
        <v>***</v>
      </c>
      <c r="AH33" s="54"/>
      <c r="AI33" s="54">
        <f>+IFERROR(VLOOKUP($A33,'Goals &amp; Budget 2026'!$A$2:$EJ$49,150,FALSE),0)</f>
        <v>0</v>
      </c>
      <c r="AJ33" s="65" t="str">
        <f t="shared" si="27"/>
        <v>***</v>
      </c>
      <c r="AK33" s="54"/>
      <c r="AL33" s="54">
        <f>+IFERROR(VLOOKUP($A33,'Goals &amp; Budget 2026'!$A$2:$EJ$49,151,FALSE),0)</f>
        <v>0</v>
      </c>
      <c r="AM33" s="65" t="str">
        <f t="shared" si="28"/>
        <v>***</v>
      </c>
      <c r="AN33" s="54"/>
      <c r="AO33" s="54">
        <f>+IFERROR(VLOOKUP($A33,'Goals &amp; Budget 2026'!$A$2:$EJ$49,152,FALSE),0)</f>
        <v>0</v>
      </c>
      <c r="AP33" s="66" t="str">
        <f t="shared" si="29"/>
        <v>***</v>
      </c>
    </row>
    <row r="34" spans="1:42" ht="20.100000000000001" customHeight="1" x14ac:dyDescent="0.25">
      <c r="A34" s="51" t="s">
        <v>88</v>
      </c>
      <c r="B34" s="52">
        <v>1</v>
      </c>
      <c r="C34" s="53">
        <v>76</v>
      </c>
      <c r="D34" s="51">
        <f t="shared" si="15"/>
        <v>0</v>
      </c>
      <c r="E34" s="54">
        <f t="shared" si="16"/>
        <v>0</v>
      </c>
      <c r="F34" s="232" t="str">
        <f t="shared" si="17"/>
        <v>***</v>
      </c>
      <c r="G34" s="54"/>
      <c r="H34" s="54">
        <f>+IFERROR(VLOOKUP($A34,'Goals &amp; Budget 2026'!$A$2:$EJ$49,141,FALSE),0)</f>
        <v>0</v>
      </c>
      <c r="I34" s="65" t="str">
        <f t="shared" si="18"/>
        <v>***</v>
      </c>
      <c r="J34" s="54"/>
      <c r="K34" s="54">
        <f>+IFERROR(VLOOKUP($A34,'Goals &amp; Budget 2026'!$A$2:$EJ$49,142,FALSE),0)</f>
        <v>0</v>
      </c>
      <c r="L34" s="65" t="str">
        <f t="shared" si="19"/>
        <v>***</v>
      </c>
      <c r="M34" s="54"/>
      <c r="N34" s="54">
        <f>+IFERROR(VLOOKUP($A34,'Goals &amp; Budget 2026'!$A$2:$EJ$49,143,FALSE),0)</f>
        <v>0</v>
      </c>
      <c r="O34" s="232" t="str">
        <f t="shared" si="20"/>
        <v>***</v>
      </c>
      <c r="P34" s="54"/>
      <c r="Q34" s="54">
        <f>+IFERROR(VLOOKUP($A34,'Goals &amp; Budget 2026'!$A$2:$EJ$49,144,FALSE),0)</f>
        <v>0</v>
      </c>
      <c r="R34" s="65" t="str">
        <f t="shared" si="21"/>
        <v>***</v>
      </c>
      <c r="S34" s="54"/>
      <c r="T34" s="54">
        <f>+IFERROR(VLOOKUP($A34,'Goals &amp; Budget 2026'!$A$2:$EJ$49,145,FALSE),0)</f>
        <v>0</v>
      </c>
      <c r="U34" s="65" t="str">
        <f t="shared" si="22"/>
        <v>***</v>
      </c>
      <c r="V34" s="54"/>
      <c r="W34" s="54">
        <f>+IFERROR(VLOOKUP($A34,'Goals &amp; Budget 2026'!$A$2:$EJ$49,146,FALSE),0)</f>
        <v>0</v>
      </c>
      <c r="X34" s="232" t="str">
        <f t="shared" si="23"/>
        <v>***</v>
      </c>
      <c r="Y34" s="54"/>
      <c r="Z34" s="54">
        <f>+IFERROR(VLOOKUP($A34,'Goals &amp; Budget 2026'!$A$2:$EJ$49,147,FALSE),0)</f>
        <v>0</v>
      </c>
      <c r="AA34" s="65" t="str">
        <f t="shared" si="24"/>
        <v>***</v>
      </c>
      <c r="AB34" s="54"/>
      <c r="AC34" s="54">
        <f>+IFERROR(VLOOKUP($A34,'Goals &amp; Budget 2026'!$A$2:$EJ$49,148,FALSE),0)</f>
        <v>0</v>
      </c>
      <c r="AD34" s="65" t="str">
        <f t="shared" si="25"/>
        <v>***</v>
      </c>
      <c r="AE34" s="54"/>
      <c r="AF34" s="54">
        <f>+IFERROR(VLOOKUP($A34,'Goals &amp; Budget 2026'!$A$2:$EJ$49,149,FALSE),0)</f>
        <v>0</v>
      </c>
      <c r="AG34" s="232" t="str">
        <f t="shared" si="26"/>
        <v>***</v>
      </c>
      <c r="AH34" s="54"/>
      <c r="AI34" s="54">
        <f>+IFERROR(VLOOKUP($A34,'Goals &amp; Budget 2026'!$A$2:$EJ$49,150,FALSE),0)</f>
        <v>0</v>
      </c>
      <c r="AJ34" s="65" t="str">
        <f t="shared" si="27"/>
        <v>***</v>
      </c>
      <c r="AK34" s="54"/>
      <c r="AL34" s="54">
        <f>+IFERROR(VLOOKUP($A34,'Goals &amp; Budget 2026'!$A$2:$EJ$49,151,FALSE),0)</f>
        <v>0</v>
      </c>
      <c r="AM34" s="65" t="str">
        <f t="shared" si="28"/>
        <v>***</v>
      </c>
      <c r="AN34" s="54"/>
      <c r="AO34" s="54">
        <f>+IFERROR(VLOOKUP($A34,'Goals &amp; Budget 2026'!$A$2:$EJ$49,152,FALSE),0)</f>
        <v>0</v>
      </c>
      <c r="AP34" s="66" t="str">
        <f t="shared" si="29"/>
        <v>***</v>
      </c>
    </row>
    <row r="35" spans="1:42" ht="20.100000000000001" customHeight="1" x14ac:dyDescent="0.25">
      <c r="A35" s="51" t="s">
        <v>62</v>
      </c>
      <c r="B35" s="52">
        <v>1</v>
      </c>
      <c r="C35" s="53">
        <v>39</v>
      </c>
      <c r="D35" s="51">
        <f t="shared" si="15"/>
        <v>0</v>
      </c>
      <c r="E35" s="54">
        <f t="shared" si="16"/>
        <v>0</v>
      </c>
      <c r="F35" s="232" t="str">
        <f t="shared" si="17"/>
        <v>***</v>
      </c>
      <c r="G35" s="54"/>
      <c r="H35" s="54">
        <f>+IFERROR(VLOOKUP($A35,'Goals &amp; Budget 2026'!$A$2:$EJ$49,141,FALSE),0)</f>
        <v>0</v>
      </c>
      <c r="I35" s="65" t="str">
        <f t="shared" si="18"/>
        <v>***</v>
      </c>
      <c r="J35" s="54"/>
      <c r="K35" s="54">
        <f>+IFERROR(VLOOKUP($A35,'Goals &amp; Budget 2026'!$A$2:$EJ$49,142,FALSE),0)</f>
        <v>0</v>
      </c>
      <c r="L35" s="65" t="str">
        <f t="shared" si="19"/>
        <v>***</v>
      </c>
      <c r="M35" s="54"/>
      <c r="N35" s="54">
        <f>+IFERROR(VLOOKUP($A35,'Goals &amp; Budget 2026'!$A$2:$EJ$49,143,FALSE),0)</f>
        <v>0</v>
      </c>
      <c r="O35" s="232" t="str">
        <f t="shared" si="20"/>
        <v>***</v>
      </c>
      <c r="P35" s="54"/>
      <c r="Q35" s="54">
        <f>+IFERROR(VLOOKUP($A35,'Goals &amp; Budget 2026'!$A$2:$EJ$49,144,FALSE),0)</f>
        <v>0</v>
      </c>
      <c r="R35" s="65" t="str">
        <f t="shared" si="21"/>
        <v>***</v>
      </c>
      <c r="S35" s="54"/>
      <c r="T35" s="54">
        <f>+IFERROR(VLOOKUP($A35,'Goals &amp; Budget 2026'!$A$2:$EJ$49,145,FALSE),0)</f>
        <v>0</v>
      </c>
      <c r="U35" s="65" t="str">
        <f t="shared" si="22"/>
        <v>***</v>
      </c>
      <c r="V35" s="54"/>
      <c r="W35" s="54">
        <f>+IFERROR(VLOOKUP($A35,'Goals &amp; Budget 2026'!$A$2:$EJ$49,146,FALSE),0)</f>
        <v>0</v>
      </c>
      <c r="X35" s="232" t="str">
        <f t="shared" si="23"/>
        <v>***</v>
      </c>
      <c r="Y35" s="54"/>
      <c r="Z35" s="54">
        <f>+IFERROR(VLOOKUP($A35,'Goals &amp; Budget 2026'!$A$2:$EJ$49,147,FALSE),0)</f>
        <v>0</v>
      </c>
      <c r="AA35" s="65" t="str">
        <f t="shared" si="24"/>
        <v>***</v>
      </c>
      <c r="AB35" s="54"/>
      <c r="AC35" s="54">
        <f>+IFERROR(VLOOKUP($A35,'Goals &amp; Budget 2026'!$A$2:$EJ$49,148,FALSE),0)</f>
        <v>0</v>
      </c>
      <c r="AD35" s="65" t="str">
        <f t="shared" si="25"/>
        <v>***</v>
      </c>
      <c r="AE35" s="54"/>
      <c r="AF35" s="54">
        <f>+IFERROR(VLOOKUP($A35,'Goals &amp; Budget 2026'!$A$2:$EJ$49,149,FALSE),0)</f>
        <v>0</v>
      </c>
      <c r="AG35" s="232" t="str">
        <f t="shared" si="26"/>
        <v>***</v>
      </c>
      <c r="AH35" s="54"/>
      <c r="AI35" s="54">
        <f>+IFERROR(VLOOKUP($A35,'Goals &amp; Budget 2026'!$A$2:$EJ$49,150,FALSE),0)</f>
        <v>0</v>
      </c>
      <c r="AJ35" s="65" t="str">
        <f t="shared" si="27"/>
        <v>***</v>
      </c>
      <c r="AK35" s="54"/>
      <c r="AL35" s="54">
        <f>+IFERROR(VLOOKUP($A35,'Goals &amp; Budget 2026'!$A$2:$EJ$49,151,FALSE),0)</f>
        <v>0</v>
      </c>
      <c r="AM35" s="65" t="str">
        <f t="shared" si="28"/>
        <v>***</v>
      </c>
      <c r="AN35" s="54"/>
      <c r="AO35" s="54">
        <f>+IFERROR(VLOOKUP($A35,'Goals &amp; Budget 2026'!$A$2:$EJ$49,152,FALSE),0)</f>
        <v>0</v>
      </c>
      <c r="AP35" s="66" t="str">
        <f t="shared" si="29"/>
        <v>***</v>
      </c>
    </row>
    <row r="36" spans="1:42" ht="20.100000000000001" customHeight="1" x14ac:dyDescent="0.25">
      <c r="A36" s="51" t="s">
        <v>63</v>
      </c>
      <c r="B36" s="52">
        <v>1</v>
      </c>
      <c r="C36" s="53">
        <v>95</v>
      </c>
      <c r="D36" s="51">
        <f t="shared" si="15"/>
        <v>0</v>
      </c>
      <c r="E36" s="54">
        <f t="shared" si="16"/>
        <v>0</v>
      </c>
      <c r="F36" s="232" t="str">
        <f t="shared" si="17"/>
        <v>***</v>
      </c>
      <c r="G36" s="54"/>
      <c r="H36" s="54">
        <f>+IFERROR(VLOOKUP($A36,'Goals &amp; Budget 2026'!$A$2:$EJ$49,141,FALSE),0)</f>
        <v>0</v>
      </c>
      <c r="I36" s="65" t="str">
        <f t="shared" si="18"/>
        <v>***</v>
      </c>
      <c r="J36" s="54"/>
      <c r="K36" s="54">
        <f>+IFERROR(VLOOKUP($A36,'Goals &amp; Budget 2026'!$A$2:$EJ$49,142,FALSE),0)</f>
        <v>0</v>
      </c>
      <c r="L36" s="65" t="str">
        <f t="shared" si="19"/>
        <v>***</v>
      </c>
      <c r="M36" s="54"/>
      <c r="N36" s="54">
        <f>+IFERROR(VLOOKUP($A36,'Goals &amp; Budget 2026'!$A$2:$EJ$49,143,FALSE),0)</f>
        <v>0</v>
      </c>
      <c r="O36" s="232" t="str">
        <f t="shared" si="20"/>
        <v>***</v>
      </c>
      <c r="P36" s="54"/>
      <c r="Q36" s="54">
        <f>+IFERROR(VLOOKUP($A36,'Goals &amp; Budget 2026'!$A$2:$EJ$49,144,FALSE),0)</f>
        <v>0</v>
      </c>
      <c r="R36" s="65" t="str">
        <f t="shared" si="21"/>
        <v>***</v>
      </c>
      <c r="S36" s="54"/>
      <c r="T36" s="54">
        <f>+IFERROR(VLOOKUP($A36,'Goals &amp; Budget 2026'!$A$2:$EJ$49,145,FALSE),0)</f>
        <v>0</v>
      </c>
      <c r="U36" s="65" t="str">
        <f t="shared" si="22"/>
        <v>***</v>
      </c>
      <c r="V36" s="54"/>
      <c r="W36" s="54">
        <f>+IFERROR(VLOOKUP($A36,'Goals &amp; Budget 2026'!$A$2:$EJ$49,146,FALSE),0)</f>
        <v>0</v>
      </c>
      <c r="X36" s="232" t="str">
        <f t="shared" si="23"/>
        <v>***</v>
      </c>
      <c r="Y36" s="54"/>
      <c r="Z36" s="54">
        <f>+IFERROR(VLOOKUP($A36,'Goals &amp; Budget 2026'!$A$2:$EJ$49,147,FALSE),0)</f>
        <v>0</v>
      </c>
      <c r="AA36" s="65" t="str">
        <f t="shared" si="24"/>
        <v>***</v>
      </c>
      <c r="AB36" s="54"/>
      <c r="AC36" s="54">
        <f>+IFERROR(VLOOKUP($A36,'Goals &amp; Budget 2026'!$A$2:$EJ$49,148,FALSE),0)</f>
        <v>0</v>
      </c>
      <c r="AD36" s="65" t="str">
        <f t="shared" si="25"/>
        <v>***</v>
      </c>
      <c r="AE36" s="54"/>
      <c r="AF36" s="54">
        <f>+IFERROR(VLOOKUP($A36,'Goals &amp; Budget 2026'!$A$2:$EJ$49,149,FALSE),0)</f>
        <v>0</v>
      </c>
      <c r="AG36" s="232" t="str">
        <f t="shared" si="26"/>
        <v>***</v>
      </c>
      <c r="AH36" s="54"/>
      <c r="AI36" s="54">
        <f>+IFERROR(VLOOKUP($A36,'Goals &amp; Budget 2026'!$A$2:$EJ$49,150,FALSE),0)</f>
        <v>0</v>
      </c>
      <c r="AJ36" s="65" t="str">
        <f t="shared" si="27"/>
        <v>***</v>
      </c>
      <c r="AK36" s="54"/>
      <c r="AL36" s="54">
        <f>+IFERROR(VLOOKUP($A36,'Goals &amp; Budget 2026'!$A$2:$EJ$49,151,FALSE),0)</f>
        <v>0</v>
      </c>
      <c r="AM36" s="65" t="str">
        <f t="shared" si="28"/>
        <v>***</v>
      </c>
      <c r="AN36" s="54"/>
      <c r="AO36" s="54">
        <f>+IFERROR(VLOOKUP($A36,'Goals &amp; Budget 2026'!$A$2:$EJ$49,152,FALSE),0)</f>
        <v>0</v>
      </c>
      <c r="AP36" s="66" t="str">
        <f t="shared" si="29"/>
        <v>***</v>
      </c>
    </row>
    <row r="37" spans="1:42" ht="20.100000000000001" customHeight="1" x14ac:dyDescent="0.25">
      <c r="A37" s="51" t="s">
        <v>114</v>
      </c>
      <c r="B37" s="52">
        <v>1</v>
      </c>
      <c r="C37" s="53">
        <v>1</v>
      </c>
      <c r="D37" s="51">
        <f t="shared" si="15"/>
        <v>0</v>
      </c>
      <c r="E37" s="54">
        <f t="shared" si="16"/>
        <v>0</v>
      </c>
      <c r="F37" s="232" t="str">
        <f t="shared" si="17"/>
        <v>***</v>
      </c>
      <c r="G37" s="54"/>
      <c r="H37" s="54">
        <f>+IFERROR(VLOOKUP($A37,'Goals &amp; Budget 2026'!$A$2:$EJ$49,141,FALSE),0)</f>
        <v>0</v>
      </c>
      <c r="I37" s="65" t="str">
        <f t="shared" si="18"/>
        <v>***</v>
      </c>
      <c r="J37" s="54"/>
      <c r="K37" s="54">
        <f>+IFERROR(VLOOKUP($A37,'Goals &amp; Budget 2026'!$A$2:$EJ$49,142,FALSE),0)</f>
        <v>0</v>
      </c>
      <c r="L37" s="65" t="str">
        <f t="shared" si="19"/>
        <v>***</v>
      </c>
      <c r="M37" s="54"/>
      <c r="N37" s="54">
        <f>+IFERROR(VLOOKUP($A37,'Goals &amp; Budget 2026'!$A$2:$EJ$49,143,FALSE),0)</f>
        <v>0</v>
      </c>
      <c r="O37" s="232" t="str">
        <f t="shared" si="20"/>
        <v>***</v>
      </c>
      <c r="P37" s="54"/>
      <c r="Q37" s="54">
        <f>+IFERROR(VLOOKUP($A37,'Goals &amp; Budget 2026'!$A$2:$EJ$49,144,FALSE),0)</f>
        <v>0</v>
      </c>
      <c r="R37" s="65" t="str">
        <f t="shared" si="21"/>
        <v>***</v>
      </c>
      <c r="S37" s="54"/>
      <c r="T37" s="54">
        <f>+IFERROR(VLOOKUP($A37,'Goals &amp; Budget 2026'!$A$2:$EJ$49,145,FALSE),0)</f>
        <v>0</v>
      </c>
      <c r="U37" s="65" t="str">
        <f t="shared" si="22"/>
        <v>***</v>
      </c>
      <c r="V37" s="54"/>
      <c r="W37" s="54">
        <f>+IFERROR(VLOOKUP($A37,'Goals &amp; Budget 2026'!$A$2:$EJ$49,146,FALSE),0)</f>
        <v>0</v>
      </c>
      <c r="X37" s="232" t="str">
        <f t="shared" si="23"/>
        <v>***</v>
      </c>
      <c r="Y37" s="54"/>
      <c r="Z37" s="54">
        <f>+IFERROR(VLOOKUP($A37,'Goals &amp; Budget 2026'!$A$2:$EJ$49,147,FALSE),0)</f>
        <v>0</v>
      </c>
      <c r="AA37" s="65" t="str">
        <f t="shared" si="24"/>
        <v>***</v>
      </c>
      <c r="AB37" s="54"/>
      <c r="AC37" s="54">
        <f>+IFERROR(VLOOKUP($A37,'Goals &amp; Budget 2026'!$A$2:$EJ$49,148,FALSE),0)</f>
        <v>0</v>
      </c>
      <c r="AD37" s="65" t="str">
        <f t="shared" si="25"/>
        <v>***</v>
      </c>
      <c r="AE37" s="54"/>
      <c r="AF37" s="54">
        <f>+IFERROR(VLOOKUP($A37,'Goals &amp; Budget 2026'!$A$2:$EJ$49,149,FALSE),0)</f>
        <v>0</v>
      </c>
      <c r="AG37" s="232" t="str">
        <f t="shared" si="26"/>
        <v>***</v>
      </c>
      <c r="AH37" s="54"/>
      <c r="AI37" s="54">
        <f>+IFERROR(VLOOKUP($A37,'Goals &amp; Budget 2026'!$A$2:$EJ$49,150,FALSE),0)</f>
        <v>0</v>
      </c>
      <c r="AJ37" s="65" t="str">
        <f t="shared" si="27"/>
        <v>***</v>
      </c>
      <c r="AK37" s="54"/>
      <c r="AL37" s="54">
        <f>+IFERROR(VLOOKUP($A37,'Goals &amp; Budget 2026'!$A$2:$EJ$49,151,FALSE),0)</f>
        <v>0</v>
      </c>
      <c r="AM37" s="65" t="str">
        <f t="shared" si="28"/>
        <v>***</v>
      </c>
      <c r="AN37" s="54"/>
      <c r="AO37" s="54">
        <f>+IFERROR(VLOOKUP($A37,'Goals &amp; Budget 2026'!$A$2:$EJ$49,152,FALSE),0)</f>
        <v>0</v>
      </c>
      <c r="AP37" s="66" t="str">
        <f t="shared" si="29"/>
        <v>***</v>
      </c>
    </row>
    <row r="38" spans="1:42" ht="20.100000000000001" customHeight="1" x14ac:dyDescent="0.25">
      <c r="A38" s="51" t="s">
        <v>100</v>
      </c>
      <c r="B38" s="52">
        <v>1</v>
      </c>
      <c r="C38" s="53">
        <v>83</v>
      </c>
      <c r="D38" s="51">
        <f t="shared" si="15"/>
        <v>0</v>
      </c>
      <c r="E38" s="54">
        <f t="shared" si="16"/>
        <v>0</v>
      </c>
      <c r="F38" s="232" t="str">
        <f t="shared" si="17"/>
        <v>***</v>
      </c>
      <c r="G38" s="54"/>
      <c r="H38" s="54">
        <f>+IFERROR(VLOOKUP($A38,'Goals &amp; Budget 2026'!$A$2:$EJ$49,141,FALSE),0)</f>
        <v>0</v>
      </c>
      <c r="I38" s="65" t="str">
        <f t="shared" si="18"/>
        <v>***</v>
      </c>
      <c r="J38" s="54"/>
      <c r="K38" s="54">
        <f>+IFERROR(VLOOKUP($A38,'Goals &amp; Budget 2026'!$A$2:$EJ$49,142,FALSE),0)</f>
        <v>0</v>
      </c>
      <c r="L38" s="65" t="str">
        <f t="shared" si="19"/>
        <v>***</v>
      </c>
      <c r="M38" s="54"/>
      <c r="N38" s="54">
        <f>+IFERROR(VLOOKUP($A38,'Goals &amp; Budget 2026'!$A$2:$EJ$49,143,FALSE),0)</f>
        <v>0</v>
      </c>
      <c r="O38" s="232" t="str">
        <f t="shared" si="20"/>
        <v>***</v>
      </c>
      <c r="P38" s="54"/>
      <c r="Q38" s="54">
        <f>+IFERROR(VLOOKUP($A38,'Goals &amp; Budget 2026'!$A$2:$EJ$49,144,FALSE),0)</f>
        <v>0</v>
      </c>
      <c r="R38" s="65" t="str">
        <f t="shared" si="21"/>
        <v>***</v>
      </c>
      <c r="S38" s="54"/>
      <c r="T38" s="54">
        <f>+IFERROR(VLOOKUP($A38,'Goals &amp; Budget 2026'!$A$2:$EJ$49,145,FALSE),0)</f>
        <v>0</v>
      </c>
      <c r="U38" s="65" t="str">
        <f t="shared" si="22"/>
        <v>***</v>
      </c>
      <c r="V38" s="54"/>
      <c r="W38" s="54">
        <f>+IFERROR(VLOOKUP($A38,'Goals &amp; Budget 2026'!$A$2:$EJ$49,146,FALSE),0)</f>
        <v>0</v>
      </c>
      <c r="X38" s="232" t="str">
        <f t="shared" si="23"/>
        <v>***</v>
      </c>
      <c r="Y38" s="54"/>
      <c r="Z38" s="54">
        <f>+IFERROR(VLOOKUP($A38,'Goals &amp; Budget 2026'!$A$2:$EJ$49,147,FALSE),0)</f>
        <v>0</v>
      </c>
      <c r="AA38" s="65" t="str">
        <f t="shared" si="24"/>
        <v>***</v>
      </c>
      <c r="AB38" s="54"/>
      <c r="AC38" s="54">
        <f>+IFERROR(VLOOKUP($A38,'Goals &amp; Budget 2026'!$A$2:$EJ$49,148,FALSE),0)</f>
        <v>0</v>
      </c>
      <c r="AD38" s="65" t="str">
        <f t="shared" si="25"/>
        <v>***</v>
      </c>
      <c r="AE38" s="54"/>
      <c r="AF38" s="54">
        <f>+IFERROR(VLOOKUP($A38,'Goals &amp; Budget 2026'!$A$2:$EJ$49,149,FALSE),0)</f>
        <v>0</v>
      </c>
      <c r="AG38" s="232" t="str">
        <f t="shared" si="26"/>
        <v>***</v>
      </c>
      <c r="AH38" s="54"/>
      <c r="AI38" s="54">
        <f>+IFERROR(VLOOKUP($A38,'Goals &amp; Budget 2026'!$A$2:$EJ$49,150,FALSE),0)</f>
        <v>0</v>
      </c>
      <c r="AJ38" s="65" t="str">
        <f t="shared" si="27"/>
        <v>***</v>
      </c>
      <c r="AK38" s="54"/>
      <c r="AL38" s="54">
        <f>+IFERROR(VLOOKUP($A38,'Goals &amp; Budget 2026'!$A$2:$EJ$49,151,FALSE),0)</f>
        <v>0</v>
      </c>
      <c r="AM38" s="65" t="str">
        <f t="shared" si="28"/>
        <v>***</v>
      </c>
      <c r="AN38" s="54"/>
      <c r="AO38" s="54">
        <f>+IFERROR(VLOOKUP($A38,'Goals &amp; Budget 2026'!$A$2:$EJ$49,152,FALSE),0)</f>
        <v>0</v>
      </c>
      <c r="AP38" s="66" t="str">
        <f t="shared" si="29"/>
        <v>***</v>
      </c>
    </row>
    <row r="39" spans="1:42" ht="20.100000000000001" customHeight="1" x14ac:dyDescent="0.25">
      <c r="A39" s="51" t="s">
        <v>101</v>
      </c>
      <c r="B39" s="52">
        <v>1</v>
      </c>
      <c r="C39" s="53">
        <v>180</v>
      </c>
      <c r="D39" s="51">
        <f t="shared" si="15"/>
        <v>0</v>
      </c>
      <c r="E39" s="54">
        <f t="shared" si="16"/>
        <v>0</v>
      </c>
      <c r="F39" s="232" t="str">
        <f t="shared" si="17"/>
        <v>***</v>
      </c>
      <c r="G39" s="54"/>
      <c r="H39" s="54">
        <f>+IFERROR(VLOOKUP($A39,'Goals &amp; Budget 2026'!$A$2:$EJ$49,141,FALSE),0)</f>
        <v>0</v>
      </c>
      <c r="I39" s="65" t="str">
        <f t="shared" si="18"/>
        <v>***</v>
      </c>
      <c r="J39" s="54"/>
      <c r="K39" s="54">
        <f>+IFERROR(VLOOKUP($A39,'Goals &amp; Budget 2026'!$A$2:$EJ$49,142,FALSE),0)</f>
        <v>0</v>
      </c>
      <c r="L39" s="65" t="str">
        <f t="shared" si="19"/>
        <v>***</v>
      </c>
      <c r="M39" s="54"/>
      <c r="N39" s="54">
        <f>+IFERROR(VLOOKUP($A39,'Goals &amp; Budget 2026'!$A$2:$EJ$49,143,FALSE),0)</f>
        <v>0</v>
      </c>
      <c r="O39" s="232" t="str">
        <f t="shared" si="20"/>
        <v>***</v>
      </c>
      <c r="P39" s="54"/>
      <c r="Q39" s="54">
        <f>+IFERROR(VLOOKUP($A39,'Goals &amp; Budget 2026'!$A$2:$EJ$49,144,FALSE),0)</f>
        <v>0</v>
      </c>
      <c r="R39" s="65" t="str">
        <f t="shared" si="21"/>
        <v>***</v>
      </c>
      <c r="S39" s="54"/>
      <c r="T39" s="54">
        <f>+IFERROR(VLOOKUP($A39,'Goals &amp; Budget 2026'!$A$2:$EJ$49,145,FALSE),0)</f>
        <v>0</v>
      </c>
      <c r="U39" s="65" t="str">
        <f t="shared" si="22"/>
        <v>***</v>
      </c>
      <c r="V39" s="54"/>
      <c r="W39" s="54">
        <f>+IFERROR(VLOOKUP($A39,'Goals &amp; Budget 2026'!$A$2:$EJ$49,146,FALSE),0)</f>
        <v>0</v>
      </c>
      <c r="X39" s="232" t="str">
        <f t="shared" si="23"/>
        <v>***</v>
      </c>
      <c r="Y39" s="54"/>
      <c r="Z39" s="54">
        <f>+IFERROR(VLOOKUP($A39,'Goals &amp; Budget 2026'!$A$2:$EJ$49,147,FALSE),0)</f>
        <v>0</v>
      </c>
      <c r="AA39" s="65" t="str">
        <f t="shared" si="24"/>
        <v>***</v>
      </c>
      <c r="AB39" s="54"/>
      <c r="AC39" s="54">
        <f>+IFERROR(VLOOKUP($A39,'Goals &amp; Budget 2026'!$A$2:$EJ$49,148,FALSE),0)</f>
        <v>0</v>
      </c>
      <c r="AD39" s="65" t="str">
        <f t="shared" si="25"/>
        <v>***</v>
      </c>
      <c r="AE39" s="54"/>
      <c r="AF39" s="54">
        <f>+IFERROR(VLOOKUP($A39,'Goals &amp; Budget 2026'!$A$2:$EJ$49,149,FALSE),0)</f>
        <v>0</v>
      </c>
      <c r="AG39" s="232" t="str">
        <f t="shared" si="26"/>
        <v>***</v>
      </c>
      <c r="AH39" s="54"/>
      <c r="AI39" s="54">
        <f>+IFERROR(VLOOKUP($A39,'Goals &amp; Budget 2026'!$A$2:$EJ$49,150,FALSE),0)</f>
        <v>0</v>
      </c>
      <c r="AJ39" s="65" t="str">
        <f t="shared" si="27"/>
        <v>***</v>
      </c>
      <c r="AK39" s="54"/>
      <c r="AL39" s="54">
        <f>+IFERROR(VLOOKUP($A39,'Goals &amp; Budget 2026'!$A$2:$EJ$49,151,FALSE),0)</f>
        <v>0</v>
      </c>
      <c r="AM39" s="65" t="str">
        <f t="shared" si="28"/>
        <v>***</v>
      </c>
      <c r="AN39" s="54"/>
      <c r="AO39" s="54">
        <f>+IFERROR(VLOOKUP($A39,'Goals &amp; Budget 2026'!$A$2:$EJ$49,152,FALSE),0)</f>
        <v>0</v>
      </c>
      <c r="AP39" s="66" t="str">
        <f t="shared" si="29"/>
        <v>***</v>
      </c>
    </row>
    <row r="40" spans="1:42" ht="20.100000000000001" customHeight="1" x14ac:dyDescent="0.25">
      <c r="A40" s="51" t="s">
        <v>115</v>
      </c>
      <c r="B40" s="52">
        <v>1</v>
      </c>
      <c r="C40" s="53">
        <v>1</v>
      </c>
      <c r="D40" s="51">
        <f t="shared" si="15"/>
        <v>0</v>
      </c>
      <c r="E40" s="54">
        <f t="shared" si="16"/>
        <v>0</v>
      </c>
      <c r="F40" s="232" t="str">
        <f t="shared" si="17"/>
        <v>***</v>
      </c>
      <c r="G40" s="54"/>
      <c r="H40" s="54">
        <f>+IFERROR(VLOOKUP($A40,'Goals &amp; Budget 2026'!$A$2:$EJ$49,141,FALSE),0)</f>
        <v>0</v>
      </c>
      <c r="I40" s="65" t="str">
        <f t="shared" si="18"/>
        <v>***</v>
      </c>
      <c r="J40" s="54"/>
      <c r="K40" s="54">
        <f>+IFERROR(VLOOKUP($A40,'Goals &amp; Budget 2026'!$A$2:$EJ$49,142,FALSE),0)</f>
        <v>0</v>
      </c>
      <c r="L40" s="65" t="str">
        <f t="shared" si="19"/>
        <v>***</v>
      </c>
      <c r="M40" s="54"/>
      <c r="N40" s="54">
        <f>+IFERROR(VLOOKUP($A40,'Goals &amp; Budget 2026'!$A$2:$EJ$49,143,FALSE),0)</f>
        <v>0</v>
      </c>
      <c r="O40" s="232" t="str">
        <f t="shared" si="20"/>
        <v>***</v>
      </c>
      <c r="P40" s="54"/>
      <c r="Q40" s="54">
        <f>+IFERROR(VLOOKUP($A40,'Goals &amp; Budget 2026'!$A$2:$EJ$49,144,FALSE),0)</f>
        <v>0</v>
      </c>
      <c r="R40" s="65" t="str">
        <f t="shared" si="21"/>
        <v>***</v>
      </c>
      <c r="S40" s="54"/>
      <c r="T40" s="54">
        <f>+IFERROR(VLOOKUP($A40,'Goals &amp; Budget 2026'!$A$2:$EJ$49,145,FALSE),0)</f>
        <v>0</v>
      </c>
      <c r="U40" s="65" t="str">
        <f t="shared" si="22"/>
        <v>***</v>
      </c>
      <c r="V40" s="54"/>
      <c r="W40" s="54">
        <f>+IFERROR(VLOOKUP($A40,'Goals &amp; Budget 2026'!$A$2:$EJ$49,146,FALSE),0)</f>
        <v>0</v>
      </c>
      <c r="X40" s="232" t="str">
        <f t="shared" si="23"/>
        <v>***</v>
      </c>
      <c r="Y40" s="54"/>
      <c r="Z40" s="54">
        <f>+IFERROR(VLOOKUP($A40,'Goals &amp; Budget 2026'!$A$2:$EJ$49,147,FALSE),0)</f>
        <v>0</v>
      </c>
      <c r="AA40" s="65" t="str">
        <f t="shared" si="24"/>
        <v>***</v>
      </c>
      <c r="AB40" s="54"/>
      <c r="AC40" s="54">
        <f>+IFERROR(VLOOKUP($A40,'Goals &amp; Budget 2026'!$A$2:$EJ$49,148,FALSE),0)</f>
        <v>0</v>
      </c>
      <c r="AD40" s="65" t="str">
        <f t="shared" si="25"/>
        <v>***</v>
      </c>
      <c r="AE40" s="54"/>
      <c r="AF40" s="54">
        <f>+IFERROR(VLOOKUP($A40,'Goals &amp; Budget 2026'!$A$2:$EJ$49,149,FALSE),0)</f>
        <v>0</v>
      </c>
      <c r="AG40" s="232" t="str">
        <f t="shared" si="26"/>
        <v>***</v>
      </c>
      <c r="AH40" s="54"/>
      <c r="AI40" s="54">
        <f>+IFERROR(VLOOKUP($A40,'Goals &amp; Budget 2026'!$A$2:$EJ$49,150,FALSE),0)</f>
        <v>0</v>
      </c>
      <c r="AJ40" s="65" t="str">
        <f t="shared" si="27"/>
        <v>***</v>
      </c>
      <c r="AK40" s="54"/>
      <c r="AL40" s="54">
        <f>+IFERROR(VLOOKUP($A40,'Goals &amp; Budget 2026'!$A$2:$EJ$49,151,FALSE),0)</f>
        <v>0</v>
      </c>
      <c r="AM40" s="65" t="str">
        <f t="shared" si="28"/>
        <v>***</v>
      </c>
      <c r="AN40" s="54"/>
      <c r="AO40" s="54">
        <f>+IFERROR(VLOOKUP($A40,'Goals &amp; Budget 2026'!$A$2:$EJ$49,152,FALSE),0)</f>
        <v>0</v>
      </c>
      <c r="AP40" s="66" t="str">
        <f t="shared" si="29"/>
        <v>***</v>
      </c>
    </row>
    <row r="41" spans="1:42" ht="20.100000000000001" customHeight="1" x14ac:dyDescent="0.25">
      <c r="A41" s="51" t="s">
        <v>102</v>
      </c>
      <c r="B41" s="52">
        <v>1</v>
      </c>
      <c r="C41" s="53">
        <v>133</v>
      </c>
      <c r="D41" s="51">
        <f t="shared" si="15"/>
        <v>0</v>
      </c>
      <c r="E41" s="54">
        <f t="shared" si="16"/>
        <v>0</v>
      </c>
      <c r="F41" s="232" t="str">
        <f t="shared" si="17"/>
        <v>***</v>
      </c>
      <c r="G41" s="54"/>
      <c r="H41" s="54">
        <f>+IFERROR(VLOOKUP($A41,'Goals &amp; Budget 2026'!$A$2:$EJ$49,141,FALSE),0)</f>
        <v>0</v>
      </c>
      <c r="I41" s="65" t="str">
        <f t="shared" si="18"/>
        <v>***</v>
      </c>
      <c r="J41" s="54"/>
      <c r="K41" s="54">
        <f>+IFERROR(VLOOKUP($A41,'Goals &amp; Budget 2026'!$A$2:$EJ$49,142,FALSE),0)</f>
        <v>0</v>
      </c>
      <c r="L41" s="65" t="str">
        <f t="shared" si="19"/>
        <v>***</v>
      </c>
      <c r="M41" s="54"/>
      <c r="N41" s="54">
        <f>+IFERROR(VLOOKUP($A41,'Goals &amp; Budget 2026'!$A$2:$EJ$49,143,FALSE),0)</f>
        <v>0</v>
      </c>
      <c r="O41" s="232" t="str">
        <f t="shared" si="20"/>
        <v>***</v>
      </c>
      <c r="P41" s="54"/>
      <c r="Q41" s="54">
        <f>+IFERROR(VLOOKUP($A41,'Goals &amp; Budget 2026'!$A$2:$EJ$49,144,FALSE),0)</f>
        <v>0</v>
      </c>
      <c r="R41" s="65" t="str">
        <f t="shared" si="21"/>
        <v>***</v>
      </c>
      <c r="S41" s="54"/>
      <c r="T41" s="54">
        <f>+IFERROR(VLOOKUP($A41,'Goals &amp; Budget 2026'!$A$2:$EJ$49,145,FALSE),0)</f>
        <v>0</v>
      </c>
      <c r="U41" s="65" t="str">
        <f t="shared" si="22"/>
        <v>***</v>
      </c>
      <c r="V41" s="54"/>
      <c r="W41" s="54">
        <f>+IFERROR(VLOOKUP($A41,'Goals &amp; Budget 2026'!$A$2:$EJ$49,146,FALSE),0)</f>
        <v>0</v>
      </c>
      <c r="X41" s="232" t="str">
        <f t="shared" si="23"/>
        <v>***</v>
      </c>
      <c r="Y41" s="54"/>
      <c r="Z41" s="54">
        <f>+IFERROR(VLOOKUP($A41,'Goals &amp; Budget 2026'!$A$2:$EJ$49,147,FALSE),0)</f>
        <v>0</v>
      </c>
      <c r="AA41" s="65" t="str">
        <f t="shared" si="24"/>
        <v>***</v>
      </c>
      <c r="AB41" s="54"/>
      <c r="AC41" s="54">
        <f>+IFERROR(VLOOKUP($A41,'Goals &amp; Budget 2026'!$A$2:$EJ$49,148,FALSE),0)</f>
        <v>0</v>
      </c>
      <c r="AD41" s="65" t="str">
        <f t="shared" si="25"/>
        <v>***</v>
      </c>
      <c r="AE41" s="54"/>
      <c r="AF41" s="54">
        <f>+IFERROR(VLOOKUP($A41,'Goals &amp; Budget 2026'!$A$2:$EJ$49,149,FALSE),0)</f>
        <v>0</v>
      </c>
      <c r="AG41" s="232" t="str">
        <f t="shared" si="26"/>
        <v>***</v>
      </c>
      <c r="AH41" s="54"/>
      <c r="AI41" s="54">
        <f>+IFERROR(VLOOKUP($A41,'Goals &amp; Budget 2026'!$A$2:$EJ$49,150,FALSE),0)</f>
        <v>0</v>
      </c>
      <c r="AJ41" s="65" t="str">
        <f t="shared" si="27"/>
        <v>***</v>
      </c>
      <c r="AK41" s="54"/>
      <c r="AL41" s="54">
        <f>+IFERROR(VLOOKUP($A41,'Goals &amp; Budget 2026'!$A$2:$EJ$49,151,FALSE),0)</f>
        <v>0</v>
      </c>
      <c r="AM41" s="65" t="str">
        <f t="shared" si="28"/>
        <v>***</v>
      </c>
      <c r="AN41" s="54"/>
      <c r="AO41" s="54">
        <f>+IFERROR(VLOOKUP($A41,'Goals &amp; Budget 2026'!$A$2:$EJ$49,152,FALSE),0)</f>
        <v>0</v>
      </c>
      <c r="AP41" s="66" t="str">
        <f t="shared" si="29"/>
        <v>***</v>
      </c>
    </row>
    <row r="42" spans="1:42" ht="20.100000000000001" customHeight="1" x14ac:dyDescent="0.25">
      <c r="A42" s="51" t="s">
        <v>103</v>
      </c>
      <c r="B42" s="52">
        <v>1</v>
      </c>
      <c r="C42" s="53">
        <v>132</v>
      </c>
      <c r="D42" s="51">
        <f t="shared" si="15"/>
        <v>0</v>
      </c>
      <c r="E42" s="54">
        <f t="shared" si="16"/>
        <v>0</v>
      </c>
      <c r="F42" s="232" t="str">
        <f t="shared" si="17"/>
        <v>***</v>
      </c>
      <c r="G42" s="54"/>
      <c r="H42" s="54">
        <f>+IFERROR(VLOOKUP($A42,'Goals &amp; Budget 2026'!$A$2:$EJ$49,141,FALSE),0)</f>
        <v>0</v>
      </c>
      <c r="I42" s="65" t="str">
        <f t="shared" si="18"/>
        <v>***</v>
      </c>
      <c r="J42" s="54"/>
      <c r="K42" s="54">
        <f>+IFERROR(VLOOKUP($A42,'Goals &amp; Budget 2026'!$A$2:$EJ$49,142,FALSE),0)</f>
        <v>0</v>
      </c>
      <c r="L42" s="65" t="str">
        <f t="shared" si="19"/>
        <v>***</v>
      </c>
      <c r="M42" s="54"/>
      <c r="N42" s="54">
        <f>+IFERROR(VLOOKUP($A42,'Goals &amp; Budget 2026'!$A$2:$EJ$49,143,FALSE),0)</f>
        <v>0</v>
      </c>
      <c r="O42" s="232" t="str">
        <f t="shared" si="20"/>
        <v>***</v>
      </c>
      <c r="P42" s="54"/>
      <c r="Q42" s="54">
        <f>+IFERROR(VLOOKUP($A42,'Goals &amp; Budget 2026'!$A$2:$EJ$49,144,FALSE),0)</f>
        <v>0</v>
      </c>
      <c r="R42" s="65" t="str">
        <f t="shared" si="21"/>
        <v>***</v>
      </c>
      <c r="S42" s="54"/>
      <c r="T42" s="54">
        <f>+IFERROR(VLOOKUP($A42,'Goals &amp; Budget 2026'!$A$2:$EJ$49,145,FALSE),0)</f>
        <v>0</v>
      </c>
      <c r="U42" s="65" t="str">
        <f t="shared" si="22"/>
        <v>***</v>
      </c>
      <c r="V42" s="54"/>
      <c r="W42" s="54">
        <f>+IFERROR(VLOOKUP($A42,'Goals &amp; Budget 2026'!$A$2:$EJ$49,146,FALSE),0)</f>
        <v>0</v>
      </c>
      <c r="X42" s="232" t="str">
        <f t="shared" si="23"/>
        <v>***</v>
      </c>
      <c r="Y42" s="54"/>
      <c r="Z42" s="54">
        <f>+IFERROR(VLOOKUP($A42,'Goals &amp; Budget 2026'!$A$2:$EJ$49,147,FALSE),0)</f>
        <v>0</v>
      </c>
      <c r="AA42" s="65" t="str">
        <f t="shared" si="24"/>
        <v>***</v>
      </c>
      <c r="AB42" s="54"/>
      <c r="AC42" s="54">
        <f>+IFERROR(VLOOKUP($A42,'Goals &amp; Budget 2026'!$A$2:$EJ$49,148,FALSE),0)</f>
        <v>0</v>
      </c>
      <c r="AD42" s="65" t="str">
        <f t="shared" si="25"/>
        <v>***</v>
      </c>
      <c r="AE42" s="54"/>
      <c r="AF42" s="54">
        <f>+IFERROR(VLOOKUP($A42,'Goals &amp; Budget 2026'!$A$2:$EJ$49,149,FALSE),0)</f>
        <v>0</v>
      </c>
      <c r="AG42" s="232" t="str">
        <f t="shared" si="26"/>
        <v>***</v>
      </c>
      <c r="AH42" s="54"/>
      <c r="AI42" s="54">
        <f>+IFERROR(VLOOKUP($A42,'Goals &amp; Budget 2026'!$A$2:$EJ$49,150,FALSE),0)</f>
        <v>0</v>
      </c>
      <c r="AJ42" s="65" t="str">
        <f t="shared" si="27"/>
        <v>***</v>
      </c>
      <c r="AK42" s="54"/>
      <c r="AL42" s="54">
        <f>+IFERROR(VLOOKUP($A42,'Goals &amp; Budget 2026'!$A$2:$EJ$49,151,FALSE),0)</f>
        <v>0</v>
      </c>
      <c r="AM42" s="65" t="str">
        <f t="shared" si="28"/>
        <v>***</v>
      </c>
      <c r="AN42" s="54"/>
      <c r="AO42" s="54">
        <f>+IFERROR(VLOOKUP($A42,'Goals &amp; Budget 2026'!$A$2:$EJ$49,152,FALSE),0)</f>
        <v>0</v>
      </c>
      <c r="AP42" s="66" t="str">
        <f t="shared" si="29"/>
        <v>***</v>
      </c>
    </row>
    <row r="43" spans="1:42" ht="20.100000000000001" customHeight="1" x14ac:dyDescent="0.25">
      <c r="A43" s="51" t="s">
        <v>104</v>
      </c>
      <c r="B43" s="52">
        <v>1</v>
      </c>
      <c r="C43" s="53">
        <v>90</v>
      </c>
      <c r="D43" s="51">
        <f t="shared" si="15"/>
        <v>0</v>
      </c>
      <c r="E43" s="54">
        <f t="shared" si="16"/>
        <v>0</v>
      </c>
      <c r="F43" s="232" t="str">
        <f t="shared" si="17"/>
        <v>***</v>
      </c>
      <c r="G43" s="54"/>
      <c r="H43" s="54">
        <f>+IFERROR(VLOOKUP($A43,'Goals &amp; Budget 2026'!$A$2:$EJ$49,141,FALSE),0)</f>
        <v>0</v>
      </c>
      <c r="I43" s="65" t="str">
        <f t="shared" si="18"/>
        <v>***</v>
      </c>
      <c r="J43" s="54"/>
      <c r="K43" s="54">
        <f>+IFERROR(VLOOKUP($A43,'Goals &amp; Budget 2026'!$A$2:$EJ$49,142,FALSE),0)</f>
        <v>0</v>
      </c>
      <c r="L43" s="65" t="str">
        <f t="shared" si="19"/>
        <v>***</v>
      </c>
      <c r="M43" s="54"/>
      <c r="N43" s="54">
        <f>+IFERROR(VLOOKUP($A43,'Goals &amp; Budget 2026'!$A$2:$EJ$49,143,FALSE),0)</f>
        <v>0</v>
      </c>
      <c r="O43" s="232" t="str">
        <f t="shared" si="20"/>
        <v>***</v>
      </c>
      <c r="P43" s="54"/>
      <c r="Q43" s="54">
        <f>+IFERROR(VLOOKUP($A43,'Goals &amp; Budget 2026'!$A$2:$EJ$49,144,FALSE),0)</f>
        <v>0</v>
      </c>
      <c r="R43" s="65" t="str">
        <f t="shared" si="21"/>
        <v>***</v>
      </c>
      <c r="S43" s="54"/>
      <c r="T43" s="54">
        <f>+IFERROR(VLOOKUP($A43,'Goals &amp; Budget 2026'!$A$2:$EJ$49,145,FALSE),0)</f>
        <v>0</v>
      </c>
      <c r="U43" s="65" t="str">
        <f t="shared" si="22"/>
        <v>***</v>
      </c>
      <c r="V43" s="54"/>
      <c r="W43" s="54">
        <f>+IFERROR(VLOOKUP($A43,'Goals &amp; Budget 2026'!$A$2:$EJ$49,146,FALSE),0)</f>
        <v>0</v>
      </c>
      <c r="X43" s="232" t="str">
        <f t="shared" si="23"/>
        <v>***</v>
      </c>
      <c r="Y43" s="54"/>
      <c r="Z43" s="54">
        <f>+IFERROR(VLOOKUP($A43,'Goals &amp; Budget 2026'!$A$2:$EJ$49,147,FALSE),0)</f>
        <v>0</v>
      </c>
      <c r="AA43" s="65" t="str">
        <f t="shared" si="24"/>
        <v>***</v>
      </c>
      <c r="AB43" s="54"/>
      <c r="AC43" s="54">
        <f>+IFERROR(VLOOKUP($A43,'Goals &amp; Budget 2026'!$A$2:$EJ$49,148,FALSE),0)</f>
        <v>0</v>
      </c>
      <c r="AD43" s="65" t="str">
        <f t="shared" si="25"/>
        <v>***</v>
      </c>
      <c r="AE43" s="54"/>
      <c r="AF43" s="54">
        <f>+IFERROR(VLOOKUP($A43,'Goals &amp; Budget 2026'!$A$2:$EJ$49,149,FALSE),0)</f>
        <v>0</v>
      </c>
      <c r="AG43" s="232" t="str">
        <f t="shared" si="26"/>
        <v>***</v>
      </c>
      <c r="AH43" s="54"/>
      <c r="AI43" s="54">
        <f>+IFERROR(VLOOKUP($A43,'Goals &amp; Budget 2026'!$A$2:$EJ$49,150,FALSE),0)</f>
        <v>0</v>
      </c>
      <c r="AJ43" s="65" t="str">
        <f t="shared" si="27"/>
        <v>***</v>
      </c>
      <c r="AK43" s="54"/>
      <c r="AL43" s="54">
        <f>+IFERROR(VLOOKUP($A43,'Goals &amp; Budget 2026'!$A$2:$EJ$49,151,FALSE),0)</f>
        <v>0</v>
      </c>
      <c r="AM43" s="65" t="str">
        <f t="shared" si="28"/>
        <v>***</v>
      </c>
      <c r="AN43" s="54"/>
      <c r="AO43" s="54">
        <f>+IFERROR(VLOOKUP($A43,'Goals &amp; Budget 2026'!$A$2:$EJ$49,152,FALSE),0)</f>
        <v>0</v>
      </c>
      <c r="AP43" s="66" t="str">
        <f t="shared" si="29"/>
        <v>***</v>
      </c>
    </row>
    <row r="44" spans="1:42" ht="20.100000000000001" customHeight="1" x14ac:dyDescent="0.25">
      <c r="A44" s="51" t="s">
        <v>111</v>
      </c>
      <c r="B44" s="52">
        <v>1</v>
      </c>
      <c r="C44" s="53">
        <v>144</v>
      </c>
      <c r="D44" s="51">
        <f t="shared" si="15"/>
        <v>0</v>
      </c>
      <c r="E44" s="54">
        <f t="shared" si="16"/>
        <v>0</v>
      </c>
      <c r="F44" s="232" t="str">
        <f t="shared" si="17"/>
        <v>***</v>
      </c>
      <c r="G44" s="54"/>
      <c r="H44" s="54">
        <f>+IFERROR(VLOOKUP($A44,'Goals &amp; Budget 2026'!$A$2:$EJ$49,141,FALSE),0)</f>
        <v>0</v>
      </c>
      <c r="I44" s="65" t="str">
        <f t="shared" si="18"/>
        <v>***</v>
      </c>
      <c r="J44" s="54"/>
      <c r="K44" s="54">
        <f>+IFERROR(VLOOKUP($A44,'Goals &amp; Budget 2026'!$A$2:$EJ$49,142,FALSE),0)</f>
        <v>0</v>
      </c>
      <c r="L44" s="65" t="str">
        <f t="shared" si="19"/>
        <v>***</v>
      </c>
      <c r="M44" s="54"/>
      <c r="N44" s="54">
        <f>+IFERROR(VLOOKUP($A44,'Goals &amp; Budget 2026'!$A$2:$EJ$49,143,FALSE),0)</f>
        <v>0</v>
      </c>
      <c r="O44" s="232" t="str">
        <f t="shared" si="20"/>
        <v>***</v>
      </c>
      <c r="P44" s="54"/>
      <c r="Q44" s="54">
        <f>+IFERROR(VLOOKUP($A44,'Goals &amp; Budget 2026'!$A$2:$EJ$49,144,FALSE),0)</f>
        <v>0</v>
      </c>
      <c r="R44" s="65" t="str">
        <f t="shared" si="21"/>
        <v>***</v>
      </c>
      <c r="S44" s="54"/>
      <c r="T44" s="54">
        <f>+IFERROR(VLOOKUP($A44,'Goals &amp; Budget 2026'!$A$2:$EJ$49,145,FALSE),0)</f>
        <v>0</v>
      </c>
      <c r="U44" s="65" t="str">
        <f t="shared" si="22"/>
        <v>***</v>
      </c>
      <c r="V44" s="54"/>
      <c r="W44" s="54">
        <f>+IFERROR(VLOOKUP($A44,'Goals &amp; Budget 2026'!$A$2:$EJ$49,146,FALSE),0)</f>
        <v>0</v>
      </c>
      <c r="X44" s="232" t="str">
        <f t="shared" si="23"/>
        <v>***</v>
      </c>
      <c r="Y44" s="54"/>
      <c r="Z44" s="54">
        <f>+IFERROR(VLOOKUP($A44,'Goals &amp; Budget 2026'!$A$2:$EJ$49,147,FALSE),0)</f>
        <v>0</v>
      </c>
      <c r="AA44" s="65" t="str">
        <f t="shared" si="24"/>
        <v>***</v>
      </c>
      <c r="AB44" s="54"/>
      <c r="AC44" s="54">
        <f>+IFERROR(VLOOKUP($A44,'Goals &amp; Budget 2026'!$A$2:$EJ$49,148,FALSE),0)</f>
        <v>0</v>
      </c>
      <c r="AD44" s="65" t="str">
        <f t="shared" si="25"/>
        <v>***</v>
      </c>
      <c r="AE44" s="54"/>
      <c r="AF44" s="54">
        <f>+IFERROR(VLOOKUP($A44,'Goals &amp; Budget 2026'!$A$2:$EJ$49,149,FALSE),0)</f>
        <v>0</v>
      </c>
      <c r="AG44" s="232" t="str">
        <f t="shared" si="26"/>
        <v>***</v>
      </c>
      <c r="AH44" s="54"/>
      <c r="AI44" s="54">
        <f>+IFERROR(VLOOKUP($A44,'Goals &amp; Budget 2026'!$A$2:$EJ$49,150,FALSE),0)</f>
        <v>0</v>
      </c>
      <c r="AJ44" s="65" t="str">
        <f t="shared" si="27"/>
        <v>***</v>
      </c>
      <c r="AK44" s="54"/>
      <c r="AL44" s="54">
        <f>+IFERROR(VLOOKUP($A44,'Goals &amp; Budget 2026'!$A$2:$EJ$49,151,FALSE),0)</f>
        <v>0</v>
      </c>
      <c r="AM44" s="65" t="str">
        <f t="shared" si="28"/>
        <v>***</v>
      </c>
      <c r="AN44" s="54"/>
      <c r="AO44" s="54">
        <f>+IFERROR(VLOOKUP($A44,'Goals &amp; Budget 2026'!$A$2:$EJ$49,152,FALSE),0)</f>
        <v>0</v>
      </c>
      <c r="AP44" s="66" t="str">
        <f t="shared" si="29"/>
        <v>***</v>
      </c>
    </row>
    <row r="45" spans="1:42" ht="20.100000000000001" customHeight="1" x14ac:dyDescent="0.25">
      <c r="A45" s="51" t="s">
        <v>112</v>
      </c>
      <c r="B45" s="52">
        <v>1</v>
      </c>
      <c r="C45" s="53">
        <v>46</v>
      </c>
      <c r="D45" s="51">
        <f t="shared" si="15"/>
        <v>0</v>
      </c>
      <c r="E45" s="54">
        <f t="shared" si="16"/>
        <v>0</v>
      </c>
      <c r="F45" s="232" t="str">
        <f t="shared" si="17"/>
        <v>***</v>
      </c>
      <c r="G45" s="54"/>
      <c r="H45" s="54">
        <f>+IFERROR(VLOOKUP($A45,'Goals &amp; Budget 2026'!$A$2:$EJ$49,141,FALSE),0)</f>
        <v>0</v>
      </c>
      <c r="I45" s="65" t="str">
        <f t="shared" si="18"/>
        <v>***</v>
      </c>
      <c r="J45" s="54"/>
      <c r="K45" s="54">
        <f>+IFERROR(VLOOKUP($A45,'Goals &amp; Budget 2026'!$A$2:$EJ$49,142,FALSE),0)</f>
        <v>0</v>
      </c>
      <c r="L45" s="65" t="str">
        <f t="shared" si="19"/>
        <v>***</v>
      </c>
      <c r="M45" s="54"/>
      <c r="N45" s="54">
        <f>+IFERROR(VLOOKUP($A45,'Goals &amp; Budget 2026'!$A$2:$EJ$49,143,FALSE),0)</f>
        <v>0</v>
      </c>
      <c r="O45" s="232" t="str">
        <f t="shared" si="20"/>
        <v>***</v>
      </c>
      <c r="P45" s="54"/>
      <c r="Q45" s="54">
        <f>+IFERROR(VLOOKUP($A45,'Goals &amp; Budget 2026'!$A$2:$EJ$49,144,FALSE),0)</f>
        <v>0</v>
      </c>
      <c r="R45" s="65" t="str">
        <f t="shared" si="21"/>
        <v>***</v>
      </c>
      <c r="S45" s="54"/>
      <c r="T45" s="54">
        <f>+IFERROR(VLOOKUP($A45,'Goals &amp; Budget 2026'!$A$2:$EJ$49,145,FALSE),0)</f>
        <v>0</v>
      </c>
      <c r="U45" s="65" t="str">
        <f t="shared" si="22"/>
        <v>***</v>
      </c>
      <c r="V45" s="54"/>
      <c r="W45" s="54">
        <f>+IFERROR(VLOOKUP($A45,'Goals &amp; Budget 2026'!$A$2:$EJ$49,146,FALSE),0)</f>
        <v>0</v>
      </c>
      <c r="X45" s="232" t="str">
        <f t="shared" si="23"/>
        <v>***</v>
      </c>
      <c r="Y45" s="54"/>
      <c r="Z45" s="54">
        <f>+IFERROR(VLOOKUP($A45,'Goals &amp; Budget 2026'!$A$2:$EJ$49,147,FALSE),0)</f>
        <v>0</v>
      </c>
      <c r="AA45" s="65" t="str">
        <f t="shared" si="24"/>
        <v>***</v>
      </c>
      <c r="AB45" s="54"/>
      <c r="AC45" s="54">
        <f>+IFERROR(VLOOKUP($A45,'Goals &amp; Budget 2026'!$A$2:$EJ$49,148,FALSE),0)</f>
        <v>0</v>
      </c>
      <c r="AD45" s="65" t="str">
        <f t="shared" si="25"/>
        <v>***</v>
      </c>
      <c r="AE45" s="54"/>
      <c r="AF45" s="54">
        <f>+IFERROR(VLOOKUP($A45,'Goals &amp; Budget 2026'!$A$2:$EJ$49,149,FALSE),0)</f>
        <v>0</v>
      </c>
      <c r="AG45" s="232" t="str">
        <f t="shared" si="26"/>
        <v>***</v>
      </c>
      <c r="AH45" s="54"/>
      <c r="AI45" s="54">
        <f>+IFERROR(VLOOKUP($A45,'Goals &amp; Budget 2026'!$A$2:$EJ$49,150,FALSE),0)</f>
        <v>0</v>
      </c>
      <c r="AJ45" s="65" t="str">
        <f t="shared" si="27"/>
        <v>***</v>
      </c>
      <c r="AK45" s="54"/>
      <c r="AL45" s="54">
        <f>+IFERROR(VLOOKUP($A45,'Goals &amp; Budget 2026'!$A$2:$EJ$49,151,FALSE),0)</f>
        <v>0</v>
      </c>
      <c r="AM45" s="65" t="str">
        <f t="shared" si="28"/>
        <v>***</v>
      </c>
      <c r="AN45" s="54"/>
      <c r="AO45" s="54">
        <f>+IFERROR(VLOOKUP($A45,'Goals &amp; Budget 2026'!$A$2:$EJ$49,152,FALSE),0)</f>
        <v>0</v>
      </c>
      <c r="AP45" s="66" t="str">
        <f t="shared" si="29"/>
        <v>***</v>
      </c>
    </row>
    <row r="46" spans="1:42" ht="20.100000000000001" customHeight="1" x14ac:dyDescent="0.25">
      <c r="A46" s="51" t="s">
        <v>105</v>
      </c>
      <c r="B46" s="52">
        <v>1</v>
      </c>
      <c r="C46" s="53">
        <v>144</v>
      </c>
      <c r="D46" s="51">
        <f t="shared" si="15"/>
        <v>0</v>
      </c>
      <c r="E46" s="54">
        <f t="shared" si="16"/>
        <v>0</v>
      </c>
      <c r="F46" s="232" t="str">
        <f t="shared" si="17"/>
        <v>***</v>
      </c>
      <c r="G46" s="54"/>
      <c r="H46" s="54">
        <f>+IFERROR(VLOOKUP($A46,'Goals &amp; Budget 2026'!$A$2:$EJ$49,141,FALSE),0)</f>
        <v>0</v>
      </c>
      <c r="I46" s="65" t="str">
        <f t="shared" si="18"/>
        <v>***</v>
      </c>
      <c r="J46" s="54"/>
      <c r="K46" s="54">
        <f>+IFERROR(VLOOKUP($A46,'Goals &amp; Budget 2026'!$A$2:$EJ$49,142,FALSE),0)</f>
        <v>0</v>
      </c>
      <c r="L46" s="65" t="str">
        <f t="shared" si="19"/>
        <v>***</v>
      </c>
      <c r="M46" s="54"/>
      <c r="N46" s="54">
        <f>+IFERROR(VLOOKUP($A46,'Goals &amp; Budget 2026'!$A$2:$EJ$49,143,FALSE),0)</f>
        <v>0</v>
      </c>
      <c r="O46" s="232" t="str">
        <f t="shared" si="20"/>
        <v>***</v>
      </c>
      <c r="P46" s="54"/>
      <c r="Q46" s="54">
        <f>+IFERROR(VLOOKUP($A46,'Goals &amp; Budget 2026'!$A$2:$EJ$49,144,FALSE),0)</f>
        <v>0</v>
      </c>
      <c r="R46" s="65" t="str">
        <f t="shared" si="21"/>
        <v>***</v>
      </c>
      <c r="S46" s="54"/>
      <c r="T46" s="54">
        <f>+IFERROR(VLOOKUP($A46,'Goals &amp; Budget 2026'!$A$2:$EJ$49,145,FALSE),0)</f>
        <v>0</v>
      </c>
      <c r="U46" s="65" t="str">
        <f t="shared" si="22"/>
        <v>***</v>
      </c>
      <c r="V46" s="54"/>
      <c r="W46" s="54">
        <f>+IFERROR(VLOOKUP($A46,'Goals &amp; Budget 2026'!$A$2:$EJ$49,146,FALSE),0)</f>
        <v>0</v>
      </c>
      <c r="X46" s="232" t="str">
        <f t="shared" si="23"/>
        <v>***</v>
      </c>
      <c r="Y46" s="54"/>
      <c r="Z46" s="54">
        <f>+IFERROR(VLOOKUP($A46,'Goals &amp; Budget 2026'!$A$2:$EJ$49,147,FALSE),0)</f>
        <v>0</v>
      </c>
      <c r="AA46" s="65" t="str">
        <f t="shared" si="24"/>
        <v>***</v>
      </c>
      <c r="AB46" s="54"/>
      <c r="AC46" s="54">
        <f>+IFERROR(VLOOKUP($A46,'Goals &amp; Budget 2026'!$A$2:$EJ$49,148,FALSE),0)</f>
        <v>0</v>
      </c>
      <c r="AD46" s="65" t="str">
        <f t="shared" si="25"/>
        <v>***</v>
      </c>
      <c r="AE46" s="54"/>
      <c r="AF46" s="54">
        <f>+IFERROR(VLOOKUP($A46,'Goals &amp; Budget 2026'!$A$2:$EJ$49,149,FALSE),0)</f>
        <v>0</v>
      </c>
      <c r="AG46" s="232" t="str">
        <f t="shared" si="26"/>
        <v>***</v>
      </c>
      <c r="AH46" s="54"/>
      <c r="AI46" s="54">
        <f>+IFERROR(VLOOKUP($A46,'Goals &amp; Budget 2026'!$A$2:$EJ$49,150,FALSE),0)</f>
        <v>0</v>
      </c>
      <c r="AJ46" s="65" t="str">
        <f t="shared" si="27"/>
        <v>***</v>
      </c>
      <c r="AK46" s="54"/>
      <c r="AL46" s="54">
        <f>+IFERROR(VLOOKUP($A46,'Goals &amp; Budget 2026'!$A$2:$EJ$49,151,FALSE),0)</f>
        <v>0</v>
      </c>
      <c r="AM46" s="65" t="str">
        <f t="shared" si="28"/>
        <v>***</v>
      </c>
      <c r="AN46" s="54"/>
      <c r="AO46" s="54">
        <f>+IFERROR(VLOOKUP($A46,'Goals &amp; Budget 2026'!$A$2:$EJ$49,152,FALSE),0)</f>
        <v>0</v>
      </c>
      <c r="AP46" s="66" t="str">
        <f t="shared" si="29"/>
        <v>***</v>
      </c>
    </row>
    <row r="47" spans="1:42" ht="20.100000000000001" customHeight="1" thickBot="1" x14ac:dyDescent="0.3">
      <c r="A47" s="233" t="s">
        <v>106</v>
      </c>
      <c r="B47" s="234">
        <v>1</v>
      </c>
      <c r="C47" s="235">
        <v>378</v>
      </c>
      <c r="D47" s="51">
        <f t="shared" si="15"/>
        <v>0</v>
      </c>
      <c r="E47" s="54">
        <f t="shared" si="16"/>
        <v>0</v>
      </c>
      <c r="F47" s="232" t="str">
        <f t="shared" si="17"/>
        <v>***</v>
      </c>
      <c r="G47" s="54"/>
      <c r="H47" s="54">
        <f>+IFERROR(VLOOKUP($A47,'Goals &amp; Budget 2026'!$A$2:$EJ$49,141,FALSE),0)</f>
        <v>0</v>
      </c>
      <c r="I47" s="65" t="str">
        <f t="shared" si="18"/>
        <v>***</v>
      </c>
      <c r="J47" s="54"/>
      <c r="K47" s="54">
        <f>+IFERROR(VLOOKUP($A47,'Goals &amp; Budget 2026'!$A$2:$EJ$49,142,FALSE),0)</f>
        <v>0</v>
      </c>
      <c r="L47" s="65" t="str">
        <f t="shared" si="19"/>
        <v>***</v>
      </c>
      <c r="M47" s="54"/>
      <c r="N47" s="54">
        <f>+IFERROR(VLOOKUP($A47,'Goals &amp; Budget 2026'!$A$2:$EJ$49,143,FALSE),0)</f>
        <v>0</v>
      </c>
      <c r="O47" s="232" t="str">
        <f t="shared" si="20"/>
        <v>***</v>
      </c>
      <c r="P47" s="54"/>
      <c r="Q47" s="54">
        <f>+IFERROR(VLOOKUP($A47,'Goals &amp; Budget 2026'!$A$2:$EJ$49,144,FALSE),0)</f>
        <v>0</v>
      </c>
      <c r="R47" s="65" t="str">
        <f t="shared" si="21"/>
        <v>***</v>
      </c>
      <c r="S47" s="54"/>
      <c r="T47" s="54">
        <f>+IFERROR(VLOOKUP($A47,'Goals &amp; Budget 2026'!$A$2:$EJ$49,145,FALSE),0)</f>
        <v>0</v>
      </c>
      <c r="U47" s="65" t="str">
        <f t="shared" si="22"/>
        <v>***</v>
      </c>
      <c r="V47" s="54"/>
      <c r="W47" s="54">
        <f>+IFERROR(VLOOKUP($A47,'Goals &amp; Budget 2026'!$A$2:$EJ$49,146,FALSE),0)</f>
        <v>0</v>
      </c>
      <c r="X47" s="232" t="str">
        <f t="shared" si="23"/>
        <v>***</v>
      </c>
      <c r="Y47" s="54"/>
      <c r="Z47" s="54">
        <f>+IFERROR(VLOOKUP($A47,'Goals &amp; Budget 2026'!$A$2:$EJ$49,147,FALSE),0)</f>
        <v>0</v>
      </c>
      <c r="AA47" s="65" t="str">
        <f t="shared" si="24"/>
        <v>***</v>
      </c>
      <c r="AB47" s="54"/>
      <c r="AC47" s="54">
        <f>+IFERROR(VLOOKUP($A47,'Goals &amp; Budget 2026'!$A$2:$EJ$49,148,FALSE),0)</f>
        <v>0</v>
      </c>
      <c r="AD47" s="65" t="str">
        <f t="shared" si="25"/>
        <v>***</v>
      </c>
      <c r="AE47" s="54"/>
      <c r="AF47" s="54">
        <f>+IFERROR(VLOOKUP($A47,'Goals &amp; Budget 2026'!$A$2:$EJ$49,149,FALSE),0)</f>
        <v>0</v>
      </c>
      <c r="AG47" s="232" t="str">
        <f t="shared" si="26"/>
        <v>***</v>
      </c>
      <c r="AH47" s="54"/>
      <c r="AI47" s="54">
        <f>+IFERROR(VLOOKUP($A47,'Goals &amp; Budget 2026'!$A$2:$EJ$49,150,FALSE),0)</f>
        <v>0</v>
      </c>
      <c r="AJ47" s="65" t="str">
        <f t="shared" si="27"/>
        <v>***</v>
      </c>
      <c r="AK47" s="54"/>
      <c r="AL47" s="54">
        <f>+IFERROR(VLOOKUP($A47,'Goals &amp; Budget 2026'!$A$2:$EJ$49,151,FALSE),0)</f>
        <v>0</v>
      </c>
      <c r="AM47" s="65" t="str">
        <f t="shared" si="28"/>
        <v>***</v>
      </c>
      <c r="AN47" s="54"/>
      <c r="AO47" s="54">
        <f>+IFERROR(VLOOKUP($A47,'Goals &amp; Budget 2026'!$A$2:$EJ$49,152,FALSE),0)</f>
        <v>0</v>
      </c>
      <c r="AP47" s="66" t="str">
        <f t="shared" si="29"/>
        <v>***</v>
      </c>
    </row>
    <row r="48" spans="1:42" ht="20.100000000000001" customHeight="1" x14ac:dyDescent="0.25">
      <c r="A48" s="172" t="s">
        <v>12</v>
      </c>
      <c r="B48" s="173"/>
      <c r="C48" s="236"/>
      <c r="D48" s="125">
        <f>+SUM(D3:D47)</f>
        <v>0</v>
      </c>
      <c r="E48" s="126">
        <f t="shared" ref="E48" si="30">+H48+K48+N48</f>
        <v>0</v>
      </c>
      <c r="F48" s="237" t="str">
        <f t="shared" ref="F48" si="31">IF(AND(D48&gt;0,E48&gt;0),D48/E48,IF(AND(D48&gt;0,E48=0),100%,IF(AND(D48=0,E48&gt;0),0,IF(AND(D48=0,E48=0),"***",0))))</f>
        <v>***</v>
      </c>
      <c r="G48" s="126">
        <f>+SUM(G3:G47)</f>
        <v>0</v>
      </c>
      <c r="H48" s="126">
        <f>+SUM(H3:H47)</f>
        <v>0</v>
      </c>
      <c r="I48" s="238" t="str">
        <f t="shared" ref="I48:I49" si="32">IF(AND(G48&gt;0,H48&gt;0),G48/H48,IF(AND(G48&gt;0,H48=0),100%,IF(AND(G48=0,H48&gt;0),0,IF(AND(G48=0,H48=0),"***",0))))</f>
        <v>***</v>
      </c>
      <c r="J48" s="126">
        <f>+SUM(J3:J47)</f>
        <v>0</v>
      </c>
      <c r="K48" s="126">
        <f>+SUM(K3:K47)</f>
        <v>0</v>
      </c>
      <c r="L48" s="238" t="str">
        <f t="shared" ref="L48:L49" si="33">IF(AND(J48&gt;0,K48&gt;0),J48/K48,IF(AND(J48&gt;0,K48=0),100%,IF(AND(J48=0,K48&gt;0),0,IF(AND(J48=0,K48=0),"***",0))))</f>
        <v>***</v>
      </c>
      <c r="M48" s="126">
        <f>+SUM(M3:M47)</f>
        <v>0</v>
      </c>
      <c r="N48" s="126">
        <f>+SUM(N3:N47)</f>
        <v>0</v>
      </c>
      <c r="O48" s="237" t="str">
        <f t="shared" ref="O48:O49" si="34">IF(AND(M48&gt;0,N48&gt;0),M48/N48,IF(AND(M48&gt;0,N48=0),100%,IF(AND(M48=0,N48&gt;0),0,IF(AND(M48=0,N48=0),"***",0))))</f>
        <v>***</v>
      </c>
      <c r="P48" s="126">
        <f>+SUM(P3:P47)</f>
        <v>0</v>
      </c>
      <c r="Q48" s="126">
        <f>+SUM(Q3:Q47)</f>
        <v>0</v>
      </c>
      <c r="R48" s="238" t="str">
        <f t="shared" ref="R48:R49" si="35">IF(AND(P48&gt;0,Q48&gt;0),P48/Q48,IF(AND(P48&gt;0,Q48=0),100%,IF(AND(P48=0,Q48&gt;0),0,IF(AND(P48=0,Q48=0),"***",0))))</f>
        <v>***</v>
      </c>
      <c r="S48" s="126">
        <f>+SUM(S3:S47)</f>
        <v>0</v>
      </c>
      <c r="T48" s="126">
        <f>+SUM(T3:T47)</f>
        <v>0</v>
      </c>
      <c r="U48" s="238" t="str">
        <f t="shared" ref="U48:U49" si="36">IF(AND(S48&gt;0,T48&gt;0),S48/T48,IF(AND(S48&gt;0,T48=0),100%,IF(AND(S48=0,T48&gt;0),0,IF(AND(S48=0,T48=0),"***",0))))</f>
        <v>***</v>
      </c>
      <c r="V48" s="126">
        <f>+SUM(V3:V47)</f>
        <v>0</v>
      </c>
      <c r="W48" s="126">
        <f>+SUM(W3:W47)</f>
        <v>0</v>
      </c>
      <c r="X48" s="237" t="str">
        <f t="shared" ref="X48:X49" si="37">IF(AND(V48&gt;0,W48&gt;0),V48/W48,IF(AND(V48&gt;0,W48=0),100%,IF(AND(V48=0,W48&gt;0),0,IF(AND(V48=0,W48=0),"***",0))))</f>
        <v>***</v>
      </c>
      <c r="Y48" s="126">
        <f>+SUM(Y3:Y47)</f>
        <v>0</v>
      </c>
      <c r="Z48" s="126">
        <f>+SUM(Z3:Z47)</f>
        <v>0</v>
      </c>
      <c r="AA48" s="238" t="str">
        <f t="shared" ref="AA48:AA49" si="38">IF(AND(Y48&gt;0,Z48&gt;0),Y48/Z48,IF(AND(Y48&gt;0,Z48=0),100%,IF(AND(Y48=0,Z48&gt;0),0,IF(AND(Y48=0,Z48=0),"***",0))))</f>
        <v>***</v>
      </c>
      <c r="AB48" s="126">
        <f>+SUM(AB3:AB47)</f>
        <v>0</v>
      </c>
      <c r="AC48" s="126">
        <f>+SUM(AC3:AC47)</f>
        <v>0</v>
      </c>
      <c r="AD48" s="238" t="str">
        <f t="shared" ref="AD48:AD49" si="39">IF(AND(AB48&gt;0,AC48&gt;0),AB48/AC48,IF(AND(AB48&gt;0,AC48=0),100%,IF(AND(AB48=0,AC48&gt;0),0,IF(AND(AB48=0,AC48=0),"***",0))))</f>
        <v>***</v>
      </c>
      <c r="AE48" s="126">
        <f>+SUM(AE3:AE47)</f>
        <v>0</v>
      </c>
      <c r="AF48" s="126">
        <f>+SUM(AF3:AF47)</f>
        <v>0</v>
      </c>
      <c r="AG48" s="237" t="str">
        <f t="shared" ref="AG48:AG49" si="40">IF(AND(AE48&gt;0,AF48&gt;0),AE48/AF48,IF(AND(AE48&gt;0,AF48=0),100%,IF(AND(AE48=0,AF48&gt;0),0,IF(AND(AE48=0,AF48=0),"***",0))))</f>
        <v>***</v>
      </c>
      <c r="AH48" s="126">
        <f>+SUM(AH3:AH47)</f>
        <v>0</v>
      </c>
      <c r="AI48" s="126">
        <f>+SUM(AI3:AI47)</f>
        <v>0</v>
      </c>
      <c r="AJ48" s="238" t="str">
        <f t="shared" ref="AJ48:AJ49" si="41">IF(AND(AH48&gt;0,AI48&gt;0),AH48/AI48,IF(AND(AH48&gt;0,AI48=0),100%,IF(AND(AH48=0,AI48&gt;0),0,IF(AND(AH48=0,AI48=0),"***",0))))</f>
        <v>***</v>
      </c>
      <c r="AK48" s="126">
        <f>+SUM(AK3:AK47)</f>
        <v>0</v>
      </c>
      <c r="AL48" s="126">
        <f>+SUM(AL3:AL47)</f>
        <v>0</v>
      </c>
      <c r="AM48" s="238" t="str">
        <f t="shared" ref="AM48:AM49" si="42">IF(AND(AK48&gt;0,AL48&gt;0),AK48/AL48,IF(AND(AK48&gt;0,AL48=0),100%,IF(AND(AK48=0,AL48&gt;0),0,IF(AND(AK48=0,AL48=0),"***",0))))</f>
        <v>***</v>
      </c>
      <c r="AN48" s="126">
        <f>+SUM(AN3:AN47)</f>
        <v>0</v>
      </c>
      <c r="AO48" s="126">
        <f>+SUM(AO3:AO47)</f>
        <v>0</v>
      </c>
      <c r="AP48" s="239" t="str">
        <f t="shared" ref="AP48:AP49" si="43">IF(AND(AN48&gt;0,AO48&gt;0),AN48/AO48,IF(AND(AN48&gt;0,AO48=0),100%,IF(AND(AN48=0,AO48&gt;0),0,IF(AND(AN48=0,AO48=0),"***",0))))</f>
        <v>***</v>
      </c>
    </row>
    <row r="49" spans="1:42" ht="20.100000000000001" customHeight="1" thickBot="1" x14ac:dyDescent="0.3">
      <c r="A49" s="240" t="s">
        <v>23</v>
      </c>
      <c r="B49" s="241"/>
      <c r="C49" s="242"/>
      <c r="D49" s="139">
        <f>+SUMPRODUCT(D3:D47,$B$3:$B$47)</f>
        <v>0</v>
      </c>
      <c r="E49" s="140">
        <f>+SUMPRODUCT(E3:E47,$B$3:$B$47)</f>
        <v>0</v>
      </c>
      <c r="F49" s="243" t="str">
        <f>IF(AND(D49&gt;0,E49&gt;0),D49/E49,IF(AND(D49&gt;0,E49=0),100%,IF(AND(D49=0,E49&gt;0),0,IF(AND(D49=0,E49=0),"***",0))))</f>
        <v>***</v>
      </c>
      <c r="G49" s="140">
        <f>+SUMPRODUCT(G3:G47,$B$3:$B$47)</f>
        <v>0</v>
      </c>
      <c r="H49" s="140">
        <f>+SUMPRODUCT(H3:H47,$B$3:$B$47)</f>
        <v>0</v>
      </c>
      <c r="I49" s="244" t="str">
        <f t="shared" si="32"/>
        <v>***</v>
      </c>
      <c r="J49" s="140">
        <f>+SUMPRODUCT(J3:J47,$B$3:$B$47)</f>
        <v>0</v>
      </c>
      <c r="K49" s="140">
        <f>+SUMPRODUCT(K3:K47,$B$3:$B$47)</f>
        <v>0</v>
      </c>
      <c r="L49" s="244" t="str">
        <f t="shared" si="33"/>
        <v>***</v>
      </c>
      <c r="M49" s="140">
        <f>+SUMPRODUCT(M3:M47,$B$3:$B$47)</f>
        <v>0</v>
      </c>
      <c r="N49" s="140">
        <f>+SUMPRODUCT(N3:N47,$B$3:$B$47)</f>
        <v>0</v>
      </c>
      <c r="O49" s="243" t="str">
        <f t="shared" si="34"/>
        <v>***</v>
      </c>
      <c r="P49" s="140">
        <f>+SUMPRODUCT(P3:P47,$B$3:$B$47)</f>
        <v>0</v>
      </c>
      <c r="Q49" s="140">
        <f>+SUMPRODUCT(Q3:Q47,$B$3:$B$47)</f>
        <v>0</v>
      </c>
      <c r="R49" s="244" t="str">
        <f t="shared" si="35"/>
        <v>***</v>
      </c>
      <c r="S49" s="140">
        <f>+SUMPRODUCT(S3:S47,$B$3:$B$47)</f>
        <v>0</v>
      </c>
      <c r="T49" s="140">
        <f>+SUMPRODUCT(T3:T47,$B$3:$B$47)</f>
        <v>0</v>
      </c>
      <c r="U49" s="244" t="str">
        <f t="shared" si="36"/>
        <v>***</v>
      </c>
      <c r="V49" s="140">
        <f>+SUMPRODUCT(V3:V47,$B$3:$B$47)</f>
        <v>0</v>
      </c>
      <c r="W49" s="140">
        <f>+SUMPRODUCT(W3:W47,$B$3:$B$47)</f>
        <v>0</v>
      </c>
      <c r="X49" s="243" t="str">
        <f t="shared" si="37"/>
        <v>***</v>
      </c>
      <c r="Y49" s="140">
        <f>+SUMPRODUCT(Y3:Y47,$B$3:$B$47)</f>
        <v>0</v>
      </c>
      <c r="Z49" s="140">
        <f>+SUMPRODUCT(Z3:Z47,$B$3:$B$47)</f>
        <v>0</v>
      </c>
      <c r="AA49" s="244" t="str">
        <f t="shared" si="38"/>
        <v>***</v>
      </c>
      <c r="AB49" s="140">
        <f>+SUMPRODUCT(AB3:AB47,$B$3:$B$47)</f>
        <v>0</v>
      </c>
      <c r="AC49" s="140">
        <f>+SUMPRODUCT(AC3:AC47,$B$3:$B$47)</f>
        <v>0</v>
      </c>
      <c r="AD49" s="244" t="str">
        <f t="shared" si="39"/>
        <v>***</v>
      </c>
      <c r="AE49" s="140">
        <f>+SUMPRODUCT(AE3:AE47,$B$3:$B$47)</f>
        <v>0</v>
      </c>
      <c r="AF49" s="140">
        <f>+SUMPRODUCT(AF3:AF47,$B$3:$B$47)</f>
        <v>0</v>
      </c>
      <c r="AG49" s="243" t="str">
        <f t="shared" si="40"/>
        <v>***</v>
      </c>
      <c r="AH49" s="140">
        <f>+SUMPRODUCT(AH3:AH47,$B$3:$B$47)</f>
        <v>0</v>
      </c>
      <c r="AI49" s="140">
        <f>+SUMPRODUCT(AI3:AI47,$B$3:$B$47)</f>
        <v>0</v>
      </c>
      <c r="AJ49" s="244" t="str">
        <f t="shared" si="41"/>
        <v>***</v>
      </c>
      <c r="AK49" s="140">
        <f>+SUMPRODUCT(AK3:AK47,$B$3:$B$47)</f>
        <v>0</v>
      </c>
      <c r="AL49" s="140">
        <f>+SUMPRODUCT(AL3:AL47,$B$3:$B$47)</f>
        <v>0</v>
      </c>
      <c r="AM49" s="244" t="str">
        <f t="shared" si="42"/>
        <v>***</v>
      </c>
      <c r="AN49" s="140">
        <f>+SUMPRODUCT(AN3:AN47,$B$3:$B$47)</f>
        <v>0</v>
      </c>
      <c r="AO49" s="140">
        <f>+SUMPRODUCT(AO3:AO47,$B$3:$B$47)</f>
        <v>0</v>
      </c>
      <c r="AP49" s="245" t="str">
        <f t="shared" si="43"/>
        <v>***</v>
      </c>
    </row>
  </sheetData>
  <mergeCells count="16">
    <mergeCell ref="AK1:AM1"/>
    <mergeCell ref="AN1:AP1"/>
    <mergeCell ref="A48:C48"/>
    <mergeCell ref="A49:C49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conditionalFormatting sqref="F3:F49 I3:I49 L3:L49 O3:O49 R3:R49 U3:U49 X3:X49 AA3:AA49 AD3:AD49 AG3:AG49 AJ3:AJ49 AM3:AM49 AP3:AP49">
    <cfRule type="cellIs" priority="1" operator="equal">
      <formula>"***"</formula>
    </cfRule>
    <cfRule type="cellIs" dxfId="1" priority="2" operator="lessThan">
      <formula>1</formula>
    </cfRule>
    <cfRule type="cellIs" dxfId="0" priority="3" operator="greaterThanOrEqual">
      <formula>1</formula>
    </cfRule>
  </conditionalFormatting>
  <pageMargins left="0.7" right="0.7" top="0.75" bottom="0.75" header="0.3" footer="0.3"/>
  <ignoredErrors>
    <ignoredError sqref="I48:I49 L48:L49 F4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 - Overview &amp; Project</vt:lpstr>
      <vt:lpstr>Goals &amp; Budget 2026</vt:lpstr>
      <vt:lpstr>Goals &amp; Budget 2026 - Updated</vt:lpstr>
      <vt:lpstr>KPIs - Sales Launch</vt:lpstr>
      <vt:lpstr>KPIs - Sales Goals</vt:lpstr>
      <vt:lpstr>KPIs - €Sq.M.</vt:lpstr>
      <vt:lpstr>KPIs - Income</vt:lpstr>
      <vt:lpstr>KPIs - Marketing</vt:lpstr>
      <vt:lpstr>KPIs - Schematics</vt:lpstr>
      <vt:lpstr>KPIs - Tender</vt:lpstr>
      <vt:lpstr>KPIs - Construction Start</vt:lpstr>
      <vt:lpstr>KPIs - Construction %</vt:lpstr>
      <vt:lpstr>KPIs- Handover</vt:lpstr>
      <vt:lpstr>KPIs- Deeds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Martins</dc:creator>
  <cp:lastModifiedBy>Francisco Martins</cp:lastModifiedBy>
  <cp:lastPrinted>2025-11-21T17:45:06Z</cp:lastPrinted>
  <dcterms:created xsi:type="dcterms:W3CDTF">2025-08-26T13:56:43Z</dcterms:created>
  <dcterms:modified xsi:type="dcterms:W3CDTF">2025-11-21T17:45:09Z</dcterms:modified>
</cp:coreProperties>
</file>